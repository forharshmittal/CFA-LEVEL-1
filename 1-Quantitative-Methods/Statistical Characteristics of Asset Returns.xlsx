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31ADB15-C210-4AFD-83B9-A36B5C6C8CA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Sheet1!$B$3:$I$7555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5" i="1" l="1"/>
  <c r="K11" i="2"/>
  <c r="K10" i="2"/>
  <c r="K6" i="2"/>
  <c r="K5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" i="2"/>
  <c r="I4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H5" i="1"/>
  <c r="I5" i="1" s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I2934" i="1" s="1"/>
  <c r="H2935" i="1"/>
  <c r="I2935" i="1" s="1"/>
  <c r="H2936" i="1"/>
  <c r="I2936" i="1" s="1"/>
  <c r="H2937" i="1"/>
  <c r="I2937" i="1" s="1"/>
  <c r="H2938" i="1"/>
  <c r="I2938" i="1" s="1"/>
  <c r="H2939" i="1"/>
  <c r="I2939" i="1" s="1"/>
  <c r="H2940" i="1"/>
  <c r="I2940" i="1" s="1"/>
  <c r="H2941" i="1"/>
  <c r="I2941" i="1" s="1"/>
  <c r="H2942" i="1"/>
  <c r="I2942" i="1" s="1"/>
  <c r="H2943" i="1"/>
  <c r="I2943" i="1" s="1"/>
  <c r="H2944" i="1"/>
  <c r="I2944" i="1" s="1"/>
  <c r="H2945" i="1"/>
  <c r="I2945" i="1" s="1"/>
  <c r="H2946" i="1"/>
  <c r="I2946" i="1" s="1"/>
  <c r="H2947" i="1"/>
  <c r="I2947" i="1" s="1"/>
  <c r="H2948" i="1"/>
  <c r="I2948" i="1" s="1"/>
  <c r="H2949" i="1"/>
  <c r="I2949" i="1" s="1"/>
  <c r="H2950" i="1"/>
  <c r="I2950" i="1" s="1"/>
  <c r="H2951" i="1"/>
  <c r="I2951" i="1" s="1"/>
  <c r="H2952" i="1"/>
  <c r="I2952" i="1" s="1"/>
  <c r="H2953" i="1"/>
  <c r="I2953" i="1" s="1"/>
  <c r="H2954" i="1"/>
  <c r="I2954" i="1" s="1"/>
  <c r="H2955" i="1"/>
  <c r="I2955" i="1" s="1"/>
  <c r="H2956" i="1"/>
  <c r="I2956" i="1" s="1"/>
  <c r="H2957" i="1"/>
  <c r="I2957" i="1" s="1"/>
  <c r="H2958" i="1"/>
  <c r="I2958" i="1" s="1"/>
  <c r="H2959" i="1"/>
  <c r="I2959" i="1" s="1"/>
  <c r="H2960" i="1"/>
  <c r="I2960" i="1" s="1"/>
  <c r="H2961" i="1"/>
  <c r="I2961" i="1" s="1"/>
  <c r="H2962" i="1"/>
  <c r="I2962" i="1" s="1"/>
  <c r="H2963" i="1"/>
  <c r="I2963" i="1" s="1"/>
  <c r="H2964" i="1"/>
  <c r="I2964" i="1" s="1"/>
  <c r="H2965" i="1"/>
  <c r="I2965" i="1" s="1"/>
  <c r="H2966" i="1"/>
  <c r="I2966" i="1" s="1"/>
  <c r="H2967" i="1"/>
  <c r="I2967" i="1" s="1"/>
  <c r="H2968" i="1"/>
  <c r="I2968" i="1" s="1"/>
  <c r="H2969" i="1"/>
  <c r="I2969" i="1" s="1"/>
  <c r="H2970" i="1"/>
  <c r="I2970" i="1" s="1"/>
  <c r="H2971" i="1"/>
  <c r="I2971" i="1" s="1"/>
  <c r="H2972" i="1"/>
  <c r="I2972" i="1" s="1"/>
  <c r="H2973" i="1"/>
  <c r="I2973" i="1" s="1"/>
  <c r="H2974" i="1"/>
  <c r="I2974" i="1" s="1"/>
  <c r="H2975" i="1"/>
  <c r="I2975" i="1" s="1"/>
  <c r="H2976" i="1"/>
  <c r="I2976" i="1" s="1"/>
  <c r="H2977" i="1"/>
  <c r="I2977" i="1" s="1"/>
  <c r="H2978" i="1"/>
  <c r="I2978" i="1" s="1"/>
  <c r="H2979" i="1"/>
  <c r="I2979" i="1" s="1"/>
  <c r="H2980" i="1"/>
  <c r="I2980" i="1" s="1"/>
  <c r="H2981" i="1"/>
  <c r="I2981" i="1" s="1"/>
  <c r="H2982" i="1"/>
  <c r="I2982" i="1" s="1"/>
  <c r="H2983" i="1"/>
  <c r="I2983" i="1" s="1"/>
  <c r="H2984" i="1"/>
  <c r="I2984" i="1" s="1"/>
  <c r="H2985" i="1"/>
  <c r="I2985" i="1" s="1"/>
  <c r="H2986" i="1"/>
  <c r="I2986" i="1" s="1"/>
  <c r="H2987" i="1"/>
  <c r="I2987" i="1" s="1"/>
  <c r="H2988" i="1"/>
  <c r="I2988" i="1" s="1"/>
  <c r="H2989" i="1"/>
  <c r="I2989" i="1" s="1"/>
  <c r="H2990" i="1"/>
  <c r="I2990" i="1" s="1"/>
  <c r="H2991" i="1"/>
  <c r="I2991" i="1" s="1"/>
  <c r="H2992" i="1"/>
  <c r="I2992" i="1" s="1"/>
  <c r="H2993" i="1"/>
  <c r="I2993" i="1" s="1"/>
  <c r="H2994" i="1"/>
  <c r="I2994" i="1" s="1"/>
  <c r="H2995" i="1"/>
  <c r="I2995" i="1" s="1"/>
  <c r="H2996" i="1"/>
  <c r="I2996" i="1" s="1"/>
  <c r="H2997" i="1"/>
  <c r="I2997" i="1" s="1"/>
  <c r="H2998" i="1"/>
  <c r="I2998" i="1" s="1"/>
  <c r="H2999" i="1"/>
  <c r="I2999" i="1" s="1"/>
  <c r="H3000" i="1"/>
  <c r="I3000" i="1" s="1"/>
  <c r="H3001" i="1"/>
  <c r="I3001" i="1" s="1"/>
  <c r="H3002" i="1"/>
  <c r="I3002" i="1" s="1"/>
  <c r="H3003" i="1"/>
  <c r="I3003" i="1" s="1"/>
  <c r="H3004" i="1"/>
  <c r="I3004" i="1" s="1"/>
  <c r="H3005" i="1"/>
  <c r="I3005" i="1" s="1"/>
  <c r="H3006" i="1"/>
  <c r="I3006" i="1" s="1"/>
  <c r="H3007" i="1"/>
  <c r="I3007" i="1" s="1"/>
  <c r="H3008" i="1"/>
  <c r="I3008" i="1" s="1"/>
  <c r="H3009" i="1"/>
  <c r="I3009" i="1" s="1"/>
  <c r="H3010" i="1"/>
  <c r="I3010" i="1" s="1"/>
  <c r="H3011" i="1"/>
  <c r="I3011" i="1" s="1"/>
  <c r="H3012" i="1"/>
  <c r="I3012" i="1" s="1"/>
  <c r="H3013" i="1"/>
  <c r="I3013" i="1" s="1"/>
  <c r="H3014" i="1"/>
  <c r="I3014" i="1" s="1"/>
  <c r="H3015" i="1"/>
  <c r="I3015" i="1" s="1"/>
  <c r="H3016" i="1"/>
  <c r="I3016" i="1" s="1"/>
  <c r="H3017" i="1"/>
  <c r="I3017" i="1" s="1"/>
  <c r="H3018" i="1"/>
  <c r="I3018" i="1" s="1"/>
  <c r="H3019" i="1"/>
  <c r="I3019" i="1" s="1"/>
  <c r="H3020" i="1"/>
  <c r="I3020" i="1" s="1"/>
  <c r="H3021" i="1"/>
  <c r="I3021" i="1" s="1"/>
  <c r="H3022" i="1"/>
  <c r="I3022" i="1" s="1"/>
  <c r="H3023" i="1"/>
  <c r="I3023" i="1" s="1"/>
  <c r="H3024" i="1"/>
  <c r="I3024" i="1" s="1"/>
  <c r="H3025" i="1"/>
  <c r="I3025" i="1" s="1"/>
  <c r="H3026" i="1"/>
  <c r="I3026" i="1" s="1"/>
  <c r="H3027" i="1"/>
  <c r="I3027" i="1" s="1"/>
  <c r="H3028" i="1"/>
  <c r="I3028" i="1" s="1"/>
  <c r="H3029" i="1"/>
  <c r="I3029" i="1" s="1"/>
  <c r="H3030" i="1"/>
  <c r="I3030" i="1" s="1"/>
  <c r="H3031" i="1"/>
  <c r="I3031" i="1" s="1"/>
  <c r="H3032" i="1"/>
  <c r="I3032" i="1" s="1"/>
  <c r="H3033" i="1"/>
  <c r="I3033" i="1" s="1"/>
  <c r="H3034" i="1"/>
  <c r="I3034" i="1" s="1"/>
  <c r="H3035" i="1"/>
  <c r="I3035" i="1" s="1"/>
  <c r="H3036" i="1"/>
  <c r="I3036" i="1" s="1"/>
  <c r="H3037" i="1"/>
  <c r="I3037" i="1" s="1"/>
  <c r="H3038" i="1"/>
  <c r="I3038" i="1" s="1"/>
  <c r="H3039" i="1"/>
  <c r="I3039" i="1" s="1"/>
  <c r="H3040" i="1"/>
  <c r="I3040" i="1" s="1"/>
  <c r="H3041" i="1"/>
  <c r="I3041" i="1" s="1"/>
  <c r="H3042" i="1"/>
  <c r="I3042" i="1" s="1"/>
  <c r="H3043" i="1"/>
  <c r="I3043" i="1" s="1"/>
  <c r="H3044" i="1"/>
  <c r="I3044" i="1" s="1"/>
  <c r="H3045" i="1"/>
  <c r="I3045" i="1" s="1"/>
  <c r="H3046" i="1"/>
  <c r="I3046" i="1" s="1"/>
  <c r="H3047" i="1"/>
  <c r="I3047" i="1" s="1"/>
  <c r="H3048" i="1"/>
  <c r="I3048" i="1" s="1"/>
  <c r="H3049" i="1"/>
  <c r="I3049" i="1" s="1"/>
  <c r="H3050" i="1"/>
  <c r="I3050" i="1" s="1"/>
  <c r="H3051" i="1"/>
  <c r="I3051" i="1" s="1"/>
  <c r="H3052" i="1"/>
  <c r="I3052" i="1" s="1"/>
  <c r="H3053" i="1"/>
  <c r="I3053" i="1" s="1"/>
  <c r="H3054" i="1"/>
  <c r="I3054" i="1" s="1"/>
  <c r="H3055" i="1"/>
  <c r="I3055" i="1" s="1"/>
  <c r="H3056" i="1"/>
  <c r="I3056" i="1" s="1"/>
  <c r="H3057" i="1"/>
  <c r="I3057" i="1" s="1"/>
  <c r="H3058" i="1"/>
  <c r="I3058" i="1" s="1"/>
  <c r="H3059" i="1"/>
  <c r="I3059" i="1" s="1"/>
  <c r="H3060" i="1"/>
  <c r="I3060" i="1" s="1"/>
  <c r="H3061" i="1"/>
  <c r="I3061" i="1" s="1"/>
  <c r="H3062" i="1"/>
  <c r="I3062" i="1" s="1"/>
  <c r="H3063" i="1"/>
  <c r="I3063" i="1" s="1"/>
  <c r="H3064" i="1"/>
  <c r="I3064" i="1" s="1"/>
  <c r="H3065" i="1"/>
  <c r="I3065" i="1" s="1"/>
  <c r="H3066" i="1"/>
  <c r="I3066" i="1" s="1"/>
  <c r="H3067" i="1"/>
  <c r="I3067" i="1" s="1"/>
  <c r="H3068" i="1"/>
  <c r="I3068" i="1" s="1"/>
  <c r="H3069" i="1"/>
  <c r="I3069" i="1" s="1"/>
  <c r="H3070" i="1"/>
  <c r="I3070" i="1" s="1"/>
  <c r="H3071" i="1"/>
  <c r="I3071" i="1" s="1"/>
  <c r="H3072" i="1"/>
  <c r="I3072" i="1" s="1"/>
  <c r="H3073" i="1"/>
  <c r="I3073" i="1" s="1"/>
  <c r="H3074" i="1"/>
  <c r="I3074" i="1" s="1"/>
  <c r="H3075" i="1"/>
  <c r="I3075" i="1" s="1"/>
  <c r="H3076" i="1"/>
  <c r="I3076" i="1" s="1"/>
  <c r="H3077" i="1"/>
  <c r="I3077" i="1" s="1"/>
  <c r="H3078" i="1"/>
  <c r="I3078" i="1" s="1"/>
  <c r="H3079" i="1"/>
  <c r="I3079" i="1" s="1"/>
  <c r="H3080" i="1"/>
  <c r="I3080" i="1" s="1"/>
  <c r="H3081" i="1"/>
  <c r="I3081" i="1" s="1"/>
  <c r="H3082" i="1"/>
  <c r="I3082" i="1" s="1"/>
  <c r="H3083" i="1"/>
  <c r="I3083" i="1" s="1"/>
  <c r="H3084" i="1"/>
  <c r="I3084" i="1" s="1"/>
  <c r="H3085" i="1"/>
  <c r="I3085" i="1" s="1"/>
  <c r="H3086" i="1"/>
  <c r="I3086" i="1" s="1"/>
  <c r="H3087" i="1"/>
  <c r="I3087" i="1" s="1"/>
  <c r="H3088" i="1"/>
  <c r="I3088" i="1" s="1"/>
  <c r="H3089" i="1"/>
  <c r="I3089" i="1" s="1"/>
  <c r="H3090" i="1"/>
  <c r="I3090" i="1" s="1"/>
  <c r="H3091" i="1"/>
  <c r="I3091" i="1" s="1"/>
  <c r="H3092" i="1"/>
  <c r="I3092" i="1" s="1"/>
  <c r="H3093" i="1"/>
  <c r="I3093" i="1" s="1"/>
  <c r="H3094" i="1"/>
  <c r="I3094" i="1" s="1"/>
  <c r="H3095" i="1"/>
  <c r="I3095" i="1" s="1"/>
  <c r="H3096" i="1"/>
  <c r="I3096" i="1" s="1"/>
  <c r="H3097" i="1"/>
  <c r="I3097" i="1" s="1"/>
  <c r="H3098" i="1"/>
  <c r="I3098" i="1" s="1"/>
  <c r="H3099" i="1"/>
  <c r="I3099" i="1" s="1"/>
  <c r="H3100" i="1"/>
  <c r="I3100" i="1" s="1"/>
  <c r="H3101" i="1"/>
  <c r="I3101" i="1" s="1"/>
  <c r="H3102" i="1"/>
  <c r="I3102" i="1" s="1"/>
  <c r="H3103" i="1"/>
  <c r="I3103" i="1" s="1"/>
  <c r="H3104" i="1"/>
  <c r="I3104" i="1" s="1"/>
  <c r="H3105" i="1"/>
  <c r="I3105" i="1" s="1"/>
  <c r="H3106" i="1"/>
  <c r="I3106" i="1" s="1"/>
  <c r="H3107" i="1"/>
  <c r="I3107" i="1" s="1"/>
  <c r="H3108" i="1"/>
  <c r="I3108" i="1" s="1"/>
  <c r="H3109" i="1"/>
  <c r="I3109" i="1" s="1"/>
  <c r="H3110" i="1"/>
  <c r="I3110" i="1" s="1"/>
  <c r="H3111" i="1"/>
  <c r="I3111" i="1" s="1"/>
  <c r="H3112" i="1"/>
  <c r="I3112" i="1" s="1"/>
  <c r="H3113" i="1"/>
  <c r="I3113" i="1" s="1"/>
  <c r="H3114" i="1"/>
  <c r="I3114" i="1" s="1"/>
  <c r="H3115" i="1"/>
  <c r="I3115" i="1" s="1"/>
  <c r="H3116" i="1"/>
  <c r="I3116" i="1" s="1"/>
  <c r="H3117" i="1"/>
  <c r="I3117" i="1" s="1"/>
  <c r="H3118" i="1"/>
  <c r="I3118" i="1" s="1"/>
  <c r="H3119" i="1"/>
  <c r="I3119" i="1" s="1"/>
  <c r="H3120" i="1"/>
  <c r="I3120" i="1" s="1"/>
  <c r="H3121" i="1"/>
  <c r="I3121" i="1" s="1"/>
  <c r="H3122" i="1"/>
  <c r="I3122" i="1" s="1"/>
  <c r="H3123" i="1"/>
  <c r="I3123" i="1" s="1"/>
  <c r="H3124" i="1"/>
  <c r="I3124" i="1" s="1"/>
  <c r="H3125" i="1"/>
  <c r="I3125" i="1" s="1"/>
  <c r="H3126" i="1"/>
  <c r="I3126" i="1" s="1"/>
  <c r="H3127" i="1"/>
  <c r="I3127" i="1" s="1"/>
  <c r="H3128" i="1"/>
  <c r="I3128" i="1" s="1"/>
  <c r="H3129" i="1"/>
  <c r="I3129" i="1" s="1"/>
  <c r="H3130" i="1"/>
  <c r="I3130" i="1" s="1"/>
  <c r="H3131" i="1"/>
  <c r="I3131" i="1" s="1"/>
  <c r="H3132" i="1"/>
  <c r="I3132" i="1" s="1"/>
  <c r="H3133" i="1"/>
  <c r="I3133" i="1" s="1"/>
  <c r="H3134" i="1"/>
  <c r="I3134" i="1" s="1"/>
  <c r="H3135" i="1"/>
  <c r="I3135" i="1" s="1"/>
  <c r="H3136" i="1"/>
  <c r="I3136" i="1" s="1"/>
  <c r="H3137" i="1"/>
  <c r="I3137" i="1" s="1"/>
  <c r="H3138" i="1"/>
  <c r="I3138" i="1" s="1"/>
  <c r="H3139" i="1"/>
  <c r="I3139" i="1" s="1"/>
  <c r="H3140" i="1"/>
  <c r="I3140" i="1" s="1"/>
  <c r="H3141" i="1"/>
  <c r="I3141" i="1" s="1"/>
  <c r="H3142" i="1"/>
  <c r="I3142" i="1" s="1"/>
  <c r="H3143" i="1"/>
  <c r="I3143" i="1" s="1"/>
  <c r="H3144" i="1"/>
  <c r="I3144" i="1" s="1"/>
  <c r="H3145" i="1"/>
  <c r="I3145" i="1" s="1"/>
  <c r="H3146" i="1"/>
  <c r="I3146" i="1" s="1"/>
  <c r="H3147" i="1"/>
  <c r="I3147" i="1" s="1"/>
  <c r="H3148" i="1"/>
  <c r="I3148" i="1" s="1"/>
  <c r="H3149" i="1"/>
  <c r="I3149" i="1" s="1"/>
  <c r="H3150" i="1"/>
  <c r="I3150" i="1" s="1"/>
  <c r="H3151" i="1"/>
  <c r="I3151" i="1" s="1"/>
  <c r="H3152" i="1"/>
  <c r="I3152" i="1" s="1"/>
  <c r="H3153" i="1"/>
  <c r="I3153" i="1" s="1"/>
  <c r="H3154" i="1"/>
  <c r="I3154" i="1" s="1"/>
  <c r="H3155" i="1"/>
  <c r="I3155" i="1" s="1"/>
  <c r="H3156" i="1"/>
  <c r="I3156" i="1" s="1"/>
  <c r="H3157" i="1"/>
  <c r="I3157" i="1" s="1"/>
  <c r="H3158" i="1"/>
  <c r="I3158" i="1" s="1"/>
  <c r="H3159" i="1"/>
  <c r="I3159" i="1" s="1"/>
  <c r="H3160" i="1"/>
  <c r="I3160" i="1" s="1"/>
  <c r="H3161" i="1"/>
  <c r="I3161" i="1" s="1"/>
  <c r="H3162" i="1"/>
  <c r="I3162" i="1" s="1"/>
  <c r="H3163" i="1"/>
  <c r="I3163" i="1" s="1"/>
  <c r="H3164" i="1"/>
  <c r="I3164" i="1" s="1"/>
  <c r="H3165" i="1"/>
  <c r="I3165" i="1" s="1"/>
  <c r="H3166" i="1"/>
  <c r="I3166" i="1" s="1"/>
  <c r="H3167" i="1"/>
  <c r="I3167" i="1" s="1"/>
  <c r="H3168" i="1"/>
  <c r="I3168" i="1" s="1"/>
  <c r="H3169" i="1"/>
  <c r="I3169" i="1" s="1"/>
  <c r="H3170" i="1"/>
  <c r="I3170" i="1" s="1"/>
  <c r="H3171" i="1"/>
  <c r="I3171" i="1" s="1"/>
  <c r="H3172" i="1"/>
  <c r="I3172" i="1" s="1"/>
  <c r="H3173" i="1"/>
  <c r="I3173" i="1" s="1"/>
  <c r="H3174" i="1"/>
  <c r="I3174" i="1" s="1"/>
  <c r="H3175" i="1"/>
  <c r="I3175" i="1" s="1"/>
  <c r="H3176" i="1"/>
  <c r="I3176" i="1" s="1"/>
  <c r="H3177" i="1"/>
  <c r="I3177" i="1" s="1"/>
  <c r="H3178" i="1"/>
  <c r="I3178" i="1" s="1"/>
  <c r="H3179" i="1"/>
  <c r="I3179" i="1" s="1"/>
  <c r="H3180" i="1"/>
  <c r="I3180" i="1" s="1"/>
  <c r="H3181" i="1"/>
  <c r="I3181" i="1" s="1"/>
  <c r="H3182" i="1"/>
  <c r="I3182" i="1" s="1"/>
  <c r="H3183" i="1"/>
  <c r="I3183" i="1" s="1"/>
  <c r="H3184" i="1"/>
  <c r="I3184" i="1" s="1"/>
  <c r="H3185" i="1"/>
  <c r="I3185" i="1" s="1"/>
  <c r="H3186" i="1"/>
  <c r="I3186" i="1" s="1"/>
  <c r="H3187" i="1"/>
  <c r="I3187" i="1" s="1"/>
  <c r="H3188" i="1"/>
  <c r="I3188" i="1" s="1"/>
  <c r="H3189" i="1"/>
  <c r="I3189" i="1" s="1"/>
  <c r="H3190" i="1"/>
  <c r="I3190" i="1" s="1"/>
  <c r="H3191" i="1"/>
  <c r="I3191" i="1" s="1"/>
  <c r="H3192" i="1"/>
  <c r="I3192" i="1" s="1"/>
  <c r="H3193" i="1"/>
  <c r="I3193" i="1" s="1"/>
  <c r="H3194" i="1"/>
  <c r="I3194" i="1" s="1"/>
  <c r="H3195" i="1"/>
  <c r="I3195" i="1" s="1"/>
  <c r="H3196" i="1"/>
  <c r="I3196" i="1" s="1"/>
  <c r="H3197" i="1"/>
  <c r="I3197" i="1" s="1"/>
  <c r="H3198" i="1"/>
  <c r="I3198" i="1" s="1"/>
  <c r="H3199" i="1"/>
  <c r="I3199" i="1" s="1"/>
  <c r="H3200" i="1"/>
  <c r="I3200" i="1" s="1"/>
  <c r="H3201" i="1"/>
  <c r="I3201" i="1" s="1"/>
  <c r="H3202" i="1"/>
  <c r="I3202" i="1" s="1"/>
  <c r="H3203" i="1"/>
  <c r="I3203" i="1" s="1"/>
  <c r="H3204" i="1"/>
  <c r="I3204" i="1" s="1"/>
  <c r="H3205" i="1"/>
  <c r="I3205" i="1" s="1"/>
  <c r="H3206" i="1"/>
  <c r="I3206" i="1" s="1"/>
  <c r="H3207" i="1"/>
  <c r="I3207" i="1" s="1"/>
  <c r="H3208" i="1"/>
  <c r="I3208" i="1" s="1"/>
  <c r="H3209" i="1"/>
  <c r="I3209" i="1" s="1"/>
  <c r="H3210" i="1"/>
  <c r="I3210" i="1" s="1"/>
  <c r="H3211" i="1"/>
  <c r="I3211" i="1" s="1"/>
  <c r="H3212" i="1"/>
  <c r="I3212" i="1" s="1"/>
  <c r="H3213" i="1"/>
  <c r="I3213" i="1" s="1"/>
  <c r="H3214" i="1"/>
  <c r="I3214" i="1" s="1"/>
  <c r="H3215" i="1"/>
  <c r="I3215" i="1" s="1"/>
  <c r="H3216" i="1"/>
  <c r="I3216" i="1" s="1"/>
  <c r="H3217" i="1"/>
  <c r="I3217" i="1" s="1"/>
  <c r="H3218" i="1"/>
  <c r="I3218" i="1" s="1"/>
  <c r="H3219" i="1"/>
  <c r="I3219" i="1" s="1"/>
  <c r="H3220" i="1"/>
  <c r="I3220" i="1" s="1"/>
  <c r="H3221" i="1"/>
  <c r="I3221" i="1" s="1"/>
  <c r="H3222" i="1"/>
  <c r="I3222" i="1" s="1"/>
  <c r="H3223" i="1"/>
  <c r="I3223" i="1" s="1"/>
  <c r="H3224" i="1"/>
  <c r="I3224" i="1" s="1"/>
  <c r="H3225" i="1"/>
  <c r="I3225" i="1" s="1"/>
  <c r="H3226" i="1"/>
  <c r="I3226" i="1" s="1"/>
  <c r="H3227" i="1"/>
  <c r="I3227" i="1" s="1"/>
  <c r="H3228" i="1"/>
  <c r="I3228" i="1" s="1"/>
  <c r="H3229" i="1"/>
  <c r="I3229" i="1" s="1"/>
  <c r="H3230" i="1"/>
  <c r="I3230" i="1" s="1"/>
  <c r="H3231" i="1"/>
  <c r="I3231" i="1" s="1"/>
  <c r="H3232" i="1"/>
  <c r="I3232" i="1" s="1"/>
  <c r="H3233" i="1"/>
  <c r="I3233" i="1" s="1"/>
  <c r="H3234" i="1"/>
  <c r="I3234" i="1" s="1"/>
  <c r="H3235" i="1"/>
  <c r="I3235" i="1" s="1"/>
  <c r="H3236" i="1"/>
  <c r="I3236" i="1" s="1"/>
  <c r="H3237" i="1"/>
  <c r="I3237" i="1" s="1"/>
  <c r="H3238" i="1"/>
  <c r="I3238" i="1" s="1"/>
  <c r="H3239" i="1"/>
  <c r="I3239" i="1" s="1"/>
  <c r="H3240" i="1"/>
  <c r="I3240" i="1" s="1"/>
  <c r="H3241" i="1"/>
  <c r="I3241" i="1" s="1"/>
  <c r="H3242" i="1"/>
  <c r="I3242" i="1" s="1"/>
  <c r="H3243" i="1"/>
  <c r="I3243" i="1" s="1"/>
  <c r="H3244" i="1"/>
  <c r="I3244" i="1" s="1"/>
  <c r="H3245" i="1"/>
  <c r="I3245" i="1" s="1"/>
  <c r="H3246" i="1"/>
  <c r="I3246" i="1" s="1"/>
  <c r="H3247" i="1"/>
  <c r="I3247" i="1" s="1"/>
  <c r="H3248" i="1"/>
  <c r="I3248" i="1" s="1"/>
  <c r="H3249" i="1"/>
  <c r="I3249" i="1" s="1"/>
  <c r="H3250" i="1"/>
  <c r="I3250" i="1" s="1"/>
  <c r="H3251" i="1"/>
  <c r="I3251" i="1" s="1"/>
  <c r="H3252" i="1"/>
  <c r="I3252" i="1" s="1"/>
  <c r="H3253" i="1"/>
  <c r="I3253" i="1" s="1"/>
  <c r="H3254" i="1"/>
  <c r="I3254" i="1" s="1"/>
  <c r="H3255" i="1"/>
  <c r="I3255" i="1" s="1"/>
  <c r="H3256" i="1"/>
  <c r="I3256" i="1" s="1"/>
  <c r="H3257" i="1"/>
  <c r="I3257" i="1" s="1"/>
  <c r="H3258" i="1"/>
  <c r="I3258" i="1" s="1"/>
  <c r="H3259" i="1"/>
  <c r="I3259" i="1" s="1"/>
  <c r="H3260" i="1"/>
  <c r="I3260" i="1" s="1"/>
  <c r="H3261" i="1"/>
  <c r="I3261" i="1" s="1"/>
  <c r="H3262" i="1"/>
  <c r="I3262" i="1" s="1"/>
  <c r="H3263" i="1"/>
  <c r="I3263" i="1" s="1"/>
  <c r="H3264" i="1"/>
  <c r="I3264" i="1" s="1"/>
  <c r="H3265" i="1"/>
  <c r="I3265" i="1" s="1"/>
  <c r="H3266" i="1"/>
  <c r="I3266" i="1" s="1"/>
  <c r="H3267" i="1"/>
  <c r="I3267" i="1" s="1"/>
  <c r="H3268" i="1"/>
  <c r="I3268" i="1" s="1"/>
  <c r="H3269" i="1"/>
  <c r="I3269" i="1" s="1"/>
  <c r="H3270" i="1"/>
  <c r="I3270" i="1" s="1"/>
  <c r="H3271" i="1"/>
  <c r="I3271" i="1" s="1"/>
  <c r="H3272" i="1"/>
  <c r="I3272" i="1" s="1"/>
  <c r="H3273" i="1"/>
  <c r="I3273" i="1" s="1"/>
  <c r="H3274" i="1"/>
  <c r="I3274" i="1" s="1"/>
  <c r="H3275" i="1"/>
  <c r="I3275" i="1" s="1"/>
  <c r="H3276" i="1"/>
  <c r="I3276" i="1" s="1"/>
  <c r="H3277" i="1"/>
  <c r="I3277" i="1" s="1"/>
  <c r="H3278" i="1"/>
  <c r="I3278" i="1" s="1"/>
  <c r="H3279" i="1"/>
  <c r="I3279" i="1" s="1"/>
  <c r="H3280" i="1"/>
  <c r="I3280" i="1" s="1"/>
  <c r="H3281" i="1"/>
  <c r="I3281" i="1" s="1"/>
  <c r="H3282" i="1"/>
  <c r="I3282" i="1" s="1"/>
  <c r="H3283" i="1"/>
  <c r="I3283" i="1" s="1"/>
  <c r="H3284" i="1"/>
  <c r="I3284" i="1" s="1"/>
  <c r="H3285" i="1"/>
  <c r="I3285" i="1" s="1"/>
  <c r="H3286" i="1"/>
  <c r="I3286" i="1" s="1"/>
  <c r="H3287" i="1"/>
  <c r="I3287" i="1" s="1"/>
  <c r="H3288" i="1"/>
  <c r="I3288" i="1" s="1"/>
  <c r="H3289" i="1"/>
  <c r="I3289" i="1" s="1"/>
  <c r="H3290" i="1"/>
  <c r="I3290" i="1" s="1"/>
  <c r="H3291" i="1"/>
  <c r="I3291" i="1" s="1"/>
  <c r="H3292" i="1"/>
  <c r="I3292" i="1" s="1"/>
  <c r="H3293" i="1"/>
  <c r="I3293" i="1" s="1"/>
  <c r="H3294" i="1"/>
  <c r="I3294" i="1" s="1"/>
  <c r="H3295" i="1"/>
  <c r="I3295" i="1" s="1"/>
  <c r="H3296" i="1"/>
  <c r="I3296" i="1" s="1"/>
  <c r="H3297" i="1"/>
  <c r="I3297" i="1" s="1"/>
  <c r="H3298" i="1"/>
  <c r="I3298" i="1" s="1"/>
  <c r="H3299" i="1"/>
  <c r="I3299" i="1" s="1"/>
  <c r="H3300" i="1"/>
  <c r="I3300" i="1" s="1"/>
  <c r="H3301" i="1"/>
  <c r="I3301" i="1" s="1"/>
  <c r="H3302" i="1"/>
  <c r="I3302" i="1" s="1"/>
  <c r="H3303" i="1"/>
  <c r="I3303" i="1" s="1"/>
  <c r="H3304" i="1"/>
  <c r="I3304" i="1" s="1"/>
  <c r="H3305" i="1"/>
  <c r="I3305" i="1" s="1"/>
  <c r="H3306" i="1"/>
  <c r="I3306" i="1" s="1"/>
  <c r="H3307" i="1"/>
  <c r="I3307" i="1" s="1"/>
  <c r="H3308" i="1"/>
  <c r="I3308" i="1" s="1"/>
  <c r="H3309" i="1"/>
  <c r="I3309" i="1" s="1"/>
  <c r="H3310" i="1"/>
  <c r="I3310" i="1" s="1"/>
  <c r="H3311" i="1"/>
  <c r="I3311" i="1" s="1"/>
  <c r="H3312" i="1"/>
  <c r="I3312" i="1" s="1"/>
  <c r="H3313" i="1"/>
  <c r="I3313" i="1" s="1"/>
  <c r="H3314" i="1"/>
  <c r="I3314" i="1" s="1"/>
  <c r="H3315" i="1"/>
  <c r="I3315" i="1" s="1"/>
  <c r="H3316" i="1"/>
  <c r="I3316" i="1" s="1"/>
  <c r="H3317" i="1"/>
  <c r="I3317" i="1" s="1"/>
  <c r="H3318" i="1"/>
  <c r="I3318" i="1" s="1"/>
  <c r="H3319" i="1"/>
  <c r="I3319" i="1" s="1"/>
  <c r="H3320" i="1"/>
  <c r="I3320" i="1" s="1"/>
  <c r="H3321" i="1"/>
  <c r="I3321" i="1" s="1"/>
  <c r="H3322" i="1"/>
  <c r="I3322" i="1" s="1"/>
  <c r="H3323" i="1"/>
  <c r="I3323" i="1" s="1"/>
  <c r="H3324" i="1"/>
  <c r="I3324" i="1" s="1"/>
  <c r="H3325" i="1"/>
  <c r="I3325" i="1" s="1"/>
  <c r="H3326" i="1"/>
  <c r="I3326" i="1" s="1"/>
  <c r="H3327" i="1"/>
  <c r="I3327" i="1" s="1"/>
  <c r="H3328" i="1"/>
  <c r="I3328" i="1" s="1"/>
  <c r="H3329" i="1"/>
  <c r="I3329" i="1" s="1"/>
  <c r="H3330" i="1"/>
  <c r="I3330" i="1" s="1"/>
  <c r="H3331" i="1"/>
  <c r="I3331" i="1" s="1"/>
  <c r="H3332" i="1"/>
  <c r="I3332" i="1" s="1"/>
  <c r="H3333" i="1"/>
  <c r="I3333" i="1" s="1"/>
  <c r="H3334" i="1"/>
  <c r="I3334" i="1" s="1"/>
  <c r="H3335" i="1"/>
  <c r="I3335" i="1" s="1"/>
  <c r="H3336" i="1"/>
  <c r="I3336" i="1" s="1"/>
  <c r="H3337" i="1"/>
  <c r="I3337" i="1" s="1"/>
  <c r="H3338" i="1"/>
  <c r="I3338" i="1" s="1"/>
  <c r="H3339" i="1"/>
  <c r="I3339" i="1" s="1"/>
  <c r="H3340" i="1"/>
  <c r="I3340" i="1" s="1"/>
  <c r="H3341" i="1"/>
  <c r="I3341" i="1" s="1"/>
  <c r="H3342" i="1"/>
  <c r="I3342" i="1" s="1"/>
  <c r="H3343" i="1"/>
  <c r="I3343" i="1" s="1"/>
  <c r="H3344" i="1"/>
  <c r="I3344" i="1" s="1"/>
  <c r="H3345" i="1"/>
  <c r="I3345" i="1" s="1"/>
  <c r="H3346" i="1"/>
  <c r="I3346" i="1" s="1"/>
  <c r="H3347" i="1"/>
  <c r="I3347" i="1" s="1"/>
  <c r="H3348" i="1"/>
  <c r="I3348" i="1" s="1"/>
  <c r="H3349" i="1"/>
  <c r="I3349" i="1" s="1"/>
  <c r="H3350" i="1"/>
  <c r="I3350" i="1" s="1"/>
  <c r="H3351" i="1"/>
  <c r="I3351" i="1" s="1"/>
  <c r="H3352" i="1"/>
  <c r="I3352" i="1" s="1"/>
  <c r="H3353" i="1"/>
  <c r="I3353" i="1" s="1"/>
  <c r="H3354" i="1"/>
  <c r="I3354" i="1" s="1"/>
  <c r="H3355" i="1"/>
  <c r="I3355" i="1" s="1"/>
  <c r="H3356" i="1"/>
  <c r="I3356" i="1" s="1"/>
  <c r="H3357" i="1"/>
  <c r="I3357" i="1" s="1"/>
  <c r="H3358" i="1"/>
  <c r="I3358" i="1" s="1"/>
  <c r="H3359" i="1"/>
  <c r="I3359" i="1" s="1"/>
  <c r="H3360" i="1"/>
  <c r="I3360" i="1" s="1"/>
  <c r="H3361" i="1"/>
  <c r="I3361" i="1" s="1"/>
  <c r="H3362" i="1"/>
  <c r="I3362" i="1" s="1"/>
  <c r="H3363" i="1"/>
  <c r="I3363" i="1" s="1"/>
  <c r="H3364" i="1"/>
  <c r="I3364" i="1" s="1"/>
  <c r="H3365" i="1"/>
  <c r="I3365" i="1" s="1"/>
  <c r="H3366" i="1"/>
  <c r="I3366" i="1" s="1"/>
  <c r="H3367" i="1"/>
  <c r="I3367" i="1" s="1"/>
  <c r="H3368" i="1"/>
  <c r="I3368" i="1" s="1"/>
  <c r="H3369" i="1"/>
  <c r="I3369" i="1" s="1"/>
  <c r="H3370" i="1"/>
  <c r="I3370" i="1" s="1"/>
  <c r="H3371" i="1"/>
  <c r="I3371" i="1" s="1"/>
  <c r="H3372" i="1"/>
  <c r="I3372" i="1" s="1"/>
  <c r="H3373" i="1"/>
  <c r="I3373" i="1" s="1"/>
  <c r="H3374" i="1"/>
  <c r="I3374" i="1" s="1"/>
  <c r="H3375" i="1"/>
  <c r="I3375" i="1" s="1"/>
  <c r="H3376" i="1"/>
  <c r="I3376" i="1" s="1"/>
  <c r="H3377" i="1"/>
  <c r="I3377" i="1" s="1"/>
  <c r="H3378" i="1"/>
  <c r="I3378" i="1" s="1"/>
  <c r="H3379" i="1"/>
  <c r="I3379" i="1" s="1"/>
  <c r="H3380" i="1"/>
  <c r="I3380" i="1" s="1"/>
  <c r="H3381" i="1"/>
  <c r="I3381" i="1" s="1"/>
  <c r="H3382" i="1"/>
  <c r="I3382" i="1" s="1"/>
  <c r="H3383" i="1"/>
  <c r="I3383" i="1" s="1"/>
  <c r="H3384" i="1"/>
  <c r="I3384" i="1" s="1"/>
  <c r="H3385" i="1"/>
  <c r="I3385" i="1" s="1"/>
  <c r="H3386" i="1"/>
  <c r="I3386" i="1" s="1"/>
  <c r="H3387" i="1"/>
  <c r="I3387" i="1" s="1"/>
  <c r="H3388" i="1"/>
  <c r="I3388" i="1" s="1"/>
  <c r="H3389" i="1"/>
  <c r="I3389" i="1" s="1"/>
  <c r="H3390" i="1"/>
  <c r="I3390" i="1" s="1"/>
  <c r="H3391" i="1"/>
  <c r="I3391" i="1" s="1"/>
  <c r="H3392" i="1"/>
  <c r="I3392" i="1" s="1"/>
  <c r="H3393" i="1"/>
  <c r="I3393" i="1" s="1"/>
  <c r="H3394" i="1"/>
  <c r="I3394" i="1" s="1"/>
  <c r="H3395" i="1"/>
  <c r="I3395" i="1" s="1"/>
  <c r="H3396" i="1"/>
  <c r="I3396" i="1" s="1"/>
  <c r="H3397" i="1"/>
  <c r="I3397" i="1" s="1"/>
  <c r="H3398" i="1"/>
  <c r="I3398" i="1" s="1"/>
  <c r="H3399" i="1"/>
  <c r="I3399" i="1" s="1"/>
  <c r="H3400" i="1"/>
  <c r="I3400" i="1" s="1"/>
  <c r="H3401" i="1"/>
  <c r="I3401" i="1" s="1"/>
  <c r="H3402" i="1"/>
  <c r="I3402" i="1" s="1"/>
  <c r="H3403" i="1"/>
  <c r="I3403" i="1" s="1"/>
  <c r="H3404" i="1"/>
  <c r="I3404" i="1" s="1"/>
  <c r="H3405" i="1"/>
  <c r="I3405" i="1" s="1"/>
  <c r="H3406" i="1"/>
  <c r="I3406" i="1" s="1"/>
  <c r="H3407" i="1"/>
  <c r="I3407" i="1" s="1"/>
  <c r="H3408" i="1"/>
  <c r="I3408" i="1" s="1"/>
  <c r="H3409" i="1"/>
  <c r="I3409" i="1" s="1"/>
  <c r="H3410" i="1"/>
  <c r="I3410" i="1" s="1"/>
  <c r="H3411" i="1"/>
  <c r="I3411" i="1" s="1"/>
  <c r="H3412" i="1"/>
  <c r="I3412" i="1" s="1"/>
  <c r="H3413" i="1"/>
  <c r="I3413" i="1" s="1"/>
  <c r="H3414" i="1"/>
  <c r="I3414" i="1" s="1"/>
  <c r="H3415" i="1"/>
  <c r="I3415" i="1" s="1"/>
  <c r="H3416" i="1"/>
  <c r="I3416" i="1" s="1"/>
  <c r="H3417" i="1"/>
  <c r="I3417" i="1" s="1"/>
  <c r="H3418" i="1"/>
  <c r="I3418" i="1" s="1"/>
  <c r="H3419" i="1"/>
  <c r="I3419" i="1" s="1"/>
  <c r="H3420" i="1"/>
  <c r="I3420" i="1" s="1"/>
  <c r="H3421" i="1"/>
  <c r="I3421" i="1" s="1"/>
  <c r="H3422" i="1"/>
  <c r="I3422" i="1" s="1"/>
  <c r="H3423" i="1"/>
  <c r="I3423" i="1" s="1"/>
  <c r="H3424" i="1"/>
  <c r="I3424" i="1" s="1"/>
  <c r="H3425" i="1"/>
  <c r="I3425" i="1" s="1"/>
  <c r="H3426" i="1"/>
  <c r="I3426" i="1" s="1"/>
  <c r="H3427" i="1"/>
  <c r="I3427" i="1" s="1"/>
  <c r="H3428" i="1"/>
  <c r="I3428" i="1" s="1"/>
  <c r="H3429" i="1"/>
  <c r="I3429" i="1" s="1"/>
  <c r="H3430" i="1"/>
  <c r="I3430" i="1" s="1"/>
  <c r="H3431" i="1"/>
  <c r="I3431" i="1" s="1"/>
  <c r="H3432" i="1"/>
  <c r="I3432" i="1" s="1"/>
  <c r="H3433" i="1"/>
  <c r="I3433" i="1" s="1"/>
  <c r="H3434" i="1"/>
  <c r="I3434" i="1" s="1"/>
  <c r="H3435" i="1"/>
  <c r="I3435" i="1" s="1"/>
  <c r="H3436" i="1"/>
  <c r="I3436" i="1" s="1"/>
  <c r="H3437" i="1"/>
  <c r="I3437" i="1" s="1"/>
  <c r="H3438" i="1"/>
  <c r="I3438" i="1" s="1"/>
  <c r="H3439" i="1"/>
  <c r="I3439" i="1" s="1"/>
  <c r="H3440" i="1"/>
  <c r="I3440" i="1" s="1"/>
  <c r="H3441" i="1"/>
  <c r="I3441" i="1" s="1"/>
  <c r="H3442" i="1"/>
  <c r="I3442" i="1" s="1"/>
  <c r="H3443" i="1"/>
  <c r="I3443" i="1" s="1"/>
  <c r="H3444" i="1"/>
  <c r="I3444" i="1" s="1"/>
  <c r="H3445" i="1"/>
  <c r="I3445" i="1" s="1"/>
  <c r="H3446" i="1"/>
  <c r="I3446" i="1" s="1"/>
  <c r="H3447" i="1"/>
  <c r="I3447" i="1" s="1"/>
  <c r="H3448" i="1"/>
  <c r="I3448" i="1" s="1"/>
  <c r="H3449" i="1"/>
  <c r="I3449" i="1" s="1"/>
  <c r="H3450" i="1"/>
  <c r="I3450" i="1" s="1"/>
  <c r="H3451" i="1"/>
  <c r="I3451" i="1" s="1"/>
  <c r="H3452" i="1"/>
  <c r="I3452" i="1" s="1"/>
  <c r="H3453" i="1"/>
  <c r="I3453" i="1" s="1"/>
  <c r="H3454" i="1"/>
  <c r="I3454" i="1" s="1"/>
  <c r="H3455" i="1"/>
  <c r="I3455" i="1" s="1"/>
  <c r="H3456" i="1"/>
  <c r="I3456" i="1" s="1"/>
  <c r="H3457" i="1"/>
  <c r="I3457" i="1" s="1"/>
  <c r="H3458" i="1"/>
  <c r="I3458" i="1" s="1"/>
  <c r="H3459" i="1"/>
  <c r="I3459" i="1" s="1"/>
  <c r="H3460" i="1"/>
  <c r="I3460" i="1" s="1"/>
  <c r="H3461" i="1"/>
  <c r="I3461" i="1" s="1"/>
  <c r="H3462" i="1"/>
  <c r="I3462" i="1" s="1"/>
  <c r="H3463" i="1"/>
  <c r="I3463" i="1" s="1"/>
  <c r="H3464" i="1"/>
  <c r="I3464" i="1" s="1"/>
  <c r="H3465" i="1"/>
  <c r="I3465" i="1" s="1"/>
  <c r="H3466" i="1"/>
  <c r="I3466" i="1" s="1"/>
  <c r="H3467" i="1"/>
  <c r="I3467" i="1" s="1"/>
  <c r="H3468" i="1"/>
  <c r="I3468" i="1" s="1"/>
  <c r="H3469" i="1"/>
  <c r="I3469" i="1" s="1"/>
  <c r="H3470" i="1"/>
  <c r="I3470" i="1" s="1"/>
  <c r="H3471" i="1"/>
  <c r="I3471" i="1" s="1"/>
  <c r="H3472" i="1"/>
  <c r="I3472" i="1" s="1"/>
  <c r="H3473" i="1"/>
  <c r="I3473" i="1" s="1"/>
  <c r="H3474" i="1"/>
  <c r="I3474" i="1" s="1"/>
  <c r="H3475" i="1"/>
  <c r="I3475" i="1" s="1"/>
  <c r="H3476" i="1"/>
  <c r="I3476" i="1" s="1"/>
  <c r="H3477" i="1"/>
  <c r="I3477" i="1" s="1"/>
  <c r="H3478" i="1"/>
  <c r="I3478" i="1" s="1"/>
  <c r="H3479" i="1"/>
  <c r="I3479" i="1" s="1"/>
  <c r="H3480" i="1"/>
  <c r="I3480" i="1" s="1"/>
  <c r="H3481" i="1"/>
  <c r="I3481" i="1" s="1"/>
  <c r="H3482" i="1"/>
  <c r="I3482" i="1" s="1"/>
  <c r="H3483" i="1"/>
  <c r="I3483" i="1" s="1"/>
  <c r="H3484" i="1"/>
  <c r="I3484" i="1" s="1"/>
  <c r="H3485" i="1"/>
  <c r="I3485" i="1" s="1"/>
  <c r="H3486" i="1"/>
  <c r="I3486" i="1" s="1"/>
  <c r="H3487" i="1"/>
  <c r="I3487" i="1" s="1"/>
  <c r="H3488" i="1"/>
  <c r="I3488" i="1" s="1"/>
  <c r="H3489" i="1"/>
  <c r="I3489" i="1" s="1"/>
  <c r="H3490" i="1"/>
  <c r="I3490" i="1" s="1"/>
  <c r="H3491" i="1"/>
  <c r="I3491" i="1" s="1"/>
  <c r="H3492" i="1"/>
  <c r="I3492" i="1" s="1"/>
  <c r="H3493" i="1"/>
  <c r="I3493" i="1" s="1"/>
  <c r="H3494" i="1"/>
  <c r="I3494" i="1" s="1"/>
  <c r="H3495" i="1"/>
  <c r="I3495" i="1" s="1"/>
  <c r="H3496" i="1"/>
  <c r="I3496" i="1" s="1"/>
  <c r="H3497" i="1"/>
  <c r="I3497" i="1" s="1"/>
  <c r="H3498" i="1"/>
  <c r="I3498" i="1" s="1"/>
  <c r="H3499" i="1"/>
  <c r="I3499" i="1" s="1"/>
  <c r="H3500" i="1"/>
  <c r="I3500" i="1" s="1"/>
  <c r="H3501" i="1"/>
  <c r="I3501" i="1" s="1"/>
  <c r="H3502" i="1"/>
  <c r="I3502" i="1" s="1"/>
  <c r="H3503" i="1"/>
  <c r="I3503" i="1" s="1"/>
  <c r="H3504" i="1"/>
  <c r="I3504" i="1" s="1"/>
  <c r="H3505" i="1"/>
  <c r="I3505" i="1" s="1"/>
  <c r="H3506" i="1"/>
  <c r="I3506" i="1" s="1"/>
  <c r="H3507" i="1"/>
  <c r="I3507" i="1" s="1"/>
  <c r="H3508" i="1"/>
  <c r="I3508" i="1" s="1"/>
  <c r="H3509" i="1"/>
  <c r="I3509" i="1" s="1"/>
  <c r="H3510" i="1"/>
  <c r="I3510" i="1" s="1"/>
  <c r="H3511" i="1"/>
  <c r="I3511" i="1" s="1"/>
  <c r="H3512" i="1"/>
  <c r="I3512" i="1" s="1"/>
  <c r="H3513" i="1"/>
  <c r="I3513" i="1" s="1"/>
  <c r="H3514" i="1"/>
  <c r="I3514" i="1" s="1"/>
  <c r="H3515" i="1"/>
  <c r="I3515" i="1" s="1"/>
  <c r="H3516" i="1"/>
  <c r="I3516" i="1" s="1"/>
  <c r="H3517" i="1"/>
  <c r="I3517" i="1" s="1"/>
  <c r="H3518" i="1"/>
  <c r="I3518" i="1" s="1"/>
  <c r="H3519" i="1"/>
  <c r="I3519" i="1" s="1"/>
  <c r="H3520" i="1"/>
  <c r="I3520" i="1" s="1"/>
  <c r="H3521" i="1"/>
  <c r="I3521" i="1" s="1"/>
  <c r="H3522" i="1"/>
  <c r="I3522" i="1" s="1"/>
  <c r="H3523" i="1"/>
  <c r="I3523" i="1" s="1"/>
  <c r="H3524" i="1"/>
  <c r="I3524" i="1" s="1"/>
  <c r="H3525" i="1"/>
  <c r="I3525" i="1" s="1"/>
  <c r="H3526" i="1"/>
  <c r="I3526" i="1" s="1"/>
  <c r="H3527" i="1"/>
  <c r="I3527" i="1" s="1"/>
  <c r="H3528" i="1"/>
  <c r="I3528" i="1" s="1"/>
  <c r="H3529" i="1"/>
  <c r="I3529" i="1" s="1"/>
  <c r="H3530" i="1"/>
  <c r="I3530" i="1" s="1"/>
  <c r="H3531" i="1"/>
  <c r="I3531" i="1" s="1"/>
  <c r="H3532" i="1"/>
  <c r="I3532" i="1" s="1"/>
  <c r="H3533" i="1"/>
  <c r="I3533" i="1" s="1"/>
  <c r="H3534" i="1"/>
  <c r="I3534" i="1" s="1"/>
  <c r="H3535" i="1"/>
  <c r="I3535" i="1" s="1"/>
  <c r="H3536" i="1"/>
  <c r="I3536" i="1" s="1"/>
  <c r="H3537" i="1"/>
  <c r="I3537" i="1" s="1"/>
  <c r="H3538" i="1"/>
  <c r="I3538" i="1" s="1"/>
  <c r="H3539" i="1"/>
  <c r="I3539" i="1" s="1"/>
  <c r="H3540" i="1"/>
  <c r="I3540" i="1" s="1"/>
  <c r="H3541" i="1"/>
  <c r="I3541" i="1" s="1"/>
  <c r="H3542" i="1"/>
  <c r="I3542" i="1" s="1"/>
  <c r="H3543" i="1"/>
  <c r="I3543" i="1" s="1"/>
  <c r="H3544" i="1"/>
  <c r="I3544" i="1" s="1"/>
  <c r="H3545" i="1"/>
  <c r="I3545" i="1" s="1"/>
  <c r="H3546" i="1"/>
  <c r="I3546" i="1" s="1"/>
  <c r="H3547" i="1"/>
  <c r="I3547" i="1" s="1"/>
  <c r="H3548" i="1"/>
  <c r="I3548" i="1" s="1"/>
  <c r="H3549" i="1"/>
  <c r="I3549" i="1" s="1"/>
  <c r="H3550" i="1"/>
  <c r="I3550" i="1" s="1"/>
  <c r="H3551" i="1"/>
  <c r="I3551" i="1" s="1"/>
  <c r="H3552" i="1"/>
  <c r="I3552" i="1" s="1"/>
  <c r="H3553" i="1"/>
  <c r="I3553" i="1" s="1"/>
  <c r="H3554" i="1"/>
  <c r="I3554" i="1" s="1"/>
  <c r="H3555" i="1"/>
  <c r="I3555" i="1" s="1"/>
  <c r="H3556" i="1"/>
  <c r="I3556" i="1" s="1"/>
  <c r="H3557" i="1"/>
  <c r="I3557" i="1" s="1"/>
  <c r="H3558" i="1"/>
  <c r="I3558" i="1" s="1"/>
  <c r="H3559" i="1"/>
  <c r="I3559" i="1" s="1"/>
  <c r="H3560" i="1"/>
  <c r="I3560" i="1" s="1"/>
  <c r="H3561" i="1"/>
  <c r="I3561" i="1" s="1"/>
  <c r="H3562" i="1"/>
  <c r="I3562" i="1" s="1"/>
  <c r="H3563" i="1"/>
  <c r="I3563" i="1" s="1"/>
  <c r="H3564" i="1"/>
  <c r="I3564" i="1" s="1"/>
  <c r="H3565" i="1"/>
  <c r="I3565" i="1" s="1"/>
  <c r="H3566" i="1"/>
  <c r="I3566" i="1" s="1"/>
  <c r="H3567" i="1"/>
  <c r="I3567" i="1" s="1"/>
  <c r="H3568" i="1"/>
  <c r="I3568" i="1" s="1"/>
  <c r="H3569" i="1"/>
  <c r="I3569" i="1" s="1"/>
  <c r="H3570" i="1"/>
  <c r="I3570" i="1" s="1"/>
  <c r="H3571" i="1"/>
  <c r="I3571" i="1" s="1"/>
  <c r="H3572" i="1"/>
  <c r="I3572" i="1" s="1"/>
  <c r="H3573" i="1"/>
  <c r="I3573" i="1" s="1"/>
  <c r="H3574" i="1"/>
  <c r="I3574" i="1" s="1"/>
  <c r="H3575" i="1"/>
  <c r="I3575" i="1" s="1"/>
  <c r="H3576" i="1"/>
  <c r="I3576" i="1" s="1"/>
  <c r="H3577" i="1"/>
  <c r="I3577" i="1" s="1"/>
  <c r="H3578" i="1"/>
  <c r="I3578" i="1" s="1"/>
  <c r="H3579" i="1"/>
  <c r="I3579" i="1" s="1"/>
  <c r="H3580" i="1"/>
  <c r="I3580" i="1" s="1"/>
  <c r="H3581" i="1"/>
  <c r="I3581" i="1" s="1"/>
  <c r="H3582" i="1"/>
  <c r="I3582" i="1" s="1"/>
  <c r="H3583" i="1"/>
  <c r="I3583" i="1" s="1"/>
  <c r="H3584" i="1"/>
  <c r="I3584" i="1" s="1"/>
  <c r="H3585" i="1"/>
  <c r="I3585" i="1" s="1"/>
  <c r="H3586" i="1"/>
  <c r="I3586" i="1" s="1"/>
  <c r="H3587" i="1"/>
  <c r="I3587" i="1" s="1"/>
  <c r="H3588" i="1"/>
  <c r="I3588" i="1" s="1"/>
  <c r="H3589" i="1"/>
  <c r="I3589" i="1" s="1"/>
  <c r="H3590" i="1"/>
  <c r="I3590" i="1" s="1"/>
  <c r="H3591" i="1"/>
  <c r="I3591" i="1" s="1"/>
  <c r="H3592" i="1"/>
  <c r="I3592" i="1" s="1"/>
  <c r="H3593" i="1"/>
  <c r="I3593" i="1" s="1"/>
  <c r="H3594" i="1"/>
  <c r="I3594" i="1" s="1"/>
  <c r="H3595" i="1"/>
  <c r="I3595" i="1" s="1"/>
  <c r="H3596" i="1"/>
  <c r="I3596" i="1" s="1"/>
  <c r="H3597" i="1"/>
  <c r="I3597" i="1" s="1"/>
  <c r="H3598" i="1"/>
  <c r="I3598" i="1" s="1"/>
  <c r="H3599" i="1"/>
  <c r="I3599" i="1" s="1"/>
  <c r="H3600" i="1"/>
  <c r="I3600" i="1" s="1"/>
  <c r="H3601" i="1"/>
  <c r="I3601" i="1" s="1"/>
  <c r="H3602" i="1"/>
  <c r="I3602" i="1" s="1"/>
  <c r="H3603" i="1"/>
  <c r="I3603" i="1" s="1"/>
  <c r="H3604" i="1"/>
  <c r="I3604" i="1" s="1"/>
  <c r="H3605" i="1"/>
  <c r="I3605" i="1" s="1"/>
  <c r="H3606" i="1"/>
  <c r="I3606" i="1" s="1"/>
  <c r="H3607" i="1"/>
  <c r="I3607" i="1" s="1"/>
  <c r="H3608" i="1"/>
  <c r="I3608" i="1" s="1"/>
  <c r="H3609" i="1"/>
  <c r="I3609" i="1" s="1"/>
  <c r="H3610" i="1"/>
  <c r="I3610" i="1" s="1"/>
  <c r="H3611" i="1"/>
  <c r="I3611" i="1" s="1"/>
  <c r="H3612" i="1"/>
  <c r="I3612" i="1" s="1"/>
  <c r="H3613" i="1"/>
  <c r="I3613" i="1" s="1"/>
  <c r="H3614" i="1"/>
  <c r="I3614" i="1" s="1"/>
  <c r="H3615" i="1"/>
  <c r="I3615" i="1" s="1"/>
  <c r="H3616" i="1"/>
  <c r="I3616" i="1" s="1"/>
  <c r="H3617" i="1"/>
  <c r="I3617" i="1" s="1"/>
  <c r="H3618" i="1"/>
  <c r="I3618" i="1" s="1"/>
  <c r="H3619" i="1"/>
  <c r="I3619" i="1" s="1"/>
  <c r="H3620" i="1"/>
  <c r="I3620" i="1" s="1"/>
  <c r="H3621" i="1"/>
  <c r="I3621" i="1" s="1"/>
  <c r="H3622" i="1"/>
  <c r="I3622" i="1" s="1"/>
  <c r="H3623" i="1"/>
  <c r="I3623" i="1" s="1"/>
  <c r="H3624" i="1"/>
  <c r="I3624" i="1" s="1"/>
  <c r="H3625" i="1"/>
  <c r="I3625" i="1" s="1"/>
  <c r="H3626" i="1"/>
  <c r="I3626" i="1" s="1"/>
  <c r="H3627" i="1"/>
  <c r="I3627" i="1" s="1"/>
  <c r="H3628" i="1"/>
  <c r="I3628" i="1" s="1"/>
  <c r="H3629" i="1"/>
  <c r="I3629" i="1" s="1"/>
  <c r="H3630" i="1"/>
  <c r="I3630" i="1" s="1"/>
  <c r="H3631" i="1"/>
  <c r="I3631" i="1" s="1"/>
  <c r="H3632" i="1"/>
  <c r="I3632" i="1" s="1"/>
  <c r="H3633" i="1"/>
  <c r="I3633" i="1" s="1"/>
  <c r="H3634" i="1"/>
  <c r="I3634" i="1" s="1"/>
  <c r="H3635" i="1"/>
  <c r="I3635" i="1" s="1"/>
  <c r="H3636" i="1"/>
  <c r="I3636" i="1" s="1"/>
  <c r="H3637" i="1"/>
  <c r="I3637" i="1" s="1"/>
  <c r="H3638" i="1"/>
  <c r="I3638" i="1" s="1"/>
  <c r="H3639" i="1"/>
  <c r="I3639" i="1" s="1"/>
  <c r="H3640" i="1"/>
  <c r="I3640" i="1" s="1"/>
  <c r="H3641" i="1"/>
  <c r="I3641" i="1" s="1"/>
  <c r="H3642" i="1"/>
  <c r="I3642" i="1" s="1"/>
  <c r="H3643" i="1"/>
  <c r="I3643" i="1" s="1"/>
  <c r="H3644" i="1"/>
  <c r="I3644" i="1" s="1"/>
  <c r="H3645" i="1"/>
  <c r="I3645" i="1" s="1"/>
  <c r="H3646" i="1"/>
  <c r="I3646" i="1" s="1"/>
  <c r="H3647" i="1"/>
  <c r="I3647" i="1" s="1"/>
  <c r="H3648" i="1"/>
  <c r="I3648" i="1" s="1"/>
  <c r="H3649" i="1"/>
  <c r="I3649" i="1" s="1"/>
  <c r="H3650" i="1"/>
  <c r="I3650" i="1" s="1"/>
  <c r="H3651" i="1"/>
  <c r="I3651" i="1" s="1"/>
  <c r="H3652" i="1"/>
  <c r="I3652" i="1" s="1"/>
  <c r="H3653" i="1"/>
  <c r="I3653" i="1" s="1"/>
  <c r="H3654" i="1"/>
  <c r="I3654" i="1" s="1"/>
  <c r="H3655" i="1"/>
  <c r="I3655" i="1" s="1"/>
  <c r="H3656" i="1"/>
  <c r="I3656" i="1" s="1"/>
  <c r="H3657" i="1"/>
  <c r="I3657" i="1" s="1"/>
  <c r="H3658" i="1"/>
  <c r="I3658" i="1" s="1"/>
  <c r="H3659" i="1"/>
  <c r="I3659" i="1" s="1"/>
  <c r="H3660" i="1"/>
  <c r="I3660" i="1" s="1"/>
  <c r="H3661" i="1"/>
  <c r="I3661" i="1" s="1"/>
  <c r="H3662" i="1"/>
  <c r="I3662" i="1" s="1"/>
  <c r="H3663" i="1"/>
  <c r="I3663" i="1" s="1"/>
  <c r="H3664" i="1"/>
  <c r="I3664" i="1" s="1"/>
  <c r="H3665" i="1"/>
  <c r="I3665" i="1" s="1"/>
  <c r="H3666" i="1"/>
  <c r="I3666" i="1" s="1"/>
  <c r="H3667" i="1"/>
  <c r="I3667" i="1" s="1"/>
  <c r="H3668" i="1"/>
  <c r="I3668" i="1" s="1"/>
  <c r="H3669" i="1"/>
  <c r="I3669" i="1" s="1"/>
  <c r="H3670" i="1"/>
  <c r="I3670" i="1" s="1"/>
  <c r="H3671" i="1"/>
  <c r="I3671" i="1" s="1"/>
  <c r="H3672" i="1"/>
  <c r="I3672" i="1" s="1"/>
  <c r="H3673" i="1"/>
  <c r="I3673" i="1" s="1"/>
  <c r="H3674" i="1"/>
  <c r="I3674" i="1" s="1"/>
  <c r="H3675" i="1"/>
  <c r="I3675" i="1" s="1"/>
  <c r="H3676" i="1"/>
  <c r="I3676" i="1" s="1"/>
  <c r="H3677" i="1"/>
  <c r="I3677" i="1" s="1"/>
  <c r="H3678" i="1"/>
  <c r="I3678" i="1" s="1"/>
  <c r="H3679" i="1"/>
  <c r="I3679" i="1" s="1"/>
  <c r="H3680" i="1"/>
  <c r="I3680" i="1" s="1"/>
  <c r="H3681" i="1"/>
  <c r="I3681" i="1" s="1"/>
  <c r="H3682" i="1"/>
  <c r="I3682" i="1" s="1"/>
  <c r="H3683" i="1"/>
  <c r="I3683" i="1" s="1"/>
  <c r="H3684" i="1"/>
  <c r="I3684" i="1" s="1"/>
  <c r="H3685" i="1"/>
  <c r="I3685" i="1" s="1"/>
  <c r="H3686" i="1"/>
  <c r="I3686" i="1" s="1"/>
  <c r="H3687" i="1"/>
  <c r="I3687" i="1" s="1"/>
  <c r="H3688" i="1"/>
  <c r="I3688" i="1" s="1"/>
  <c r="H3689" i="1"/>
  <c r="I3689" i="1" s="1"/>
  <c r="H3690" i="1"/>
  <c r="I3690" i="1" s="1"/>
  <c r="H3691" i="1"/>
  <c r="I3691" i="1" s="1"/>
  <c r="H3692" i="1"/>
  <c r="I3692" i="1" s="1"/>
  <c r="H3693" i="1"/>
  <c r="I3693" i="1" s="1"/>
  <c r="H3694" i="1"/>
  <c r="I3694" i="1" s="1"/>
  <c r="H3695" i="1"/>
  <c r="I3695" i="1" s="1"/>
  <c r="H3696" i="1"/>
  <c r="I3696" i="1" s="1"/>
  <c r="H3697" i="1"/>
  <c r="I3697" i="1" s="1"/>
  <c r="H3698" i="1"/>
  <c r="I3698" i="1" s="1"/>
  <c r="H3699" i="1"/>
  <c r="I3699" i="1" s="1"/>
  <c r="H3700" i="1"/>
  <c r="I3700" i="1" s="1"/>
  <c r="H3701" i="1"/>
  <c r="I3701" i="1" s="1"/>
  <c r="H3702" i="1"/>
  <c r="I3702" i="1" s="1"/>
  <c r="H3703" i="1"/>
  <c r="I3703" i="1" s="1"/>
  <c r="H3704" i="1"/>
  <c r="I3704" i="1" s="1"/>
  <c r="H3705" i="1"/>
  <c r="I3705" i="1" s="1"/>
  <c r="H3706" i="1"/>
  <c r="I3706" i="1" s="1"/>
  <c r="H3707" i="1"/>
  <c r="I3707" i="1" s="1"/>
  <c r="H3708" i="1"/>
  <c r="I3708" i="1" s="1"/>
  <c r="H3709" i="1"/>
  <c r="I3709" i="1" s="1"/>
  <c r="H3710" i="1"/>
  <c r="I3710" i="1" s="1"/>
  <c r="H3711" i="1"/>
  <c r="I3711" i="1" s="1"/>
  <c r="H3712" i="1"/>
  <c r="I3712" i="1" s="1"/>
  <c r="H3713" i="1"/>
  <c r="I3713" i="1" s="1"/>
  <c r="H3714" i="1"/>
  <c r="I3714" i="1" s="1"/>
  <c r="H3715" i="1"/>
  <c r="I3715" i="1" s="1"/>
  <c r="H3716" i="1"/>
  <c r="I3716" i="1" s="1"/>
  <c r="H3717" i="1"/>
  <c r="I3717" i="1" s="1"/>
  <c r="H3718" i="1"/>
  <c r="I3718" i="1" s="1"/>
  <c r="H3719" i="1"/>
  <c r="I3719" i="1" s="1"/>
  <c r="H3720" i="1"/>
  <c r="I3720" i="1" s="1"/>
  <c r="H3721" i="1"/>
  <c r="I3721" i="1" s="1"/>
  <c r="H3722" i="1"/>
  <c r="I3722" i="1" s="1"/>
  <c r="H3723" i="1"/>
  <c r="I3723" i="1" s="1"/>
  <c r="H3724" i="1"/>
  <c r="I3724" i="1" s="1"/>
  <c r="H3725" i="1"/>
  <c r="I3725" i="1" s="1"/>
  <c r="H3726" i="1"/>
  <c r="I3726" i="1" s="1"/>
  <c r="H3727" i="1"/>
  <c r="I3727" i="1" s="1"/>
  <c r="H3728" i="1"/>
  <c r="I3728" i="1" s="1"/>
  <c r="H3729" i="1"/>
  <c r="I3729" i="1" s="1"/>
  <c r="H3730" i="1"/>
  <c r="I3730" i="1" s="1"/>
  <c r="H3731" i="1"/>
  <c r="I3731" i="1" s="1"/>
  <c r="H3732" i="1"/>
  <c r="I3732" i="1" s="1"/>
  <c r="H3733" i="1"/>
  <c r="I3733" i="1" s="1"/>
  <c r="H3734" i="1"/>
  <c r="I3734" i="1" s="1"/>
  <c r="H3735" i="1"/>
  <c r="I3735" i="1" s="1"/>
  <c r="H3736" i="1"/>
  <c r="I3736" i="1" s="1"/>
  <c r="H3737" i="1"/>
  <c r="I3737" i="1" s="1"/>
  <c r="H3738" i="1"/>
  <c r="I3738" i="1" s="1"/>
  <c r="H3739" i="1"/>
  <c r="I3739" i="1" s="1"/>
  <c r="H3740" i="1"/>
  <c r="I3740" i="1" s="1"/>
  <c r="H3741" i="1"/>
  <c r="I3741" i="1" s="1"/>
  <c r="H3742" i="1"/>
  <c r="I3742" i="1" s="1"/>
  <c r="H3743" i="1"/>
  <c r="I3743" i="1" s="1"/>
  <c r="H3744" i="1"/>
  <c r="I3744" i="1" s="1"/>
  <c r="H3745" i="1"/>
  <c r="I3745" i="1" s="1"/>
  <c r="H3746" i="1"/>
  <c r="I3746" i="1" s="1"/>
  <c r="H3747" i="1"/>
  <c r="I3747" i="1" s="1"/>
  <c r="H3748" i="1"/>
  <c r="I3748" i="1" s="1"/>
  <c r="H3749" i="1"/>
  <c r="I3749" i="1" s="1"/>
  <c r="H3750" i="1"/>
  <c r="I3750" i="1" s="1"/>
  <c r="H3751" i="1"/>
  <c r="I3751" i="1" s="1"/>
  <c r="H3752" i="1"/>
  <c r="I3752" i="1" s="1"/>
  <c r="H3753" i="1"/>
  <c r="I3753" i="1" s="1"/>
  <c r="H3754" i="1"/>
  <c r="I3754" i="1" s="1"/>
  <c r="H3755" i="1"/>
  <c r="I3755" i="1" s="1"/>
  <c r="H3756" i="1"/>
  <c r="I3756" i="1" s="1"/>
  <c r="H3757" i="1"/>
  <c r="I3757" i="1" s="1"/>
  <c r="H3758" i="1"/>
  <c r="I3758" i="1" s="1"/>
  <c r="H3759" i="1"/>
  <c r="I3759" i="1" s="1"/>
  <c r="H3760" i="1"/>
  <c r="I3760" i="1" s="1"/>
  <c r="H3761" i="1"/>
  <c r="I3761" i="1" s="1"/>
  <c r="H3762" i="1"/>
  <c r="I3762" i="1" s="1"/>
  <c r="H3763" i="1"/>
  <c r="I3763" i="1" s="1"/>
  <c r="H3764" i="1"/>
  <c r="I3764" i="1" s="1"/>
  <c r="H3765" i="1"/>
  <c r="I3765" i="1" s="1"/>
  <c r="H3766" i="1"/>
  <c r="I3766" i="1" s="1"/>
  <c r="H3767" i="1"/>
  <c r="I3767" i="1" s="1"/>
  <c r="H3768" i="1"/>
  <c r="I3768" i="1" s="1"/>
  <c r="H3769" i="1"/>
  <c r="I3769" i="1" s="1"/>
  <c r="H3770" i="1"/>
  <c r="I3770" i="1" s="1"/>
  <c r="H3771" i="1"/>
  <c r="I3771" i="1" s="1"/>
  <c r="H3772" i="1"/>
  <c r="I3772" i="1" s="1"/>
  <c r="H3773" i="1"/>
  <c r="I3773" i="1" s="1"/>
  <c r="H3774" i="1"/>
  <c r="I3774" i="1" s="1"/>
  <c r="H3775" i="1"/>
  <c r="I3775" i="1" s="1"/>
  <c r="H3776" i="1"/>
  <c r="I3776" i="1" s="1"/>
  <c r="H3777" i="1"/>
  <c r="I3777" i="1" s="1"/>
  <c r="H3778" i="1"/>
  <c r="I3778" i="1" s="1"/>
  <c r="H3779" i="1"/>
  <c r="I3779" i="1" s="1"/>
  <c r="H3780" i="1"/>
  <c r="I3780" i="1" s="1"/>
  <c r="H3781" i="1"/>
  <c r="I3781" i="1" s="1"/>
  <c r="H3782" i="1"/>
  <c r="I3782" i="1" s="1"/>
  <c r="H3783" i="1"/>
  <c r="I3783" i="1" s="1"/>
  <c r="H3784" i="1"/>
  <c r="I3784" i="1" s="1"/>
  <c r="H3785" i="1"/>
  <c r="I3785" i="1" s="1"/>
  <c r="H3786" i="1"/>
  <c r="I3786" i="1" s="1"/>
  <c r="H3787" i="1"/>
  <c r="I3787" i="1" s="1"/>
  <c r="H3788" i="1"/>
  <c r="I3788" i="1" s="1"/>
  <c r="H3789" i="1"/>
  <c r="I3789" i="1" s="1"/>
  <c r="H3790" i="1"/>
  <c r="I3790" i="1" s="1"/>
  <c r="H3791" i="1"/>
  <c r="I3791" i="1" s="1"/>
  <c r="H3792" i="1"/>
  <c r="I3792" i="1" s="1"/>
  <c r="H3793" i="1"/>
  <c r="I3793" i="1" s="1"/>
  <c r="H3794" i="1"/>
  <c r="I3794" i="1" s="1"/>
  <c r="H3795" i="1"/>
  <c r="I3795" i="1" s="1"/>
  <c r="H3796" i="1"/>
  <c r="I3796" i="1" s="1"/>
  <c r="H3797" i="1"/>
  <c r="I3797" i="1" s="1"/>
  <c r="H3798" i="1"/>
  <c r="I3798" i="1" s="1"/>
  <c r="H3799" i="1"/>
  <c r="I3799" i="1" s="1"/>
  <c r="H3800" i="1"/>
  <c r="I3800" i="1" s="1"/>
  <c r="H3801" i="1"/>
  <c r="I3801" i="1" s="1"/>
  <c r="H3802" i="1"/>
  <c r="I3802" i="1" s="1"/>
  <c r="H3803" i="1"/>
  <c r="I3803" i="1" s="1"/>
  <c r="H3804" i="1"/>
  <c r="I3804" i="1" s="1"/>
  <c r="H3805" i="1"/>
  <c r="I3805" i="1" s="1"/>
  <c r="H3806" i="1"/>
  <c r="I3806" i="1" s="1"/>
  <c r="H3807" i="1"/>
  <c r="I3807" i="1" s="1"/>
  <c r="H3808" i="1"/>
  <c r="I3808" i="1" s="1"/>
  <c r="H3809" i="1"/>
  <c r="I3809" i="1" s="1"/>
  <c r="H3810" i="1"/>
  <c r="I3810" i="1" s="1"/>
  <c r="H3811" i="1"/>
  <c r="I3811" i="1" s="1"/>
  <c r="H3812" i="1"/>
  <c r="I3812" i="1" s="1"/>
  <c r="H3813" i="1"/>
  <c r="I3813" i="1" s="1"/>
  <c r="H3814" i="1"/>
  <c r="I3814" i="1" s="1"/>
  <c r="H3815" i="1"/>
  <c r="I3815" i="1" s="1"/>
  <c r="H3816" i="1"/>
  <c r="I3816" i="1" s="1"/>
  <c r="H3817" i="1"/>
  <c r="I3817" i="1" s="1"/>
  <c r="H3818" i="1"/>
  <c r="I3818" i="1" s="1"/>
  <c r="H3819" i="1"/>
  <c r="I3819" i="1" s="1"/>
  <c r="H3820" i="1"/>
  <c r="I3820" i="1" s="1"/>
  <c r="H3821" i="1"/>
  <c r="I3821" i="1" s="1"/>
  <c r="H3822" i="1"/>
  <c r="I3822" i="1" s="1"/>
  <c r="H3823" i="1"/>
  <c r="I3823" i="1" s="1"/>
  <c r="H3824" i="1"/>
  <c r="I3824" i="1" s="1"/>
  <c r="H3825" i="1"/>
  <c r="I3825" i="1" s="1"/>
  <c r="H3826" i="1"/>
  <c r="I3826" i="1" s="1"/>
  <c r="H3827" i="1"/>
  <c r="I3827" i="1" s="1"/>
  <c r="H3828" i="1"/>
  <c r="I3828" i="1" s="1"/>
  <c r="H3829" i="1"/>
  <c r="I3829" i="1" s="1"/>
  <c r="H3830" i="1"/>
  <c r="I3830" i="1" s="1"/>
  <c r="H3831" i="1"/>
  <c r="I3831" i="1" s="1"/>
  <c r="H3832" i="1"/>
  <c r="I3832" i="1" s="1"/>
  <c r="H3833" i="1"/>
  <c r="I3833" i="1" s="1"/>
  <c r="H3834" i="1"/>
  <c r="I3834" i="1" s="1"/>
  <c r="H3835" i="1"/>
  <c r="I3835" i="1" s="1"/>
  <c r="H3836" i="1"/>
  <c r="I3836" i="1" s="1"/>
  <c r="H3837" i="1"/>
  <c r="I3837" i="1" s="1"/>
  <c r="H3838" i="1"/>
  <c r="I3838" i="1" s="1"/>
  <c r="H3839" i="1"/>
  <c r="I3839" i="1" s="1"/>
  <c r="H3840" i="1"/>
  <c r="I3840" i="1" s="1"/>
  <c r="H3841" i="1"/>
  <c r="I3841" i="1" s="1"/>
  <c r="H3842" i="1"/>
  <c r="I3842" i="1" s="1"/>
  <c r="H3843" i="1"/>
  <c r="I3843" i="1" s="1"/>
  <c r="H3844" i="1"/>
  <c r="I3844" i="1" s="1"/>
  <c r="H3845" i="1"/>
  <c r="I3845" i="1" s="1"/>
  <c r="H3846" i="1"/>
  <c r="I3846" i="1" s="1"/>
  <c r="H3847" i="1"/>
  <c r="I3847" i="1" s="1"/>
  <c r="H3848" i="1"/>
  <c r="I3848" i="1" s="1"/>
  <c r="H3849" i="1"/>
  <c r="I3849" i="1" s="1"/>
  <c r="H3850" i="1"/>
  <c r="I3850" i="1" s="1"/>
  <c r="H3851" i="1"/>
  <c r="I3851" i="1" s="1"/>
  <c r="H3852" i="1"/>
  <c r="I3852" i="1" s="1"/>
  <c r="H3853" i="1"/>
  <c r="I3853" i="1" s="1"/>
  <c r="H3854" i="1"/>
  <c r="I3854" i="1" s="1"/>
  <c r="H3855" i="1"/>
  <c r="I3855" i="1" s="1"/>
  <c r="H3856" i="1"/>
  <c r="I3856" i="1" s="1"/>
  <c r="H3857" i="1"/>
  <c r="I3857" i="1" s="1"/>
  <c r="H3858" i="1"/>
  <c r="I3858" i="1" s="1"/>
  <c r="H3859" i="1"/>
  <c r="I3859" i="1" s="1"/>
  <c r="H3860" i="1"/>
  <c r="I3860" i="1" s="1"/>
  <c r="H3861" i="1"/>
  <c r="I3861" i="1" s="1"/>
  <c r="H3862" i="1"/>
  <c r="I3862" i="1" s="1"/>
  <c r="H3863" i="1"/>
  <c r="I3863" i="1" s="1"/>
  <c r="H3864" i="1"/>
  <c r="I3864" i="1" s="1"/>
  <c r="H3865" i="1"/>
  <c r="I3865" i="1" s="1"/>
  <c r="H3866" i="1"/>
  <c r="I3866" i="1" s="1"/>
  <c r="H3867" i="1"/>
  <c r="I3867" i="1" s="1"/>
  <c r="H3868" i="1"/>
  <c r="I3868" i="1" s="1"/>
  <c r="H3869" i="1"/>
  <c r="I3869" i="1" s="1"/>
  <c r="H3870" i="1"/>
  <c r="I3870" i="1" s="1"/>
  <c r="H3871" i="1"/>
  <c r="I3871" i="1" s="1"/>
  <c r="H3872" i="1"/>
  <c r="I3872" i="1" s="1"/>
  <c r="H3873" i="1"/>
  <c r="I3873" i="1" s="1"/>
  <c r="H3874" i="1"/>
  <c r="I3874" i="1" s="1"/>
  <c r="H3875" i="1"/>
  <c r="I3875" i="1" s="1"/>
  <c r="H3876" i="1"/>
  <c r="I3876" i="1" s="1"/>
  <c r="H3877" i="1"/>
  <c r="I3877" i="1" s="1"/>
  <c r="H3878" i="1"/>
  <c r="I3878" i="1" s="1"/>
  <c r="H3879" i="1"/>
  <c r="I3879" i="1" s="1"/>
  <c r="H3880" i="1"/>
  <c r="I3880" i="1" s="1"/>
  <c r="H3881" i="1"/>
  <c r="I3881" i="1" s="1"/>
  <c r="H3882" i="1"/>
  <c r="I3882" i="1" s="1"/>
  <c r="H3883" i="1"/>
  <c r="I3883" i="1" s="1"/>
  <c r="H3884" i="1"/>
  <c r="I3884" i="1" s="1"/>
  <c r="H3885" i="1"/>
  <c r="I3885" i="1" s="1"/>
  <c r="H3886" i="1"/>
  <c r="I3886" i="1" s="1"/>
  <c r="H3887" i="1"/>
  <c r="I3887" i="1" s="1"/>
  <c r="H3888" i="1"/>
  <c r="I3888" i="1" s="1"/>
  <c r="H3889" i="1"/>
  <c r="I3889" i="1" s="1"/>
  <c r="H3890" i="1"/>
  <c r="I3890" i="1" s="1"/>
  <c r="H3891" i="1"/>
  <c r="I3891" i="1" s="1"/>
  <c r="H3892" i="1"/>
  <c r="I3892" i="1" s="1"/>
  <c r="H3893" i="1"/>
  <c r="I3893" i="1" s="1"/>
  <c r="H3894" i="1"/>
  <c r="I3894" i="1" s="1"/>
  <c r="H3895" i="1"/>
  <c r="I3895" i="1" s="1"/>
  <c r="H3896" i="1"/>
  <c r="I3896" i="1" s="1"/>
  <c r="H3897" i="1"/>
  <c r="I3897" i="1" s="1"/>
  <c r="H3898" i="1"/>
  <c r="I3898" i="1" s="1"/>
  <c r="H3899" i="1"/>
  <c r="I3899" i="1" s="1"/>
  <c r="H3900" i="1"/>
  <c r="I3900" i="1" s="1"/>
  <c r="H3901" i="1"/>
  <c r="I3901" i="1" s="1"/>
  <c r="H3902" i="1"/>
  <c r="I3902" i="1" s="1"/>
  <c r="H3903" i="1"/>
  <c r="I3903" i="1" s="1"/>
  <c r="H3904" i="1"/>
  <c r="I3904" i="1" s="1"/>
  <c r="H3905" i="1"/>
  <c r="I3905" i="1" s="1"/>
  <c r="H3906" i="1"/>
  <c r="I3906" i="1" s="1"/>
  <c r="H3907" i="1"/>
  <c r="I3907" i="1" s="1"/>
  <c r="H3908" i="1"/>
  <c r="I3908" i="1" s="1"/>
  <c r="H3909" i="1"/>
  <c r="I3909" i="1" s="1"/>
  <c r="H3910" i="1"/>
  <c r="I3910" i="1" s="1"/>
  <c r="H3911" i="1"/>
  <c r="I3911" i="1" s="1"/>
  <c r="H3912" i="1"/>
  <c r="I3912" i="1" s="1"/>
  <c r="H3913" i="1"/>
  <c r="I3913" i="1" s="1"/>
  <c r="H3914" i="1"/>
  <c r="I3914" i="1" s="1"/>
  <c r="H3915" i="1"/>
  <c r="I3915" i="1" s="1"/>
  <c r="H3916" i="1"/>
  <c r="I3916" i="1" s="1"/>
  <c r="H3917" i="1"/>
  <c r="I3917" i="1" s="1"/>
  <c r="H3918" i="1"/>
  <c r="I3918" i="1" s="1"/>
  <c r="H3919" i="1"/>
  <c r="I3919" i="1" s="1"/>
  <c r="H3920" i="1"/>
  <c r="I3920" i="1" s="1"/>
  <c r="H3921" i="1"/>
  <c r="I3921" i="1" s="1"/>
  <c r="H3922" i="1"/>
  <c r="I3922" i="1" s="1"/>
  <c r="H3923" i="1"/>
  <c r="I3923" i="1" s="1"/>
  <c r="H3924" i="1"/>
  <c r="I3924" i="1" s="1"/>
  <c r="H3925" i="1"/>
  <c r="I3925" i="1" s="1"/>
  <c r="H3926" i="1"/>
  <c r="I3926" i="1" s="1"/>
  <c r="H3927" i="1"/>
  <c r="I3927" i="1" s="1"/>
  <c r="H3928" i="1"/>
  <c r="I3928" i="1" s="1"/>
  <c r="H3929" i="1"/>
  <c r="I3929" i="1" s="1"/>
  <c r="H3930" i="1"/>
  <c r="I3930" i="1" s="1"/>
  <c r="H3931" i="1"/>
  <c r="I3931" i="1" s="1"/>
  <c r="H3932" i="1"/>
  <c r="I3932" i="1" s="1"/>
  <c r="H3933" i="1"/>
  <c r="I3933" i="1" s="1"/>
  <c r="H3934" i="1"/>
  <c r="I3934" i="1" s="1"/>
  <c r="H3935" i="1"/>
  <c r="I3935" i="1" s="1"/>
  <c r="H3936" i="1"/>
  <c r="I3936" i="1" s="1"/>
  <c r="H3937" i="1"/>
  <c r="I3937" i="1" s="1"/>
  <c r="H3938" i="1"/>
  <c r="I3938" i="1" s="1"/>
  <c r="H3939" i="1"/>
  <c r="I3939" i="1" s="1"/>
  <c r="H3940" i="1"/>
  <c r="I3940" i="1" s="1"/>
  <c r="H3941" i="1"/>
  <c r="I3941" i="1" s="1"/>
  <c r="H3942" i="1"/>
  <c r="I3942" i="1" s="1"/>
  <c r="H3943" i="1"/>
  <c r="I3943" i="1" s="1"/>
  <c r="H3944" i="1"/>
  <c r="I3944" i="1" s="1"/>
  <c r="H3945" i="1"/>
  <c r="I3945" i="1" s="1"/>
  <c r="H3946" i="1"/>
  <c r="I3946" i="1" s="1"/>
  <c r="H3947" i="1"/>
  <c r="I3947" i="1" s="1"/>
  <c r="H3948" i="1"/>
  <c r="I3948" i="1" s="1"/>
  <c r="H3949" i="1"/>
  <c r="I3949" i="1" s="1"/>
  <c r="H3950" i="1"/>
  <c r="I3950" i="1" s="1"/>
  <c r="H3951" i="1"/>
  <c r="I3951" i="1" s="1"/>
  <c r="H3952" i="1"/>
  <c r="I3952" i="1" s="1"/>
  <c r="H3953" i="1"/>
  <c r="I3953" i="1" s="1"/>
  <c r="H3954" i="1"/>
  <c r="I3954" i="1" s="1"/>
  <c r="H3955" i="1"/>
  <c r="I3955" i="1" s="1"/>
  <c r="H3956" i="1"/>
  <c r="I3956" i="1" s="1"/>
  <c r="H3957" i="1"/>
  <c r="I3957" i="1" s="1"/>
  <c r="H3958" i="1"/>
  <c r="I3958" i="1" s="1"/>
  <c r="H3959" i="1"/>
  <c r="I3959" i="1" s="1"/>
  <c r="H3960" i="1"/>
  <c r="I3960" i="1" s="1"/>
  <c r="H3961" i="1"/>
  <c r="I3961" i="1" s="1"/>
  <c r="H3962" i="1"/>
  <c r="I3962" i="1" s="1"/>
  <c r="H3963" i="1"/>
  <c r="I3963" i="1" s="1"/>
  <c r="H3964" i="1"/>
  <c r="I3964" i="1" s="1"/>
  <c r="H3965" i="1"/>
  <c r="I3965" i="1" s="1"/>
  <c r="H3966" i="1"/>
  <c r="I3966" i="1" s="1"/>
  <c r="H3967" i="1"/>
  <c r="I3967" i="1" s="1"/>
  <c r="H3968" i="1"/>
  <c r="I3968" i="1" s="1"/>
  <c r="H3969" i="1"/>
  <c r="I3969" i="1" s="1"/>
  <c r="H3970" i="1"/>
  <c r="I3970" i="1" s="1"/>
  <c r="H3971" i="1"/>
  <c r="I3971" i="1" s="1"/>
  <c r="H3972" i="1"/>
  <c r="I3972" i="1" s="1"/>
  <c r="H3973" i="1"/>
  <c r="I3973" i="1" s="1"/>
  <c r="H3974" i="1"/>
  <c r="I3974" i="1" s="1"/>
  <c r="H3975" i="1"/>
  <c r="I3975" i="1" s="1"/>
  <c r="H3976" i="1"/>
  <c r="I3976" i="1" s="1"/>
  <c r="H3977" i="1"/>
  <c r="I3977" i="1" s="1"/>
  <c r="H3978" i="1"/>
  <c r="I3978" i="1" s="1"/>
  <c r="H3979" i="1"/>
  <c r="I3979" i="1" s="1"/>
  <c r="H3980" i="1"/>
  <c r="I3980" i="1" s="1"/>
  <c r="H3981" i="1"/>
  <c r="I3981" i="1" s="1"/>
  <c r="H3982" i="1"/>
  <c r="I3982" i="1" s="1"/>
  <c r="H3983" i="1"/>
  <c r="I3983" i="1" s="1"/>
  <c r="H3984" i="1"/>
  <c r="I3984" i="1" s="1"/>
  <c r="H3985" i="1"/>
  <c r="I3985" i="1" s="1"/>
  <c r="H3986" i="1"/>
  <c r="I3986" i="1" s="1"/>
  <c r="H3987" i="1"/>
  <c r="I3987" i="1" s="1"/>
  <c r="H3988" i="1"/>
  <c r="I3988" i="1" s="1"/>
  <c r="H3989" i="1"/>
  <c r="I3989" i="1" s="1"/>
  <c r="H3990" i="1"/>
  <c r="I3990" i="1" s="1"/>
  <c r="H3991" i="1"/>
  <c r="I3991" i="1" s="1"/>
  <c r="H3992" i="1"/>
  <c r="I3992" i="1" s="1"/>
  <c r="H3993" i="1"/>
  <c r="I3993" i="1" s="1"/>
  <c r="H3994" i="1"/>
  <c r="I3994" i="1" s="1"/>
  <c r="H3995" i="1"/>
  <c r="I3995" i="1" s="1"/>
  <c r="H3996" i="1"/>
  <c r="I3996" i="1" s="1"/>
  <c r="H3997" i="1"/>
  <c r="I3997" i="1" s="1"/>
  <c r="H3998" i="1"/>
  <c r="I3998" i="1" s="1"/>
  <c r="H3999" i="1"/>
  <c r="I3999" i="1" s="1"/>
  <c r="H4000" i="1"/>
  <c r="I4000" i="1" s="1"/>
  <c r="H4001" i="1"/>
  <c r="I4001" i="1" s="1"/>
  <c r="H4002" i="1"/>
  <c r="I4002" i="1" s="1"/>
  <c r="H4003" i="1"/>
  <c r="I4003" i="1" s="1"/>
  <c r="H4004" i="1"/>
  <c r="I4004" i="1" s="1"/>
  <c r="H4005" i="1"/>
  <c r="I4005" i="1" s="1"/>
  <c r="H4006" i="1"/>
  <c r="I4006" i="1" s="1"/>
  <c r="H4007" i="1"/>
  <c r="I4007" i="1" s="1"/>
  <c r="H4008" i="1"/>
  <c r="I4008" i="1" s="1"/>
  <c r="H4009" i="1"/>
  <c r="I4009" i="1" s="1"/>
  <c r="H4010" i="1"/>
  <c r="I4010" i="1" s="1"/>
  <c r="H4011" i="1"/>
  <c r="I4011" i="1" s="1"/>
  <c r="H4012" i="1"/>
  <c r="I4012" i="1" s="1"/>
  <c r="H4013" i="1"/>
  <c r="I4013" i="1" s="1"/>
  <c r="H4014" i="1"/>
  <c r="I4014" i="1" s="1"/>
  <c r="H4015" i="1"/>
  <c r="I4015" i="1" s="1"/>
  <c r="H4016" i="1"/>
  <c r="I4016" i="1" s="1"/>
  <c r="H4017" i="1"/>
  <c r="I4017" i="1" s="1"/>
  <c r="H4018" i="1"/>
  <c r="I4018" i="1" s="1"/>
  <c r="H4019" i="1"/>
  <c r="I4019" i="1" s="1"/>
  <c r="H4020" i="1"/>
  <c r="I4020" i="1" s="1"/>
  <c r="H4021" i="1"/>
  <c r="I4021" i="1" s="1"/>
  <c r="H4022" i="1"/>
  <c r="I4022" i="1" s="1"/>
  <c r="H4023" i="1"/>
  <c r="I4023" i="1" s="1"/>
  <c r="H4024" i="1"/>
  <c r="I4024" i="1" s="1"/>
  <c r="H4025" i="1"/>
  <c r="I4025" i="1" s="1"/>
  <c r="H4026" i="1"/>
  <c r="I4026" i="1" s="1"/>
  <c r="H4027" i="1"/>
  <c r="I4027" i="1" s="1"/>
  <c r="H4028" i="1"/>
  <c r="I4028" i="1" s="1"/>
  <c r="H4029" i="1"/>
  <c r="I4029" i="1" s="1"/>
  <c r="H4030" i="1"/>
  <c r="I4030" i="1" s="1"/>
  <c r="H4031" i="1"/>
  <c r="I4031" i="1" s="1"/>
  <c r="H4032" i="1"/>
  <c r="I4032" i="1" s="1"/>
  <c r="H4033" i="1"/>
  <c r="I4033" i="1" s="1"/>
  <c r="H4034" i="1"/>
  <c r="I4034" i="1" s="1"/>
  <c r="H4035" i="1"/>
  <c r="I4035" i="1" s="1"/>
  <c r="H4036" i="1"/>
  <c r="I4036" i="1" s="1"/>
  <c r="H4037" i="1"/>
  <c r="I4037" i="1" s="1"/>
  <c r="H4038" i="1"/>
  <c r="I4038" i="1" s="1"/>
  <c r="H4039" i="1"/>
  <c r="I4039" i="1" s="1"/>
  <c r="H4040" i="1"/>
  <c r="I4040" i="1" s="1"/>
  <c r="H4041" i="1"/>
  <c r="I4041" i="1" s="1"/>
  <c r="H4042" i="1"/>
  <c r="I4042" i="1" s="1"/>
  <c r="H4043" i="1"/>
  <c r="I4043" i="1" s="1"/>
  <c r="H4044" i="1"/>
  <c r="I4044" i="1" s="1"/>
  <c r="H4045" i="1"/>
  <c r="I4045" i="1" s="1"/>
  <c r="H4046" i="1"/>
  <c r="I4046" i="1" s="1"/>
  <c r="H4047" i="1"/>
  <c r="I4047" i="1" s="1"/>
  <c r="H4048" i="1"/>
  <c r="I4048" i="1" s="1"/>
  <c r="H4049" i="1"/>
  <c r="I4049" i="1" s="1"/>
  <c r="H4050" i="1"/>
  <c r="I4050" i="1" s="1"/>
  <c r="H4051" i="1"/>
  <c r="I4051" i="1" s="1"/>
  <c r="H4052" i="1"/>
  <c r="I4052" i="1" s="1"/>
  <c r="H4053" i="1"/>
  <c r="I4053" i="1" s="1"/>
  <c r="H4054" i="1"/>
  <c r="I4054" i="1" s="1"/>
  <c r="H4055" i="1"/>
  <c r="I4055" i="1" s="1"/>
  <c r="H4056" i="1"/>
  <c r="I4056" i="1" s="1"/>
  <c r="H4057" i="1"/>
  <c r="I4057" i="1" s="1"/>
  <c r="H4058" i="1"/>
  <c r="I4058" i="1" s="1"/>
  <c r="H4059" i="1"/>
  <c r="I4059" i="1" s="1"/>
  <c r="H4060" i="1"/>
  <c r="I4060" i="1" s="1"/>
  <c r="H4061" i="1"/>
  <c r="I4061" i="1" s="1"/>
  <c r="H4062" i="1"/>
  <c r="I4062" i="1" s="1"/>
  <c r="H4063" i="1"/>
  <c r="I4063" i="1" s="1"/>
  <c r="H4064" i="1"/>
  <c r="I4064" i="1" s="1"/>
  <c r="H4065" i="1"/>
  <c r="I4065" i="1" s="1"/>
  <c r="H4066" i="1"/>
  <c r="I4066" i="1" s="1"/>
  <c r="H4067" i="1"/>
  <c r="I4067" i="1" s="1"/>
  <c r="H4068" i="1"/>
  <c r="I4068" i="1" s="1"/>
  <c r="H4069" i="1"/>
  <c r="I4069" i="1" s="1"/>
  <c r="H4070" i="1"/>
  <c r="I4070" i="1" s="1"/>
  <c r="H4071" i="1"/>
  <c r="I4071" i="1" s="1"/>
  <c r="H4072" i="1"/>
  <c r="I4072" i="1" s="1"/>
  <c r="H4073" i="1"/>
  <c r="I4073" i="1" s="1"/>
  <c r="H4074" i="1"/>
  <c r="I4074" i="1" s="1"/>
  <c r="H4075" i="1"/>
  <c r="I4075" i="1" s="1"/>
  <c r="H4076" i="1"/>
  <c r="I4076" i="1" s="1"/>
  <c r="H4077" i="1"/>
  <c r="I4077" i="1" s="1"/>
  <c r="H4078" i="1"/>
  <c r="I4078" i="1" s="1"/>
  <c r="H4079" i="1"/>
  <c r="I4079" i="1" s="1"/>
  <c r="H4080" i="1"/>
  <c r="I4080" i="1" s="1"/>
  <c r="H4081" i="1"/>
  <c r="I4081" i="1" s="1"/>
  <c r="H4082" i="1"/>
  <c r="I4082" i="1" s="1"/>
  <c r="H4083" i="1"/>
  <c r="I4083" i="1" s="1"/>
  <c r="H4084" i="1"/>
  <c r="I4084" i="1" s="1"/>
  <c r="H4085" i="1"/>
  <c r="I4085" i="1" s="1"/>
  <c r="H4086" i="1"/>
  <c r="I4086" i="1" s="1"/>
  <c r="H4087" i="1"/>
  <c r="I4087" i="1" s="1"/>
  <c r="H4088" i="1"/>
  <c r="I4088" i="1" s="1"/>
  <c r="H4089" i="1"/>
  <c r="I4089" i="1" s="1"/>
  <c r="H4090" i="1"/>
  <c r="I4090" i="1" s="1"/>
  <c r="H4091" i="1"/>
  <c r="I4091" i="1" s="1"/>
  <c r="H4092" i="1"/>
  <c r="I4092" i="1" s="1"/>
  <c r="H4093" i="1"/>
  <c r="I4093" i="1" s="1"/>
  <c r="H4094" i="1"/>
  <c r="I4094" i="1" s="1"/>
  <c r="H4095" i="1"/>
  <c r="I4095" i="1" s="1"/>
  <c r="H4096" i="1"/>
  <c r="I4096" i="1" s="1"/>
  <c r="H4097" i="1"/>
  <c r="I4097" i="1" s="1"/>
  <c r="H4098" i="1"/>
  <c r="I4098" i="1" s="1"/>
  <c r="H4099" i="1"/>
  <c r="I4099" i="1" s="1"/>
  <c r="H4100" i="1"/>
  <c r="I4100" i="1" s="1"/>
  <c r="H4101" i="1"/>
  <c r="I4101" i="1" s="1"/>
  <c r="H4102" i="1"/>
  <c r="I4102" i="1" s="1"/>
  <c r="H4103" i="1"/>
  <c r="I4103" i="1" s="1"/>
  <c r="H4104" i="1"/>
  <c r="I4104" i="1" s="1"/>
  <c r="H4105" i="1"/>
  <c r="I4105" i="1" s="1"/>
  <c r="H4106" i="1"/>
  <c r="I4106" i="1" s="1"/>
  <c r="H4107" i="1"/>
  <c r="I4107" i="1" s="1"/>
  <c r="H4108" i="1"/>
  <c r="I4108" i="1" s="1"/>
  <c r="H4109" i="1"/>
  <c r="I4109" i="1" s="1"/>
  <c r="H4110" i="1"/>
  <c r="I4110" i="1" s="1"/>
  <c r="H4111" i="1"/>
  <c r="I4111" i="1" s="1"/>
  <c r="H4112" i="1"/>
  <c r="I4112" i="1" s="1"/>
  <c r="H4113" i="1"/>
  <c r="I4113" i="1" s="1"/>
  <c r="H4114" i="1"/>
  <c r="I4114" i="1" s="1"/>
  <c r="H4115" i="1"/>
  <c r="I4115" i="1" s="1"/>
  <c r="H4116" i="1"/>
  <c r="I4116" i="1" s="1"/>
  <c r="H4117" i="1"/>
  <c r="I4117" i="1" s="1"/>
  <c r="H4118" i="1"/>
  <c r="I4118" i="1" s="1"/>
  <c r="H4119" i="1"/>
  <c r="I4119" i="1" s="1"/>
  <c r="H4120" i="1"/>
  <c r="I4120" i="1" s="1"/>
  <c r="H4121" i="1"/>
  <c r="I4121" i="1" s="1"/>
  <c r="H4122" i="1"/>
  <c r="I4122" i="1" s="1"/>
  <c r="H4123" i="1"/>
  <c r="I4123" i="1" s="1"/>
  <c r="H4124" i="1"/>
  <c r="I4124" i="1" s="1"/>
  <c r="H4125" i="1"/>
  <c r="I4125" i="1" s="1"/>
  <c r="H4126" i="1"/>
  <c r="I4126" i="1" s="1"/>
  <c r="H4127" i="1"/>
  <c r="I4127" i="1" s="1"/>
  <c r="H4128" i="1"/>
  <c r="I4128" i="1" s="1"/>
  <c r="H4129" i="1"/>
  <c r="I4129" i="1" s="1"/>
  <c r="H4130" i="1"/>
  <c r="I4130" i="1" s="1"/>
  <c r="H4131" i="1"/>
  <c r="I4131" i="1" s="1"/>
  <c r="H4132" i="1"/>
  <c r="I4132" i="1" s="1"/>
  <c r="H4133" i="1"/>
  <c r="I4133" i="1" s="1"/>
  <c r="H4134" i="1"/>
  <c r="I4134" i="1" s="1"/>
  <c r="H4135" i="1"/>
  <c r="I4135" i="1" s="1"/>
  <c r="H4136" i="1"/>
  <c r="I4136" i="1" s="1"/>
  <c r="H4137" i="1"/>
  <c r="I4137" i="1" s="1"/>
  <c r="H4138" i="1"/>
  <c r="I4138" i="1" s="1"/>
  <c r="H4139" i="1"/>
  <c r="I4139" i="1" s="1"/>
  <c r="H4140" i="1"/>
  <c r="I4140" i="1" s="1"/>
  <c r="H4141" i="1"/>
  <c r="I4141" i="1" s="1"/>
  <c r="H4142" i="1"/>
  <c r="I4142" i="1" s="1"/>
  <c r="H4143" i="1"/>
  <c r="I4143" i="1" s="1"/>
  <c r="H4144" i="1"/>
  <c r="I4144" i="1" s="1"/>
  <c r="H4145" i="1"/>
  <c r="I4145" i="1" s="1"/>
  <c r="H4146" i="1"/>
  <c r="I4146" i="1" s="1"/>
  <c r="H4147" i="1"/>
  <c r="I4147" i="1" s="1"/>
  <c r="H4148" i="1"/>
  <c r="I4148" i="1" s="1"/>
  <c r="H4149" i="1"/>
  <c r="I4149" i="1" s="1"/>
  <c r="H4150" i="1"/>
  <c r="I4150" i="1" s="1"/>
  <c r="H4151" i="1"/>
  <c r="I4151" i="1" s="1"/>
  <c r="H4152" i="1"/>
  <c r="I4152" i="1" s="1"/>
  <c r="H4153" i="1"/>
  <c r="I4153" i="1" s="1"/>
  <c r="H4154" i="1"/>
  <c r="I4154" i="1" s="1"/>
  <c r="H4155" i="1"/>
  <c r="I4155" i="1" s="1"/>
  <c r="H4156" i="1"/>
  <c r="I4156" i="1" s="1"/>
  <c r="H4157" i="1"/>
  <c r="I4157" i="1" s="1"/>
  <c r="H4158" i="1"/>
  <c r="I4158" i="1" s="1"/>
  <c r="H4159" i="1"/>
  <c r="I4159" i="1" s="1"/>
  <c r="H4160" i="1"/>
  <c r="I4160" i="1" s="1"/>
  <c r="H4161" i="1"/>
  <c r="I4161" i="1" s="1"/>
  <c r="H4162" i="1"/>
  <c r="I4162" i="1" s="1"/>
  <c r="H4163" i="1"/>
  <c r="I4163" i="1" s="1"/>
  <c r="H4164" i="1"/>
  <c r="I4164" i="1" s="1"/>
  <c r="H4165" i="1"/>
  <c r="I4165" i="1" s="1"/>
  <c r="H4166" i="1"/>
  <c r="I4166" i="1" s="1"/>
  <c r="H4167" i="1"/>
  <c r="I4167" i="1" s="1"/>
  <c r="H4168" i="1"/>
  <c r="I4168" i="1" s="1"/>
  <c r="H4169" i="1"/>
  <c r="I4169" i="1" s="1"/>
  <c r="H4170" i="1"/>
  <c r="I4170" i="1" s="1"/>
  <c r="H4171" i="1"/>
  <c r="I4171" i="1" s="1"/>
  <c r="H4172" i="1"/>
  <c r="I4172" i="1" s="1"/>
  <c r="H4173" i="1"/>
  <c r="I4173" i="1" s="1"/>
  <c r="H4174" i="1"/>
  <c r="I4174" i="1" s="1"/>
  <c r="H4175" i="1"/>
  <c r="I4175" i="1" s="1"/>
  <c r="H4176" i="1"/>
  <c r="I4176" i="1" s="1"/>
  <c r="H4177" i="1"/>
  <c r="I4177" i="1" s="1"/>
  <c r="H4178" i="1"/>
  <c r="I4178" i="1" s="1"/>
  <c r="H4179" i="1"/>
  <c r="I4179" i="1" s="1"/>
  <c r="H4180" i="1"/>
  <c r="I4180" i="1" s="1"/>
  <c r="H4181" i="1"/>
  <c r="I4181" i="1" s="1"/>
  <c r="H4182" i="1"/>
  <c r="I4182" i="1" s="1"/>
  <c r="H4183" i="1"/>
  <c r="I4183" i="1" s="1"/>
  <c r="H4184" i="1"/>
  <c r="I4184" i="1" s="1"/>
  <c r="H4185" i="1"/>
  <c r="I4185" i="1" s="1"/>
  <c r="H4186" i="1"/>
  <c r="I4186" i="1" s="1"/>
  <c r="H4187" i="1"/>
  <c r="I4187" i="1" s="1"/>
  <c r="H4188" i="1"/>
  <c r="I4188" i="1" s="1"/>
  <c r="H4189" i="1"/>
  <c r="I4189" i="1" s="1"/>
  <c r="H4190" i="1"/>
  <c r="I4190" i="1" s="1"/>
  <c r="H4191" i="1"/>
  <c r="I4191" i="1" s="1"/>
  <c r="H4192" i="1"/>
  <c r="I4192" i="1" s="1"/>
  <c r="H4193" i="1"/>
  <c r="I4193" i="1" s="1"/>
  <c r="H4194" i="1"/>
  <c r="I4194" i="1" s="1"/>
  <c r="H4195" i="1"/>
  <c r="I4195" i="1" s="1"/>
  <c r="H4196" i="1"/>
  <c r="I4196" i="1" s="1"/>
  <c r="H4197" i="1"/>
  <c r="I4197" i="1" s="1"/>
  <c r="H4198" i="1"/>
  <c r="I4198" i="1" s="1"/>
  <c r="H4199" i="1"/>
  <c r="I4199" i="1" s="1"/>
  <c r="H4200" i="1"/>
  <c r="I4200" i="1" s="1"/>
  <c r="H4201" i="1"/>
  <c r="I4201" i="1" s="1"/>
  <c r="H4202" i="1"/>
  <c r="I4202" i="1" s="1"/>
  <c r="H4203" i="1"/>
  <c r="I4203" i="1" s="1"/>
  <c r="H4204" i="1"/>
  <c r="I4204" i="1" s="1"/>
  <c r="H4205" i="1"/>
  <c r="I4205" i="1" s="1"/>
  <c r="H4206" i="1"/>
  <c r="I4206" i="1" s="1"/>
  <c r="H4207" i="1"/>
  <c r="I4207" i="1" s="1"/>
  <c r="H4208" i="1"/>
  <c r="I4208" i="1" s="1"/>
  <c r="H4209" i="1"/>
  <c r="I4209" i="1" s="1"/>
  <c r="H4210" i="1"/>
  <c r="I4210" i="1" s="1"/>
  <c r="H4211" i="1"/>
  <c r="I4211" i="1" s="1"/>
  <c r="H4212" i="1"/>
  <c r="I4212" i="1" s="1"/>
  <c r="H4213" i="1"/>
  <c r="I4213" i="1" s="1"/>
  <c r="H4214" i="1"/>
  <c r="I4214" i="1" s="1"/>
  <c r="H4215" i="1"/>
  <c r="I4215" i="1" s="1"/>
  <c r="H4216" i="1"/>
  <c r="I4216" i="1" s="1"/>
  <c r="H4217" i="1"/>
  <c r="I4217" i="1" s="1"/>
  <c r="H4218" i="1"/>
  <c r="I4218" i="1" s="1"/>
  <c r="H4219" i="1"/>
  <c r="I4219" i="1" s="1"/>
  <c r="H4220" i="1"/>
  <c r="I4220" i="1" s="1"/>
  <c r="H4221" i="1"/>
  <c r="I4221" i="1" s="1"/>
  <c r="H4222" i="1"/>
  <c r="I4222" i="1" s="1"/>
  <c r="H4223" i="1"/>
  <c r="I4223" i="1" s="1"/>
  <c r="H4224" i="1"/>
  <c r="I4224" i="1" s="1"/>
  <c r="H4225" i="1"/>
  <c r="I4225" i="1" s="1"/>
  <c r="H4226" i="1"/>
  <c r="I4226" i="1" s="1"/>
  <c r="H4227" i="1"/>
  <c r="I4227" i="1" s="1"/>
  <c r="H4228" i="1"/>
  <c r="I4228" i="1" s="1"/>
  <c r="H4229" i="1"/>
  <c r="I4229" i="1" s="1"/>
  <c r="H4230" i="1"/>
  <c r="I4230" i="1" s="1"/>
  <c r="H4231" i="1"/>
  <c r="I4231" i="1" s="1"/>
  <c r="H4232" i="1"/>
  <c r="I4232" i="1" s="1"/>
  <c r="H4233" i="1"/>
  <c r="I4233" i="1" s="1"/>
  <c r="H4234" i="1"/>
  <c r="I4234" i="1" s="1"/>
  <c r="H4235" i="1"/>
  <c r="I4235" i="1" s="1"/>
  <c r="H4236" i="1"/>
  <c r="I4236" i="1" s="1"/>
  <c r="H4237" i="1"/>
  <c r="I4237" i="1" s="1"/>
  <c r="H4238" i="1"/>
  <c r="I4238" i="1" s="1"/>
  <c r="H4239" i="1"/>
  <c r="I4239" i="1" s="1"/>
  <c r="H4240" i="1"/>
  <c r="I4240" i="1" s="1"/>
  <c r="H4241" i="1"/>
  <c r="I4241" i="1" s="1"/>
  <c r="H4242" i="1"/>
  <c r="I4242" i="1" s="1"/>
  <c r="H4243" i="1"/>
  <c r="I4243" i="1" s="1"/>
  <c r="H4244" i="1"/>
  <c r="I4244" i="1" s="1"/>
  <c r="H4245" i="1"/>
  <c r="I4245" i="1" s="1"/>
  <c r="H4246" i="1"/>
  <c r="I4246" i="1" s="1"/>
  <c r="H4247" i="1"/>
  <c r="I4247" i="1" s="1"/>
  <c r="H4248" i="1"/>
  <c r="I4248" i="1" s="1"/>
  <c r="H4249" i="1"/>
  <c r="I4249" i="1" s="1"/>
  <c r="H4250" i="1"/>
  <c r="I4250" i="1" s="1"/>
  <c r="H4251" i="1"/>
  <c r="I4251" i="1" s="1"/>
  <c r="H4252" i="1"/>
  <c r="I4252" i="1" s="1"/>
  <c r="H4253" i="1"/>
  <c r="I4253" i="1" s="1"/>
  <c r="H4254" i="1"/>
  <c r="I4254" i="1" s="1"/>
  <c r="H4255" i="1"/>
  <c r="I4255" i="1" s="1"/>
  <c r="H4256" i="1"/>
  <c r="I4256" i="1" s="1"/>
  <c r="H4257" i="1"/>
  <c r="I4257" i="1" s="1"/>
  <c r="H4258" i="1"/>
  <c r="I4258" i="1" s="1"/>
  <c r="H4259" i="1"/>
  <c r="I4259" i="1" s="1"/>
  <c r="H4260" i="1"/>
  <c r="I4260" i="1" s="1"/>
  <c r="H4261" i="1"/>
  <c r="I4261" i="1" s="1"/>
  <c r="H4262" i="1"/>
  <c r="I4262" i="1" s="1"/>
  <c r="H4263" i="1"/>
  <c r="I4263" i="1" s="1"/>
  <c r="H4264" i="1"/>
  <c r="I4264" i="1" s="1"/>
  <c r="H4265" i="1"/>
  <c r="I4265" i="1" s="1"/>
  <c r="H4266" i="1"/>
  <c r="I4266" i="1" s="1"/>
  <c r="H4267" i="1"/>
  <c r="I4267" i="1" s="1"/>
  <c r="H4268" i="1"/>
  <c r="I4268" i="1" s="1"/>
  <c r="H4269" i="1"/>
  <c r="I4269" i="1" s="1"/>
  <c r="H4270" i="1"/>
  <c r="I4270" i="1" s="1"/>
  <c r="H4271" i="1"/>
  <c r="I4271" i="1" s="1"/>
  <c r="H4272" i="1"/>
  <c r="I4272" i="1" s="1"/>
  <c r="H4273" i="1"/>
  <c r="I4273" i="1" s="1"/>
  <c r="H4274" i="1"/>
  <c r="I4274" i="1" s="1"/>
  <c r="H4275" i="1"/>
  <c r="I4275" i="1" s="1"/>
  <c r="H4276" i="1"/>
  <c r="I4276" i="1" s="1"/>
  <c r="H4277" i="1"/>
  <c r="I4277" i="1" s="1"/>
  <c r="H4278" i="1"/>
  <c r="I4278" i="1" s="1"/>
  <c r="H4279" i="1"/>
  <c r="I4279" i="1" s="1"/>
  <c r="H4280" i="1"/>
  <c r="I4280" i="1" s="1"/>
  <c r="H4281" i="1"/>
  <c r="I4281" i="1" s="1"/>
  <c r="H4282" i="1"/>
  <c r="I4282" i="1" s="1"/>
  <c r="H4283" i="1"/>
  <c r="I4283" i="1" s="1"/>
  <c r="H4284" i="1"/>
  <c r="I4284" i="1" s="1"/>
  <c r="H4285" i="1"/>
  <c r="I4285" i="1" s="1"/>
  <c r="H4286" i="1"/>
  <c r="I4286" i="1" s="1"/>
  <c r="H4287" i="1"/>
  <c r="I4287" i="1" s="1"/>
  <c r="H4288" i="1"/>
  <c r="I4288" i="1" s="1"/>
  <c r="H4289" i="1"/>
  <c r="I4289" i="1" s="1"/>
  <c r="H4290" i="1"/>
  <c r="I4290" i="1" s="1"/>
  <c r="H4291" i="1"/>
  <c r="I4291" i="1" s="1"/>
  <c r="H4292" i="1"/>
  <c r="I4292" i="1" s="1"/>
  <c r="H4293" i="1"/>
  <c r="I4293" i="1" s="1"/>
  <c r="H4294" i="1"/>
  <c r="I4294" i="1" s="1"/>
  <c r="H4295" i="1"/>
  <c r="I4295" i="1" s="1"/>
  <c r="H4296" i="1"/>
  <c r="I4296" i="1" s="1"/>
  <c r="H4297" i="1"/>
  <c r="I4297" i="1" s="1"/>
  <c r="H4298" i="1"/>
  <c r="I4298" i="1" s="1"/>
  <c r="H4299" i="1"/>
  <c r="I4299" i="1" s="1"/>
  <c r="H4300" i="1"/>
  <c r="I4300" i="1" s="1"/>
  <c r="H4301" i="1"/>
  <c r="I4301" i="1" s="1"/>
  <c r="H4302" i="1"/>
  <c r="I4302" i="1" s="1"/>
  <c r="H4303" i="1"/>
  <c r="I4303" i="1" s="1"/>
  <c r="H4304" i="1"/>
  <c r="I4304" i="1" s="1"/>
  <c r="H4305" i="1"/>
  <c r="I4305" i="1" s="1"/>
  <c r="H4306" i="1"/>
  <c r="I4306" i="1" s="1"/>
  <c r="H4307" i="1"/>
  <c r="I4307" i="1" s="1"/>
  <c r="H4308" i="1"/>
  <c r="I4308" i="1" s="1"/>
  <c r="H4309" i="1"/>
  <c r="I4309" i="1" s="1"/>
  <c r="H4310" i="1"/>
  <c r="I4310" i="1" s="1"/>
  <c r="H4311" i="1"/>
  <c r="I4311" i="1" s="1"/>
  <c r="H4312" i="1"/>
  <c r="I4312" i="1" s="1"/>
  <c r="H4313" i="1"/>
  <c r="I4313" i="1" s="1"/>
  <c r="H4314" i="1"/>
  <c r="I4314" i="1" s="1"/>
  <c r="H4315" i="1"/>
  <c r="I4315" i="1" s="1"/>
  <c r="H4316" i="1"/>
  <c r="I4316" i="1" s="1"/>
  <c r="H4317" i="1"/>
  <c r="I4317" i="1" s="1"/>
  <c r="H4318" i="1"/>
  <c r="I4318" i="1" s="1"/>
  <c r="H4319" i="1"/>
  <c r="I4319" i="1" s="1"/>
  <c r="H4320" i="1"/>
  <c r="I4320" i="1" s="1"/>
  <c r="H4321" i="1"/>
  <c r="I4321" i="1" s="1"/>
  <c r="H4322" i="1"/>
  <c r="I4322" i="1" s="1"/>
  <c r="H4323" i="1"/>
  <c r="I4323" i="1" s="1"/>
  <c r="H4324" i="1"/>
  <c r="I4324" i="1" s="1"/>
  <c r="H4325" i="1"/>
  <c r="I4325" i="1" s="1"/>
  <c r="H4326" i="1"/>
  <c r="I4326" i="1" s="1"/>
  <c r="H4327" i="1"/>
  <c r="I4327" i="1" s="1"/>
  <c r="H4328" i="1"/>
  <c r="I4328" i="1" s="1"/>
  <c r="H4329" i="1"/>
  <c r="I4329" i="1" s="1"/>
  <c r="H4330" i="1"/>
  <c r="I4330" i="1" s="1"/>
  <c r="H4331" i="1"/>
  <c r="I4331" i="1" s="1"/>
  <c r="H4332" i="1"/>
  <c r="I4332" i="1" s="1"/>
  <c r="H4333" i="1"/>
  <c r="I4333" i="1" s="1"/>
  <c r="H4334" i="1"/>
  <c r="I4334" i="1" s="1"/>
  <c r="H4335" i="1"/>
  <c r="I4335" i="1" s="1"/>
  <c r="H4336" i="1"/>
  <c r="I4336" i="1" s="1"/>
  <c r="H4337" i="1"/>
  <c r="I4337" i="1" s="1"/>
  <c r="H4338" i="1"/>
  <c r="I4338" i="1" s="1"/>
  <c r="H4339" i="1"/>
  <c r="I4339" i="1" s="1"/>
  <c r="H4340" i="1"/>
  <c r="I4340" i="1" s="1"/>
  <c r="H4341" i="1"/>
  <c r="I4341" i="1" s="1"/>
  <c r="H4342" i="1"/>
  <c r="I4342" i="1" s="1"/>
  <c r="H4343" i="1"/>
  <c r="I4343" i="1" s="1"/>
  <c r="H4344" i="1"/>
  <c r="I4344" i="1" s="1"/>
  <c r="H4345" i="1"/>
  <c r="I4345" i="1" s="1"/>
  <c r="H4346" i="1"/>
  <c r="I4346" i="1" s="1"/>
  <c r="H4347" i="1"/>
  <c r="I4347" i="1" s="1"/>
  <c r="H4348" i="1"/>
  <c r="I4348" i="1" s="1"/>
  <c r="H4349" i="1"/>
  <c r="I4349" i="1" s="1"/>
  <c r="H4350" i="1"/>
  <c r="I4350" i="1" s="1"/>
  <c r="H4351" i="1"/>
  <c r="I4351" i="1" s="1"/>
  <c r="H4352" i="1"/>
  <c r="I4352" i="1" s="1"/>
  <c r="H4353" i="1"/>
  <c r="I4353" i="1" s="1"/>
  <c r="H4354" i="1"/>
  <c r="I4354" i="1" s="1"/>
  <c r="H4355" i="1"/>
  <c r="I4355" i="1" s="1"/>
  <c r="H4356" i="1"/>
  <c r="I4356" i="1" s="1"/>
  <c r="H4357" i="1"/>
  <c r="I4357" i="1" s="1"/>
  <c r="H4358" i="1"/>
  <c r="I4358" i="1" s="1"/>
  <c r="H4359" i="1"/>
  <c r="I4359" i="1" s="1"/>
  <c r="H4360" i="1"/>
  <c r="I4360" i="1" s="1"/>
  <c r="H4361" i="1"/>
  <c r="I4361" i="1" s="1"/>
  <c r="H4362" i="1"/>
  <c r="I4362" i="1" s="1"/>
  <c r="H4363" i="1"/>
  <c r="I4363" i="1" s="1"/>
  <c r="H4364" i="1"/>
  <c r="I4364" i="1" s="1"/>
  <c r="H4365" i="1"/>
  <c r="I4365" i="1" s="1"/>
  <c r="H4366" i="1"/>
  <c r="I4366" i="1" s="1"/>
  <c r="H4367" i="1"/>
  <c r="I4367" i="1" s="1"/>
  <c r="H4368" i="1"/>
  <c r="I4368" i="1" s="1"/>
  <c r="H4369" i="1"/>
  <c r="I4369" i="1" s="1"/>
  <c r="H4370" i="1"/>
  <c r="I4370" i="1" s="1"/>
  <c r="H4371" i="1"/>
  <c r="I4371" i="1" s="1"/>
  <c r="H4372" i="1"/>
  <c r="I4372" i="1" s="1"/>
  <c r="H4373" i="1"/>
  <c r="I4373" i="1" s="1"/>
  <c r="H4374" i="1"/>
  <c r="I4374" i="1" s="1"/>
  <c r="H4375" i="1"/>
  <c r="I4375" i="1" s="1"/>
  <c r="H4376" i="1"/>
  <c r="I4376" i="1" s="1"/>
  <c r="H4377" i="1"/>
  <c r="I4377" i="1" s="1"/>
  <c r="H4378" i="1"/>
  <c r="I4378" i="1" s="1"/>
  <c r="H4379" i="1"/>
  <c r="I4379" i="1" s="1"/>
  <c r="H4380" i="1"/>
  <c r="I4380" i="1" s="1"/>
  <c r="H4381" i="1"/>
  <c r="I4381" i="1" s="1"/>
  <c r="H4382" i="1"/>
  <c r="I4382" i="1" s="1"/>
  <c r="H4383" i="1"/>
  <c r="I4383" i="1" s="1"/>
  <c r="H4384" i="1"/>
  <c r="I4384" i="1" s="1"/>
  <c r="H4385" i="1"/>
  <c r="I4385" i="1" s="1"/>
  <c r="H4386" i="1"/>
  <c r="I4386" i="1" s="1"/>
  <c r="H4387" i="1"/>
  <c r="I4387" i="1" s="1"/>
  <c r="H4388" i="1"/>
  <c r="I4388" i="1" s="1"/>
  <c r="H4389" i="1"/>
  <c r="I4389" i="1" s="1"/>
  <c r="H4390" i="1"/>
  <c r="I4390" i="1" s="1"/>
  <c r="H4391" i="1"/>
  <c r="I4391" i="1" s="1"/>
  <c r="H4392" i="1"/>
  <c r="I4392" i="1" s="1"/>
  <c r="H4393" i="1"/>
  <c r="I4393" i="1" s="1"/>
  <c r="H4394" i="1"/>
  <c r="I4394" i="1" s="1"/>
  <c r="H4395" i="1"/>
  <c r="I4395" i="1" s="1"/>
  <c r="H4396" i="1"/>
  <c r="I4396" i="1" s="1"/>
  <c r="H4397" i="1"/>
  <c r="I4397" i="1" s="1"/>
  <c r="H4398" i="1"/>
  <c r="I4398" i="1" s="1"/>
  <c r="H4399" i="1"/>
  <c r="I4399" i="1" s="1"/>
  <c r="H4400" i="1"/>
  <c r="I4400" i="1" s="1"/>
  <c r="H4401" i="1"/>
  <c r="I4401" i="1" s="1"/>
  <c r="H4402" i="1"/>
  <c r="I4402" i="1" s="1"/>
  <c r="H4403" i="1"/>
  <c r="I4403" i="1" s="1"/>
  <c r="H4404" i="1"/>
  <c r="I4404" i="1" s="1"/>
  <c r="H4405" i="1"/>
  <c r="I4405" i="1" s="1"/>
  <c r="H4406" i="1"/>
  <c r="I4406" i="1" s="1"/>
  <c r="H4407" i="1"/>
  <c r="I4407" i="1" s="1"/>
  <c r="H4408" i="1"/>
  <c r="I4408" i="1" s="1"/>
  <c r="H4409" i="1"/>
  <c r="I4409" i="1" s="1"/>
  <c r="H4410" i="1"/>
  <c r="I4410" i="1" s="1"/>
  <c r="H4411" i="1"/>
  <c r="I4411" i="1" s="1"/>
  <c r="H4412" i="1"/>
  <c r="I4412" i="1" s="1"/>
  <c r="H4413" i="1"/>
  <c r="I4413" i="1" s="1"/>
  <c r="H4414" i="1"/>
  <c r="I4414" i="1" s="1"/>
  <c r="H4415" i="1"/>
  <c r="I4415" i="1" s="1"/>
  <c r="H4416" i="1"/>
  <c r="I4416" i="1" s="1"/>
  <c r="H4417" i="1"/>
  <c r="I4417" i="1" s="1"/>
  <c r="H4418" i="1"/>
  <c r="I4418" i="1" s="1"/>
  <c r="H4419" i="1"/>
  <c r="I4419" i="1" s="1"/>
  <c r="H4420" i="1"/>
  <c r="I4420" i="1" s="1"/>
  <c r="H4421" i="1"/>
  <c r="I4421" i="1" s="1"/>
  <c r="H4422" i="1"/>
  <c r="I4422" i="1" s="1"/>
  <c r="H4423" i="1"/>
  <c r="I4423" i="1" s="1"/>
  <c r="H4424" i="1"/>
  <c r="I4424" i="1" s="1"/>
  <c r="H4425" i="1"/>
  <c r="I4425" i="1" s="1"/>
  <c r="H4426" i="1"/>
  <c r="I4426" i="1" s="1"/>
  <c r="H4427" i="1"/>
  <c r="I4427" i="1" s="1"/>
  <c r="H4428" i="1"/>
  <c r="I4428" i="1" s="1"/>
  <c r="H4429" i="1"/>
  <c r="I4429" i="1" s="1"/>
  <c r="H4430" i="1"/>
  <c r="I4430" i="1" s="1"/>
  <c r="H4431" i="1"/>
  <c r="I4431" i="1" s="1"/>
  <c r="H4432" i="1"/>
  <c r="I4432" i="1" s="1"/>
  <c r="H4433" i="1"/>
  <c r="I4433" i="1" s="1"/>
  <c r="H4434" i="1"/>
  <c r="I4434" i="1" s="1"/>
  <c r="H4435" i="1"/>
  <c r="I4435" i="1" s="1"/>
  <c r="H4436" i="1"/>
  <c r="I4436" i="1" s="1"/>
  <c r="H4437" i="1"/>
  <c r="I4437" i="1" s="1"/>
  <c r="H4438" i="1"/>
  <c r="I4438" i="1" s="1"/>
  <c r="H4439" i="1"/>
  <c r="I4439" i="1" s="1"/>
  <c r="H4440" i="1"/>
  <c r="I4440" i="1" s="1"/>
  <c r="H4441" i="1"/>
  <c r="I4441" i="1" s="1"/>
  <c r="H4442" i="1"/>
  <c r="I4442" i="1" s="1"/>
  <c r="H4443" i="1"/>
  <c r="I4443" i="1" s="1"/>
  <c r="H4444" i="1"/>
  <c r="I4444" i="1" s="1"/>
  <c r="H4445" i="1"/>
  <c r="I4445" i="1" s="1"/>
  <c r="H4446" i="1"/>
  <c r="I4446" i="1" s="1"/>
  <c r="H4447" i="1"/>
  <c r="I4447" i="1" s="1"/>
  <c r="H4448" i="1"/>
  <c r="I4448" i="1" s="1"/>
  <c r="H4449" i="1"/>
  <c r="I4449" i="1" s="1"/>
  <c r="H4450" i="1"/>
  <c r="I4450" i="1" s="1"/>
  <c r="H4451" i="1"/>
  <c r="I4451" i="1" s="1"/>
  <c r="H4452" i="1"/>
  <c r="I4452" i="1" s="1"/>
  <c r="H4453" i="1"/>
  <c r="I4453" i="1" s="1"/>
  <c r="H4454" i="1"/>
  <c r="I4454" i="1" s="1"/>
  <c r="H4455" i="1"/>
  <c r="I4455" i="1" s="1"/>
  <c r="H4456" i="1"/>
  <c r="I4456" i="1" s="1"/>
  <c r="H4457" i="1"/>
  <c r="I4457" i="1" s="1"/>
  <c r="H4458" i="1"/>
  <c r="I4458" i="1" s="1"/>
  <c r="H4459" i="1"/>
  <c r="I4459" i="1" s="1"/>
  <c r="H4460" i="1"/>
  <c r="I4460" i="1" s="1"/>
  <c r="H4461" i="1"/>
  <c r="I4461" i="1" s="1"/>
  <c r="H4462" i="1"/>
  <c r="I4462" i="1" s="1"/>
  <c r="H4463" i="1"/>
  <c r="I4463" i="1" s="1"/>
  <c r="H4464" i="1"/>
  <c r="I4464" i="1" s="1"/>
  <c r="H4465" i="1"/>
  <c r="I4465" i="1" s="1"/>
  <c r="H4466" i="1"/>
  <c r="I4466" i="1" s="1"/>
  <c r="H4467" i="1"/>
  <c r="I4467" i="1" s="1"/>
  <c r="H4468" i="1"/>
  <c r="I4468" i="1" s="1"/>
  <c r="H4469" i="1"/>
  <c r="I4469" i="1" s="1"/>
  <c r="H4470" i="1"/>
  <c r="I4470" i="1" s="1"/>
  <c r="H4471" i="1"/>
  <c r="I4471" i="1" s="1"/>
  <c r="H4472" i="1"/>
  <c r="I4472" i="1" s="1"/>
  <c r="H4473" i="1"/>
  <c r="I4473" i="1" s="1"/>
  <c r="H4474" i="1"/>
  <c r="I4474" i="1" s="1"/>
  <c r="H4475" i="1"/>
  <c r="I4475" i="1" s="1"/>
  <c r="H4476" i="1"/>
  <c r="I4476" i="1" s="1"/>
  <c r="H4477" i="1"/>
  <c r="I4477" i="1" s="1"/>
  <c r="H4478" i="1"/>
  <c r="I4478" i="1" s="1"/>
  <c r="H4479" i="1"/>
  <c r="I4479" i="1" s="1"/>
  <c r="H4480" i="1"/>
  <c r="I4480" i="1" s="1"/>
  <c r="H4481" i="1"/>
  <c r="I4481" i="1" s="1"/>
  <c r="H4482" i="1"/>
  <c r="I4482" i="1" s="1"/>
  <c r="H4483" i="1"/>
  <c r="I4483" i="1" s="1"/>
  <c r="H4484" i="1"/>
  <c r="I4484" i="1" s="1"/>
  <c r="H4485" i="1"/>
  <c r="I4485" i="1" s="1"/>
  <c r="H4486" i="1"/>
  <c r="I4486" i="1" s="1"/>
  <c r="H4487" i="1"/>
  <c r="I4487" i="1" s="1"/>
  <c r="H4488" i="1"/>
  <c r="I4488" i="1" s="1"/>
  <c r="H4489" i="1"/>
  <c r="I4489" i="1" s="1"/>
  <c r="H4490" i="1"/>
  <c r="I4490" i="1" s="1"/>
  <c r="H4491" i="1"/>
  <c r="I4491" i="1" s="1"/>
  <c r="H4492" i="1"/>
  <c r="I4492" i="1" s="1"/>
  <c r="H4493" i="1"/>
  <c r="I4493" i="1" s="1"/>
  <c r="H4494" i="1"/>
  <c r="I4494" i="1" s="1"/>
  <c r="H4495" i="1"/>
  <c r="I4495" i="1" s="1"/>
  <c r="H4496" i="1"/>
  <c r="I4496" i="1" s="1"/>
  <c r="H4497" i="1"/>
  <c r="I4497" i="1" s="1"/>
  <c r="H4498" i="1"/>
  <c r="I4498" i="1" s="1"/>
  <c r="H4499" i="1"/>
  <c r="I4499" i="1" s="1"/>
  <c r="H4500" i="1"/>
  <c r="I4500" i="1" s="1"/>
  <c r="H4501" i="1"/>
  <c r="I4501" i="1" s="1"/>
  <c r="H4502" i="1"/>
  <c r="I4502" i="1" s="1"/>
  <c r="H4503" i="1"/>
  <c r="I4503" i="1" s="1"/>
  <c r="H4504" i="1"/>
  <c r="I4504" i="1" s="1"/>
  <c r="H4505" i="1"/>
  <c r="I4505" i="1" s="1"/>
  <c r="H4506" i="1"/>
  <c r="I4506" i="1" s="1"/>
  <c r="H4507" i="1"/>
  <c r="I4507" i="1" s="1"/>
  <c r="H4508" i="1"/>
  <c r="I4508" i="1" s="1"/>
  <c r="H4509" i="1"/>
  <c r="I4509" i="1" s="1"/>
  <c r="H4510" i="1"/>
  <c r="I4510" i="1" s="1"/>
  <c r="H4511" i="1"/>
  <c r="I4511" i="1" s="1"/>
  <c r="H4512" i="1"/>
  <c r="I4512" i="1" s="1"/>
  <c r="H4513" i="1"/>
  <c r="I4513" i="1" s="1"/>
  <c r="H4514" i="1"/>
  <c r="I4514" i="1" s="1"/>
  <c r="H4515" i="1"/>
  <c r="I4515" i="1" s="1"/>
  <c r="H4516" i="1"/>
  <c r="I4516" i="1" s="1"/>
  <c r="H4517" i="1"/>
  <c r="I4517" i="1" s="1"/>
  <c r="H4518" i="1"/>
  <c r="I4518" i="1" s="1"/>
  <c r="H4519" i="1"/>
  <c r="I4519" i="1" s="1"/>
  <c r="H4520" i="1"/>
  <c r="I4520" i="1" s="1"/>
  <c r="H4521" i="1"/>
  <c r="I4521" i="1" s="1"/>
  <c r="H4522" i="1"/>
  <c r="I4522" i="1" s="1"/>
  <c r="H4523" i="1"/>
  <c r="I4523" i="1" s="1"/>
  <c r="H4524" i="1"/>
  <c r="I4524" i="1" s="1"/>
  <c r="H4525" i="1"/>
  <c r="I4525" i="1" s="1"/>
  <c r="H4526" i="1"/>
  <c r="I4526" i="1" s="1"/>
  <c r="H4527" i="1"/>
  <c r="I4527" i="1" s="1"/>
  <c r="H4528" i="1"/>
  <c r="I4528" i="1" s="1"/>
  <c r="H4529" i="1"/>
  <c r="I4529" i="1" s="1"/>
  <c r="H4530" i="1"/>
  <c r="I4530" i="1" s="1"/>
  <c r="H4531" i="1"/>
  <c r="I4531" i="1" s="1"/>
  <c r="H4532" i="1"/>
  <c r="I4532" i="1" s="1"/>
  <c r="H4533" i="1"/>
  <c r="I4533" i="1" s="1"/>
  <c r="H4534" i="1"/>
  <c r="I4534" i="1" s="1"/>
  <c r="H4535" i="1"/>
  <c r="I4535" i="1" s="1"/>
  <c r="H4536" i="1"/>
  <c r="I4536" i="1" s="1"/>
  <c r="H4537" i="1"/>
  <c r="I4537" i="1" s="1"/>
  <c r="H4538" i="1"/>
  <c r="I4538" i="1" s="1"/>
  <c r="H4539" i="1"/>
  <c r="I4539" i="1" s="1"/>
  <c r="H4540" i="1"/>
  <c r="I4540" i="1" s="1"/>
  <c r="H4541" i="1"/>
  <c r="I4541" i="1" s="1"/>
  <c r="H4542" i="1"/>
  <c r="I4542" i="1" s="1"/>
  <c r="H4543" i="1"/>
  <c r="I4543" i="1" s="1"/>
  <c r="H4544" i="1"/>
  <c r="I4544" i="1" s="1"/>
  <c r="H4545" i="1"/>
  <c r="I4545" i="1" s="1"/>
  <c r="H4546" i="1"/>
  <c r="I4546" i="1" s="1"/>
  <c r="H4547" i="1"/>
  <c r="I4547" i="1" s="1"/>
  <c r="H4548" i="1"/>
  <c r="I4548" i="1" s="1"/>
  <c r="H4549" i="1"/>
  <c r="I4549" i="1" s="1"/>
  <c r="H4550" i="1"/>
  <c r="I4550" i="1" s="1"/>
  <c r="H4551" i="1"/>
  <c r="I4551" i="1" s="1"/>
  <c r="H4552" i="1"/>
  <c r="I4552" i="1" s="1"/>
  <c r="H4553" i="1"/>
  <c r="I4553" i="1" s="1"/>
  <c r="H4554" i="1"/>
  <c r="I4554" i="1" s="1"/>
  <c r="H4555" i="1"/>
  <c r="I4555" i="1" s="1"/>
  <c r="H4556" i="1"/>
  <c r="I4556" i="1" s="1"/>
  <c r="H4557" i="1"/>
  <c r="I4557" i="1" s="1"/>
  <c r="H4558" i="1"/>
  <c r="I4558" i="1" s="1"/>
  <c r="H4559" i="1"/>
  <c r="I4559" i="1" s="1"/>
  <c r="H4560" i="1"/>
  <c r="I4560" i="1" s="1"/>
  <c r="H4561" i="1"/>
  <c r="I4561" i="1" s="1"/>
  <c r="H4562" i="1"/>
  <c r="I4562" i="1" s="1"/>
  <c r="H4563" i="1"/>
  <c r="I4563" i="1" s="1"/>
  <c r="H4564" i="1"/>
  <c r="I4564" i="1" s="1"/>
  <c r="H4565" i="1"/>
  <c r="I4565" i="1" s="1"/>
  <c r="H4566" i="1"/>
  <c r="I4566" i="1" s="1"/>
  <c r="H4567" i="1"/>
  <c r="I4567" i="1" s="1"/>
  <c r="H4568" i="1"/>
  <c r="I4568" i="1" s="1"/>
  <c r="H4569" i="1"/>
  <c r="I4569" i="1" s="1"/>
  <c r="H4570" i="1"/>
  <c r="I4570" i="1" s="1"/>
  <c r="H4571" i="1"/>
  <c r="I4571" i="1" s="1"/>
  <c r="H4572" i="1"/>
  <c r="I4572" i="1" s="1"/>
  <c r="H4573" i="1"/>
  <c r="I4573" i="1" s="1"/>
  <c r="H4574" i="1"/>
  <c r="I4574" i="1" s="1"/>
  <c r="H4575" i="1"/>
  <c r="I4575" i="1" s="1"/>
  <c r="H4576" i="1"/>
  <c r="I4576" i="1" s="1"/>
  <c r="H4577" i="1"/>
  <c r="I4577" i="1" s="1"/>
  <c r="H4578" i="1"/>
  <c r="I4578" i="1" s="1"/>
  <c r="H4579" i="1"/>
  <c r="I4579" i="1" s="1"/>
  <c r="H4580" i="1"/>
  <c r="I4580" i="1" s="1"/>
  <c r="H4581" i="1"/>
  <c r="I4581" i="1" s="1"/>
  <c r="H4582" i="1"/>
  <c r="I4582" i="1" s="1"/>
  <c r="H4583" i="1"/>
  <c r="I4583" i="1" s="1"/>
  <c r="H4584" i="1"/>
  <c r="I4584" i="1" s="1"/>
  <c r="H4585" i="1"/>
  <c r="I4585" i="1" s="1"/>
  <c r="H4586" i="1"/>
  <c r="I4586" i="1" s="1"/>
  <c r="H4587" i="1"/>
  <c r="I4587" i="1" s="1"/>
  <c r="H4588" i="1"/>
  <c r="I4588" i="1" s="1"/>
  <c r="H4589" i="1"/>
  <c r="I4589" i="1" s="1"/>
  <c r="H4590" i="1"/>
  <c r="I4590" i="1" s="1"/>
  <c r="H4591" i="1"/>
  <c r="I4591" i="1" s="1"/>
  <c r="H4592" i="1"/>
  <c r="I4592" i="1" s="1"/>
  <c r="H4593" i="1"/>
  <c r="I4593" i="1" s="1"/>
  <c r="H4594" i="1"/>
  <c r="I4594" i="1" s="1"/>
  <c r="H4595" i="1"/>
  <c r="I4595" i="1" s="1"/>
  <c r="H4596" i="1"/>
  <c r="I4596" i="1" s="1"/>
  <c r="H4597" i="1"/>
  <c r="I4597" i="1" s="1"/>
  <c r="H4598" i="1"/>
  <c r="I4598" i="1" s="1"/>
  <c r="H4599" i="1"/>
  <c r="I4599" i="1" s="1"/>
  <c r="H4600" i="1"/>
  <c r="I4600" i="1" s="1"/>
  <c r="H4601" i="1"/>
  <c r="I4601" i="1" s="1"/>
  <c r="H4602" i="1"/>
  <c r="I4602" i="1" s="1"/>
  <c r="H4603" i="1"/>
  <c r="I4603" i="1" s="1"/>
  <c r="H4604" i="1"/>
  <c r="I4604" i="1" s="1"/>
  <c r="H4605" i="1"/>
  <c r="I4605" i="1" s="1"/>
  <c r="H4606" i="1"/>
  <c r="I4606" i="1" s="1"/>
  <c r="H4607" i="1"/>
  <c r="I4607" i="1" s="1"/>
  <c r="H4608" i="1"/>
  <c r="I4608" i="1" s="1"/>
  <c r="H4609" i="1"/>
  <c r="I4609" i="1" s="1"/>
  <c r="H4610" i="1"/>
  <c r="I4610" i="1" s="1"/>
  <c r="H4611" i="1"/>
  <c r="I4611" i="1" s="1"/>
  <c r="H4612" i="1"/>
  <c r="I4612" i="1" s="1"/>
  <c r="H4613" i="1"/>
  <c r="I4613" i="1" s="1"/>
  <c r="H4614" i="1"/>
  <c r="I4614" i="1" s="1"/>
  <c r="H4615" i="1"/>
  <c r="I4615" i="1" s="1"/>
  <c r="H4616" i="1"/>
  <c r="I4616" i="1" s="1"/>
  <c r="H4617" i="1"/>
  <c r="I4617" i="1" s="1"/>
  <c r="H4618" i="1"/>
  <c r="I4618" i="1" s="1"/>
  <c r="H4619" i="1"/>
  <c r="I4619" i="1" s="1"/>
  <c r="H4620" i="1"/>
  <c r="I4620" i="1" s="1"/>
  <c r="H4621" i="1"/>
  <c r="I4621" i="1" s="1"/>
  <c r="H4622" i="1"/>
  <c r="I4622" i="1" s="1"/>
  <c r="H4623" i="1"/>
  <c r="I4623" i="1" s="1"/>
  <c r="H4624" i="1"/>
  <c r="I4624" i="1" s="1"/>
  <c r="H4625" i="1"/>
  <c r="I4625" i="1" s="1"/>
  <c r="H4626" i="1"/>
  <c r="I4626" i="1" s="1"/>
  <c r="H4627" i="1"/>
  <c r="I4627" i="1" s="1"/>
  <c r="H4628" i="1"/>
  <c r="I4628" i="1" s="1"/>
  <c r="H4629" i="1"/>
  <c r="I4629" i="1" s="1"/>
  <c r="H4630" i="1"/>
  <c r="I4630" i="1" s="1"/>
  <c r="H4631" i="1"/>
  <c r="I4631" i="1" s="1"/>
  <c r="H4632" i="1"/>
  <c r="I4632" i="1" s="1"/>
  <c r="H4633" i="1"/>
  <c r="I4633" i="1" s="1"/>
  <c r="H4634" i="1"/>
  <c r="I4634" i="1" s="1"/>
  <c r="H4635" i="1"/>
  <c r="I4635" i="1" s="1"/>
  <c r="H4636" i="1"/>
  <c r="I4636" i="1" s="1"/>
  <c r="H4637" i="1"/>
  <c r="I4637" i="1" s="1"/>
  <c r="H4638" i="1"/>
  <c r="I4638" i="1" s="1"/>
  <c r="H4639" i="1"/>
  <c r="I4639" i="1" s="1"/>
  <c r="H4640" i="1"/>
  <c r="I4640" i="1" s="1"/>
  <c r="H4641" i="1"/>
  <c r="I4641" i="1" s="1"/>
  <c r="H4642" i="1"/>
  <c r="I4642" i="1" s="1"/>
  <c r="H4643" i="1"/>
  <c r="I4643" i="1" s="1"/>
  <c r="H4644" i="1"/>
  <c r="I4644" i="1" s="1"/>
  <c r="H4645" i="1"/>
  <c r="I4645" i="1" s="1"/>
  <c r="H4646" i="1"/>
  <c r="I4646" i="1" s="1"/>
  <c r="H4647" i="1"/>
  <c r="I4647" i="1" s="1"/>
  <c r="H4648" i="1"/>
  <c r="I4648" i="1" s="1"/>
  <c r="H4649" i="1"/>
  <c r="I4649" i="1" s="1"/>
  <c r="H4650" i="1"/>
  <c r="I4650" i="1" s="1"/>
  <c r="H4651" i="1"/>
  <c r="I4651" i="1" s="1"/>
  <c r="H4652" i="1"/>
  <c r="I4652" i="1" s="1"/>
  <c r="H4653" i="1"/>
  <c r="I4653" i="1" s="1"/>
  <c r="H4654" i="1"/>
  <c r="I4654" i="1" s="1"/>
  <c r="H4655" i="1"/>
  <c r="I4655" i="1" s="1"/>
  <c r="H4656" i="1"/>
  <c r="I4656" i="1" s="1"/>
  <c r="H4657" i="1"/>
  <c r="I4657" i="1" s="1"/>
  <c r="H4658" i="1"/>
  <c r="I4658" i="1" s="1"/>
  <c r="H4659" i="1"/>
  <c r="I4659" i="1" s="1"/>
  <c r="H4660" i="1"/>
  <c r="I4660" i="1" s="1"/>
  <c r="H4661" i="1"/>
  <c r="I4661" i="1" s="1"/>
  <c r="H4662" i="1"/>
  <c r="I4662" i="1" s="1"/>
  <c r="H4663" i="1"/>
  <c r="I4663" i="1" s="1"/>
  <c r="H4664" i="1"/>
  <c r="I4664" i="1" s="1"/>
  <c r="H4665" i="1"/>
  <c r="I4665" i="1" s="1"/>
  <c r="H4666" i="1"/>
  <c r="I4666" i="1" s="1"/>
  <c r="H4667" i="1"/>
  <c r="I4667" i="1" s="1"/>
  <c r="H4668" i="1"/>
  <c r="I4668" i="1" s="1"/>
  <c r="H4669" i="1"/>
  <c r="I4669" i="1" s="1"/>
  <c r="H4670" i="1"/>
  <c r="I4670" i="1" s="1"/>
  <c r="H4671" i="1"/>
  <c r="I4671" i="1" s="1"/>
  <c r="H4672" i="1"/>
  <c r="I4672" i="1" s="1"/>
  <c r="H4673" i="1"/>
  <c r="I4673" i="1" s="1"/>
  <c r="H4674" i="1"/>
  <c r="I4674" i="1" s="1"/>
  <c r="H4675" i="1"/>
  <c r="I4675" i="1" s="1"/>
  <c r="H4676" i="1"/>
  <c r="I4676" i="1" s="1"/>
  <c r="H4677" i="1"/>
  <c r="I4677" i="1" s="1"/>
  <c r="H4678" i="1"/>
  <c r="I4678" i="1" s="1"/>
  <c r="H4679" i="1"/>
  <c r="I4679" i="1" s="1"/>
  <c r="H4680" i="1"/>
  <c r="I4680" i="1" s="1"/>
  <c r="H4681" i="1"/>
  <c r="I4681" i="1" s="1"/>
  <c r="H4682" i="1"/>
  <c r="I4682" i="1" s="1"/>
  <c r="H4683" i="1"/>
  <c r="I4683" i="1" s="1"/>
  <c r="H4684" i="1"/>
  <c r="I4684" i="1" s="1"/>
  <c r="H4685" i="1"/>
  <c r="I4685" i="1" s="1"/>
  <c r="H4686" i="1"/>
  <c r="I4686" i="1" s="1"/>
  <c r="H4687" i="1"/>
  <c r="I4687" i="1" s="1"/>
  <c r="H4688" i="1"/>
  <c r="I4688" i="1" s="1"/>
  <c r="H4689" i="1"/>
  <c r="I4689" i="1" s="1"/>
  <c r="H4690" i="1"/>
  <c r="I4690" i="1" s="1"/>
  <c r="H4691" i="1"/>
  <c r="I4691" i="1" s="1"/>
  <c r="H4692" i="1"/>
  <c r="I4692" i="1" s="1"/>
  <c r="H4693" i="1"/>
  <c r="I4693" i="1" s="1"/>
  <c r="H4694" i="1"/>
  <c r="I4694" i="1" s="1"/>
  <c r="H4695" i="1"/>
  <c r="I4695" i="1" s="1"/>
  <c r="H4696" i="1"/>
  <c r="I4696" i="1" s="1"/>
  <c r="H4697" i="1"/>
  <c r="I4697" i="1" s="1"/>
  <c r="H4698" i="1"/>
  <c r="I4698" i="1" s="1"/>
  <c r="H4699" i="1"/>
  <c r="I4699" i="1" s="1"/>
  <c r="H4700" i="1"/>
  <c r="I4700" i="1" s="1"/>
  <c r="H4701" i="1"/>
  <c r="I4701" i="1" s="1"/>
  <c r="H4702" i="1"/>
  <c r="I4702" i="1" s="1"/>
  <c r="H4703" i="1"/>
  <c r="I4703" i="1" s="1"/>
  <c r="H4704" i="1"/>
  <c r="I4704" i="1" s="1"/>
  <c r="H4705" i="1"/>
  <c r="I4705" i="1" s="1"/>
  <c r="H4706" i="1"/>
  <c r="I4706" i="1" s="1"/>
  <c r="H4707" i="1"/>
  <c r="I4707" i="1" s="1"/>
  <c r="H4708" i="1"/>
  <c r="I4708" i="1" s="1"/>
  <c r="H4709" i="1"/>
  <c r="I4709" i="1" s="1"/>
  <c r="H4710" i="1"/>
  <c r="I4710" i="1" s="1"/>
  <c r="H4711" i="1"/>
  <c r="I4711" i="1" s="1"/>
  <c r="H4712" i="1"/>
  <c r="I4712" i="1" s="1"/>
  <c r="H4713" i="1"/>
  <c r="I4713" i="1" s="1"/>
  <c r="H4714" i="1"/>
  <c r="I4714" i="1" s="1"/>
  <c r="H4715" i="1"/>
  <c r="I4715" i="1" s="1"/>
  <c r="H4716" i="1"/>
  <c r="I4716" i="1" s="1"/>
  <c r="H4717" i="1"/>
  <c r="I4717" i="1" s="1"/>
  <c r="H4718" i="1"/>
  <c r="I4718" i="1" s="1"/>
  <c r="H4719" i="1"/>
  <c r="I4719" i="1" s="1"/>
  <c r="H4720" i="1"/>
  <c r="I4720" i="1" s="1"/>
  <c r="H4721" i="1"/>
  <c r="I4721" i="1" s="1"/>
  <c r="H4722" i="1"/>
  <c r="I4722" i="1" s="1"/>
  <c r="H4723" i="1"/>
  <c r="I4723" i="1" s="1"/>
  <c r="H4724" i="1"/>
  <c r="I4724" i="1" s="1"/>
  <c r="H4725" i="1"/>
  <c r="I4725" i="1" s="1"/>
  <c r="H4726" i="1"/>
  <c r="I4726" i="1" s="1"/>
  <c r="H4727" i="1"/>
  <c r="I4727" i="1" s="1"/>
  <c r="H4728" i="1"/>
  <c r="I4728" i="1" s="1"/>
  <c r="H4729" i="1"/>
  <c r="I4729" i="1" s="1"/>
  <c r="H4730" i="1"/>
  <c r="I4730" i="1" s="1"/>
  <c r="H4731" i="1"/>
  <c r="I4731" i="1" s="1"/>
  <c r="H4732" i="1"/>
  <c r="I4732" i="1" s="1"/>
  <c r="H4733" i="1"/>
  <c r="I4733" i="1" s="1"/>
  <c r="H4734" i="1"/>
  <c r="I4734" i="1" s="1"/>
  <c r="H4735" i="1"/>
  <c r="I4735" i="1" s="1"/>
  <c r="H4736" i="1"/>
  <c r="I4736" i="1" s="1"/>
  <c r="H4737" i="1"/>
  <c r="I4737" i="1" s="1"/>
  <c r="H4738" i="1"/>
  <c r="I4738" i="1" s="1"/>
  <c r="H4739" i="1"/>
  <c r="I4739" i="1" s="1"/>
  <c r="H4740" i="1"/>
  <c r="I4740" i="1" s="1"/>
  <c r="H4741" i="1"/>
  <c r="I4741" i="1" s="1"/>
  <c r="H4742" i="1"/>
  <c r="I4742" i="1" s="1"/>
  <c r="H4743" i="1"/>
  <c r="I4743" i="1" s="1"/>
  <c r="H4744" i="1"/>
  <c r="I4744" i="1" s="1"/>
  <c r="H4745" i="1"/>
  <c r="I4745" i="1" s="1"/>
  <c r="H4746" i="1"/>
  <c r="I4746" i="1" s="1"/>
  <c r="H4747" i="1"/>
  <c r="I4747" i="1" s="1"/>
  <c r="H4748" i="1"/>
  <c r="I4748" i="1" s="1"/>
  <c r="H4749" i="1"/>
  <c r="I4749" i="1" s="1"/>
  <c r="H4750" i="1"/>
  <c r="I4750" i="1" s="1"/>
  <c r="H4751" i="1"/>
  <c r="I4751" i="1" s="1"/>
  <c r="H4752" i="1"/>
  <c r="I4752" i="1" s="1"/>
  <c r="H4753" i="1"/>
  <c r="I4753" i="1" s="1"/>
  <c r="H4754" i="1"/>
  <c r="I4754" i="1" s="1"/>
  <c r="H4755" i="1"/>
  <c r="I4755" i="1" s="1"/>
  <c r="H4756" i="1"/>
  <c r="I4756" i="1" s="1"/>
  <c r="H4757" i="1"/>
  <c r="I4757" i="1" s="1"/>
  <c r="H4758" i="1"/>
  <c r="I4758" i="1" s="1"/>
  <c r="H4759" i="1"/>
  <c r="I4759" i="1" s="1"/>
  <c r="H4760" i="1"/>
  <c r="I4760" i="1" s="1"/>
  <c r="H4761" i="1"/>
  <c r="I4761" i="1" s="1"/>
  <c r="H4762" i="1"/>
  <c r="I4762" i="1" s="1"/>
  <c r="H4763" i="1"/>
  <c r="I4763" i="1" s="1"/>
  <c r="H4764" i="1"/>
  <c r="I4764" i="1" s="1"/>
  <c r="H4765" i="1"/>
  <c r="I4765" i="1" s="1"/>
  <c r="H4766" i="1"/>
  <c r="I4766" i="1" s="1"/>
  <c r="H4767" i="1"/>
  <c r="I4767" i="1" s="1"/>
  <c r="H4768" i="1"/>
  <c r="I4768" i="1" s="1"/>
  <c r="H4769" i="1"/>
  <c r="I4769" i="1" s="1"/>
  <c r="H4770" i="1"/>
  <c r="I4770" i="1" s="1"/>
  <c r="H4771" i="1"/>
  <c r="I4771" i="1" s="1"/>
  <c r="H4772" i="1"/>
  <c r="I4772" i="1" s="1"/>
  <c r="H4773" i="1"/>
  <c r="I4773" i="1" s="1"/>
  <c r="H4774" i="1"/>
  <c r="I4774" i="1" s="1"/>
  <c r="H4775" i="1"/>
  <c r="I4775" i="1" s="1"/>
  <c r="H4776" i="1"/>
  <c r="I4776" i="1" s="1"/>
  <c r="H4777" i="1"/>
  <c r="I4777" i="1" s="1"/>
  <c r="H4778" i="1"/>
  <c r="I4778" i="1" s="1"/>
  <c r="H4779" i="1"/>
  <c r="I4779" i="1" s="1"/>
  <c r="H4780" i="1"/>
  <c r="I4780" i="1" s="1"/>
  <c r="H4781" i="1"/>
  <c r="I4781" i="1" s="1"/>
  <c r="H4782" i="1"/>
  <c r="I4782" i="1" s="1"/>
  <c r="H4783" i="1"/>
  <c r="I4783" i="1" s="1"/>
  <c r="H4784" i="1"/>
  <c r="I4784" i="1" s="1"/>
  <c r="H4785" i="1"/>
  <c r="I4785" i="1" s="1"/>
  <c r="H4786" i="1"/>
  <c r="I4786" i="1" s="1"/>
  <c r="H4787" i="1"/>
  <c r="I4787" i="1" s="1"/>
  <c r="H4788" i="1"/>
  <c r="I4788" i="1" s="1"/>
  <c r="H4789" i="1"/>
  <c r="I4789" i="1" s="1"/>
  <c r="H4790" i="1"/>
  <c r="I4790" i="1" s="1"/>
  <c r="H4791" i="1"/>
  <c r="I4791" i="1" s="1"/>
  <c r="H4792" i="1"/>
  <c r="I4792" i="1" s="1"/>
  <c r="H4793" i="1"/>
  <c r="I4793" i="1" s="1"/>
  <c r="H4794" i="1"/>
  <c r="I4794" i="1" s="1"/>
  <c r="H4795" i="1"/>
  <c r="I4795" i="1" s="1"/>
  <c r="H4796" i="1"/>
  <c r="I4796" i="1" s="1"/>
  <c r="H4797" i="1"/>
  <c r="I4797" i="1" s="1"/>
  <c r="H4798" i="1"/>
  <c r="I4798" i="1" s="1"/>
  <c r="H4799" i="1"/>
  <c r="I4799" i="1" s="1"/>
  <c r="H4800" i="1"/>
  <c r="I4800" i="1" s="1"/>
  <c r="H4801" i="1"/>
  <c r="I4801" i="1" s="1"/>
  <c r="H4802" i="1"/>
  <c r="I4802" i="1" s="1"/>
  <c r="H4803" i="1"/>
  <c r="I4803" i="1" s="1"/>
  <c r="H4804" i="1"/>
  <c r="I4804" i="1" s="1"/>
  <c r="H4805" i="1"/>
  <c r="I4805" i="1" s="1"/>
  <c r="H4806" i="1"/>
  <c r="I4806" i="1" s="1"/>
  <c r="H4807" i="1"/>
  <c r="I4807" i="1" s="1"/>
  <c r="H4808" i="1"/>
  <c r="I4808" i="1" s="1"/>
  <c r="H4809" i="1"/>
  <c r="I4809" i="1" s="1"/>
  <c r="H4810" i="1"/>
  <c r="I4810" i="1" s="1"/>
  <c r="H4811" i="1"/>
  <c r="I4811" i="1" s="1"/>
  <c r="H4812" i="1"/>
  <c r="I4812" i="1" s="1"/>
  <c r="H4813" i="1"/>
  <c r="I4813" i="1" s="1"/>
  <c r="H4814" i="1"/>
  <c r="I4814" i="1" s="1"/>
  <c r="H4815" i="1"/>
  <c r="I4815" i="1" s="1"/>
  <c r="H4816" i="1"/>
  <c r="I4816" i="1" s="1"/>
  <c r="H4817" i="1"/>
  <c r="I4817" i="1" s="1"/>
  <c r="H4818" i="1"/>
  <c r="I4818" i="1" s="1"/>
  <c r="H4819" i="1"/>
  <c r="I4819" i="1" s="1"/>
  <c r="H4820" i="1"/>
  <c r="I4820" i="1" s="1"/>
  <c r="H4821" i="1"/>
  <c r="I4821" i="1" s="1"/>
  <c r="H4822" i="1"/>
  <c r="I4822" i="1" s="1"/>
  <c r="H4823" i="1"/>
  <c r="I4823" i="1" s="1"/>
  <c r="H4824" i="1"/>
  <c r="I4824" i="1" s="1"/>
  <c r="H4825" i="1"/>
  <c r="I4825" i="1" s="1"/>
  <c r="H4826" i="1"/>
  <c r="I4826" i="1" s="1"/>
  <c r="H4827" i="1"/>
  <c r="I4827" i="1" s="1"/>
  <c r="H4828" i="1"/>
  <c r="I4828" i="1" s="1"/>
  <c r="H4829" i="1"/>
  <c r="I4829" i="1" s="1"/>
  <c r="H4830" i="1"/>
  <c r="I4830" i="1" s="1"/>
  <c r="H4831" i="1"/>
  <c r="I4831" i="1" s="1"/>
  <c r="H4832" i="1"/>
  <c r="I4832" i="1" s="1"/>
  <c r="H4833" i="1"/>
  <c r="I4833" i="1" s="1"/>
  <c r="H4834" i="1"/>
  <c r="I4834" i="1" s="1"/>
  <c r="H4835" i="1"/>
  <c r="I4835" i="1" s="1"/>
  <c r="H4836" i="1"/>
  <c r="I4836" i="1" s="1"/>
  <c r="H4837" i="1"/>
  <c r="I4837" i="1" s="1"/>
  <c r="H4838" i="1"/>
  <c r="I4838" i="1" s="1"/>
  <c r="H4839" i="1"/>
  <c r="I4839" i="1" s="1"/>
  <c r="H4840" i="1"/>
  <c r="I4840" i="1" s="1"/>
  <c r="H4841" i="1"/>
  <c r="I4841" i="1" s="1"/>
  <c r="H4842" i="1"/>
  <c r="I4842" i="1" s="1"/>
  <c r="H4843" i="1"/>
  <c r="I4843" i="1" s="1"/>
  <c r="H4844" i="1"/>
  <c r="I4844" i="1" s="1"/>
  <c r="H4845" i="1"/>
  <c r="I4845" i="1" s="1"/>
  <c r="H4846" i="1"/>
  <c r="I4846" i="1" s="1"/>
  <c r="H4847" i="1"/>
  <c r="I4847" i="1" s="1"/>
  <c r="H4848" i="1"/>
  <c r="I4848" i="1" s="1"/>
  <c r="H4849" i="1"/>
  <c r="I4849" i="1" s="1"/>
  <c r="H4850" i="1"/>
  <c r="I4850" i="1" s="1"/>
  <c r="H4851" i="1"/>
  <c r="I4851" i="1" s="1"/>
  <c r="H4852" i="1"/>
  <c r="I4852" i="1" s="1"/>
  <c r="H4853" i="1"/>
  <c r="I4853" i="1" s="1"/>
  <c r="H4854" i="1"/>
  <c r="I4854" i="1" s="1"/>
  <c r="H4855" i="1"/>
  <c r="I4855" i="1" s="1"/>
  <c r="H4856" i="1"/>
  <c r="I4856" i="1" s="1"/>
  <c r="H4857" i="1"/>
  <c r="I4857" i="1" s="1"/>
  <c r="H4858" i="1"/>
  <c r="I4858" i="1" s="1"/>
  <c r="H4859" i="1"/>
  <c r="I4859" i="1" s="1"/>
  <c r="H4860" i="1"/>
  <c r="I4860" i="1" s="1"/>
  <c r="H4861" i="1"/>
  <c r="I4861" i="1" s="1"/>
  <c r="H4862" i="1"/>
  <c r="I4862" i="1" s="1"/>
  <c r="H4863" i="1"/>
  <c r="I4863" i="1" s="1"/>
  <c r="H4864" i="1"/>
  <c r="I4864" i="1" s="1"/>
  <c r="H4865" i="1"/>
  <c r="I4865" i="1" s="1"/>
  <c r="H4866" i="1"/>
  <c r="I4866" i="1" s="1"/>
  <c r="H4867" i="1"/>
  <c r="I4867" i="1" s="1"/>
  <c r="H4868" i="1"/>
  <c r="I4868" i="1" s="1"/>
  <c r="H4869" i="1"/>
  <c r="I4869" i="1" s="1"/>
  <c r="H4870" i="1"/>
  <c r="I4870" i="1" s="1"/>
  <c r="H4871" i="1"/>
  <c r="I4871" i="1" s="1"/>
  <c r="H4872" i="1"/>
  <c r="I4872" i="1" s="1"/>
  <c r="H4873" i="1"/>
  <c r="I4873" i="1" s="1"/>
  <c r="H4874" i="1"/>
  <c r="I4874" i="1" s="1"/>
  <c r="H4875" i="1"/>
  <c r="I4875" i="1" s="1"/>
  <c r="H4876" i="1"/>
  <c r="I4876" i="1" s="1"/>
  <c r="H4877" i="1"/>
  <c r="I4877" i="1" s="1"/>
  <c r="H4878" i="1"/>
  <c r="I4878" i="1" s="1"/>
  <c r="H4879" i="1"/>
  <c r="I4879" i="1" s="1"/>
  <c r="H4880" i="1"/>
  <c r="I4880" i="1" s="1"/>
  <c r="H4881" i="1"/>
  <c r="I4881" i="1" s="1"/>
  <c r="H4882" i="1"/>
  <c r="I4882" i="1" s="1"/>
  <c r="H4883" i="1"/>
  <c r="I4883" i="1" s="1"/>
  <c r="H4884" i="1"/>
  <c r="I4884" i="1" s="1"/>
  <c r="H4885" i="1"/>
  <c r="I4885" i="1" s="1"/>
  <c r="H4886" i="1"/>
  <c r="I4886" i="1" s="1"/>
  <c r="H4887" i="1"/>
  <c r="I4887" i="1" s="1"/>
  <c r="H4888" i="1"/>
  <c r="I4888" i="1" s="1"/>
  <c r="H4889" i="1"/>
  <c r="I4889" i="1" s="1"/>
  <c r="H4890" i="1"/>
  <c r="I4890" i="1" s="1"/>
  <c r="H4891" i="1"/>
  <c r="I4891" i="1" s="1"/>
  <c r="H4892" i="1"/>
  <c r="I4892" i="1" s="1"/>
  <c r="H4893" i="1"/>
  <c r="I4893" i="1" s="1"/>
  <c r="H4894" i="1"/>
  <c r="I4894" i="1" s="1"/>
  <c r="H4895" i="1"/>
  <c r="I4895" i="1" s="1"/>
  <c r="H4896" i="1"/>
  <c r="I4896" i="1" s="1"/>
  <c r="H4897" i="1"/>
  <c r="I4897" i="1" s="1"/>
  <c r="H4898" i="1"/>
  <c r="I4898" i="1" s="1"/>
  <c r="H4899" i="1"/>
  <c r="I4899" i="1" s="1"/>
  <c r="H4900" i="1"/>
  <c r="I4900" i="1" s="1"/>
  <c r="H4901" i="1"/>
  <c r="I4901" i="1" s="1"/>
  <c r="H4902" i="1"/>
  <c r="I4902" i="1" s="1"/>
  <c r="H4903" i="1"/>
  <c r="I4903" i="1" s="1"/>
  <c r="H4904" i="1"/>
  <c r="I4904" i="1" s="1"/>
  <c r="H4905" i="1"/>
  <c r="I4905" i="1" s="1"/>
  <c r="H4906" i="1"/>
  <c r="I4906" i="1" s="1"/>
  <c r="H4907" i="1"/>
  <c r="I4907" i="1" s="1"/>
  <c r="H4908" i="1"/>
  <c r="I4908" i="1" s="1"/>
  <c r="H4909" i="1"/>
  <c r="I4909" i="1" s="1"/>
  <c r="H4910" i="1"/>
  <c r="I4910" i="1" s="1"/>
  <c r="H4911" i="1"/>
  <c r="I4911" i="1" s="1"/>
  <c r="H4912" i="1"/>
  <c r="I4912" i="1" s="1"/>
  <c r="H4913" i="1"/>
  <c r="I4913" i="1" s="1"/>
  <c r="H4914" i="1"/>
  <c r="I4914" i="1" s="1"/>
  <c r="H4915" i="1"/>
  <c r="I4915" i="1" s="1"/>
  <c r="H4916" i="1"/>
  <c r="I4916" i="1" s="1"/>
  <c r="H4917" i="1"/>
  <c r="I4917" i="1" s="1"/>
  <c r="H4918" i="1"/>
  <c r="I4918" i="1" s="1"/>
  <c r="H4919" i="1"/>
  <c r="I4919" i="1" s="1"/>
  <c r="H4920" i="1"/>
  <c r="I4920" i="1" s="1"/>
  <c r="H4921" i="1"/>
  <c r="I4921" i="1" s="1"/>
  <c r="H4922" i="1"/>
  <c r="I4922" i="1" s="1"/>
  <c r="H4923" i="1"/>
  <c r="I4923" i="1" s="1"/>
  <c r="H4924" i="1"/>
  <c r="I4924" i="1" s="1"/>
  <c r="H4925" i="1"/>
  <c r="I4925" i="1" s="1"/>
  <c r="H4926" i="1"/>
  <c r="I4926" i="1" s="1"/>
  <c r="H4927" i="1"/>
  <c r="I4927" i="1" s="1"/>
  <c r="H4928" i="1"/>
  <c r="I4928" i="1" s="1"/>
  <c r="H4929" i="1"/>
  <c r="I4929" i="1" s="1"/>
  <c r="H4930" i="1"/>
  <c r="I4930" i="1" s="1"/>
  <c r="H4931" i="1"/>
  <c r="I4931" i="1" s="1"/>
  <c r="H4932" i="1"/>
  <c r="I4932" i="1" s="1"/>
  <c r="H4933" i="1"/>
  <c r="I4933" i="1" s="1"/>
  <c r="H4934" i="1"/>
  <c r="I4934" i="1" s="1"/>
  <c r="H4935" i="1"/>
  <c r="I4935" i="1" s="1"/>
  <c r="H4936" i="1"/>
  <c r="I4936" i="1" s="1"/>
  <c r="H4937" i="1"/>
  <c r="I4937" i="1" s="1"/>
  <c r="H4938" i="1"/>
  <c r="I4938" i="1" s="1"/>
  <c r="H4939" i="1"/>
  <c r="I4939" i="1" s="1"/>
  <c r="H4940" i="1"/>
  <c r="I4940" i="1" s="1"/>
  <c r="H4941" i="1"/>
  <c r="I4941" i="1" s="1"/>
  <c r="H4942" i="1"/>
  <c r="I4942" i="1" s="1"/>
  <c r="H4943" i="1"/>
  <c r="I4943" i="1" s="1"/>
  <c r="H4944" i="1"/>
  <c r="I4944" i="1" s="1"/>
  <c r="H4945" i="1"/>
  <c r="I4945" i="1" s="1"/>
  <c r="H4946" i="1"/>
  <c r="I4946" i="1" s="1"/>
  <c r="H4947" i="1"/>
  <c r="I4947" i="1" s="1"/>
  <c r="H4948" i="1"/>
  <c r="I4948" i="1" s="1"/>
  <c r="H4949" i="1"/>
  <c r="I4949" i="1" s="1"/>
  <c r="H4950" i="1"/>
  <c r="I4950" i="1" s="1"/>
  <c r="H4951" i="1"/>
  <c r="I4951" i="1" s="1"/>
  <c r="H4952" i="1"/>
  <c r="I4952" i="1" s="1"/>
  <c r="H4953" i="1"/>
  <c r="I4953" i="1" s="1"/>
  <c r="H4954" i="1"/>
  <c r="I4954" i="1" s="1"/>
  <c r="H4955" i="1"/>
  <c r="I4955" i="1" s="1"/>
  <c r="H4956" i="1"/>
  <c r="I4956" i="1" s="1"/>
  <c r="H4957" i="1"/>
  <c r="I4957" i="1" s="1"/>
  <c r="H4958" i="1"/>
  <c r="I4958" i="1" s="1"/>
  <c r="H4959" i="1"/>
  <c r="I4959" i="1" s="1"/>
  <c r="H4960" i="1"/>
  <c r="I4960" i="1" s="1"/>
  <c r="H4961" i="1"/>
  <c r="I4961" i="1" s="1"/>
  <c r="H4962" i="1"/>
  <c r="I4962" i="1" s="1"/>
  <c r="H4963" i="1"/>
  <c r="I4963" i="1" s="1"/>
  <c r="H4964" i="1"/>
  <c r="I4964" i="1" s="1"/>
  <c r="H4965" i="1"/>
  <c r="I4965" i="1" s="1"/>
  <c r="H4966" i="1"/>
  <c r="I4966" i="1" s="1"/>
  <c r="H4967" i="1"/>
  <c r="I4967" i="1" s="1"/>
  <c r="H4968" i="1"/>
  <c r="I4968" i="1" s="1"/>
  <c r="H4969" i="1"/>
  <c r="I4969" i="1" s="1"/>
  <c r="H4970" i="1"/>
  <c r="I4970" i="1" s="1"/>
  <c r="H4971" i="1"/>
  <c r="I4971" i="1" s="1"/>
  <c r="H4972" i="1"/>
  <c r="I4972" i="1" s="1"/>
  <c r="H4973" i="1"/>
  <c r="I4973" i="1" s="1"/>
  <c r="H4974" i="1"/>
  <c r="I4974" i="1" s="1"/>
  <c r="H4975" i="1"/>
  <c r="I4975" i="1" s="1"/>
  <c r="H4976" i="1"/>
  <c r="I4976" i="1" s="1"/>
  <c r="H4977" i="1"/>
  <c r="I4977" i="1" s="1"/>
  <c r="H4978" i="1"/>
  <c r="I4978" i="1" s="1"/>
  <c r="H4979" i="1"/>
  <c r="I4979" i="1" s="1"/>
  <c r="H4980" i="1"/>
  <c r="I4980" i="1" s="1"/>
  <c r="H4981" i="1"/>
  <c r="I4981" i="1" s="1"/>
  <c r="H4982" i="1"/>
  <c r="I4982" i="1" s="1"/>
  <c r="H4983" i="1"/>
  <c r="I4983" i="1" s="1"/>
  <c r="H4984" i="1"/>
  <c r="I4984" i="1" s="1"/>
  <c r="H4985" i="1"/>
  <c r="I4985" i="1" s="1"/>
  <c r="H4986" i="1"/>
  <c r="I4986" i="1" s="1"/>
  <c r="H4987" i="1"/>
  <c r="I4987" i="1" s="1"/>
  <c r="H4988" i="1"/>
  <c r="I4988" i="1" s="1"/>
  <c r="H4989" i="1"/>
  <c r="I4989" i="1" s="1"/>
  <c r="H4990" i="1"/>
  <c r="I4990" i="1" s="1"/>
  <c r="H4991" i="1"/>
  <c r="I4991" i="1" s="1"/>
  <c r="H4992" i="1"/>
  <c r="I4992" i="1" s="1"/>
  <c r="H4993" i="1"/>
  <c r="I4993" i="1" s="1"/>
  <c r="H4994" i="1"/>
  <c r="I4994" i="1" s="1"/>
  <c r="H4995" i="1"/>
  <c r="I4995" i="1" s="1"/>
  <c r="H4996" i="1"/>
  <c r="I4996" i="1" s="1"/>
  <c r="H4997" i="1"/>
  <c r="I4997" i="1" s="1"/>
  <c r="H4998" i="1"/>
  <c r="I4998" i="1" s="1"/>
  <c r="H4999" i="1"/>
  <c r="I4999" i="1" s="1"/>
  <c r="H5000" i="1"/>
  <c r="I5000" i="1" s="1"/>
  <c r="H5001" i="1"/>
  <c r="I5001" i="1" s="1"/>
  <c r="H5002" i="1"/>
  <c r="I5002" i="1" s="1"/>
  <c r="H5003" i="1"/>
  <c r="I5003" i="1" s="1"/>
  <c r="H5004" i="1"/>
  <c r="I5004" i="1" s="1"/>
  <c r="H5005" i="1"/>
  <c r="I5005" i="1" s="1"/>
  <c r="H5006" i="1"/>
  <c r="I5006" i="1" s="1"/>
  <c r="H5007" i="1"/>
  <c r="I5007" i="1" s="1"/>
  <c r="H5008" i="1"/>
  <c r="I5008" i="1" s="1"/>
  <c r="H5009" i="1"/>
  <c r="I5009" i="1" s="1"/>
  <c r="H5010" i="1"/>
  <c r="I5010" i="1" s="1"/>
  <c r="H5011" i="1"/>
  <c r="I5011" i="1" s="1"/>
  <c r="H5012" i="1"/>
  <c r="I5012" i="1" s="1"/>
  <c r="H5013" i="1"/>
  <c r="I5013" i="1" s="1"/>
  <c r="H5014" i="1"/>
  <c r="I5014" i="1" s="1"/>
  <c r="H5015" i="1"/>
  <c r="I5015" i="1" s="1"/>
  <c r="H5016" i="1"/>
  <c r="I5016" i="1" s="1"/>
  <c r="H5017" i="1"/>
  <c r="I5017" i="1" s="1"/>
  <c r="H5018" i="1"/>
  <c r="I5018" i="1" s="1"/>
  <c r="H5019" i="1"/>
  <c r="I5019" i="1" s="1"/>
  <c r="H5020" i="1"/>
  <c r="I5020" i="1" s="1"/>
  <c r="H5021" i="1"/>
  <c r="I5021" i="1" s="1"/>
  <c r="H5022" i="1"/>
  <c r="I5022" i="1" s="1"/>
  <c r="H5023" i="1"/>
  <c r="I5023" i="1" s="1"/>
  <c r="H5024" i="1"/>
  <c r="I5024" i="1" s="1"/>
  <c r="H5025" i="1"/>
  <c r="I5025" i="1" s="1"/>
  <c r="H5026" i="1"/>
  <c r="I5026" i="1" s="1"/>
  <c r="H5027" i="1"/>
  <c r="I5027" i="1" s="1"/>
  <c r="H5028" i="1"/>
  <c r="I5028" i="1" s="1"/>
  <c r="H5029" i="1"/>
  <c r="I5029" i="1" s="1"/>
  <c r="H5030" i="1"/>
  <c r="I5030" i="1" s="1"/>
  <c r="H5031" i="1"/>
  <c r="I5031" i="1" s="1"/>
  <c r="H5032" i="1"/>
  <c r="I5032" i="1" s="1"/>
  <c r="H5033" i="1"/>
  <c r="I5033" i="1" s="1"/>
  <c r="H5034" i="1"/>
  <c r="I5034" i="1" s="1"/>
  <c r="H5035" i="1"/>
  <c r="I5035" i="1" s="1"/>
  <c r="H5036" i="1"/>
  <c r="I5036" i="1" s="1"/>
  <c r="H5037" i="1"/>
  <c r="I5037" i="1" s="1"/>
  <c r="H5038" i="1"/>
  <c r="I5038" i="1" s="1"/>
  <c r="H5039" i="1"/>
  <c r="I5039" i="1" s="1"/>
  <c r="H5040" i="1"/>
  <c r="I5040" i="1" s="1"/>
  <c r="H5041" i="1"/>
  <c r="I5041" i="1" s="1"/>
  <c r="H5042" i="1"/>
  <c r="I5042" i="1" s="1"/>
  <c r="H5043" i="1"/>
  <c r="I5043" i="1" s="1"/>
  <c r="H5044" i="1"/>
  <c r="I5044" i="1" s="1"/>
  <c r="H5045" i="1"/>
  <c r="I5045" i="1" s="1"/>
  <c r="H5046" i="1"/>
  <c r="I5046" i="1" s="1"/>
  <c r="H5047" i="1"/>
  <c r="I5047" i="1" s="1"/>
  <c r="H5048" i="1"/>
  <c r="I5048" i="1" s="1"/>
  <c r="H5049" i="1"/>
  <c r="I5049" i="1" s="1"/>
  <c r="H5050" i="1"/>
  <c r="I5050" i="1" s="1"/>
  <c r="H5051" i="1"/>
  <c r="I5051" i="1" s="1"/>
  <c r="H5052" i="1"/>
  <c r="I5052" i="1" s="1"/>
  <c r="H5053" i="1"/>
  <c r="I5053" i="1" s="1"/>
  <c r="H5054" i="1"/>
  <c r="I5054" i="1" s="1"/>
  <c r="H5055" i="1"/>
  <c r="I5055" i="1" s="1"/>
  <c r="H5056" i="1"/>
  <c r="I5056" i="1" s="1"/>
  <c r="H5057" i="1"/>
  <c r="I5057" i="1" s="1"/>
  <c r="H5058" i="1"/>
  <c r="I5058" i="1" s="1"/>
  <c r="H5059" i="1"/>
  <c r="I5059" i="1" s="1"/>
  <c r="H5060" i="1"/>
  <c r="I5060" i="1" s="1"/>
  <c r="H5061" i="1"/>
  <c r="I5061" i="1" s="1"/>
  <c r="H5062" i="1"/>
  <c r="I5062" i="1" s="1"/>
  <c r="H5063" i="1"/>
  <c r="I5063" i="1" s="1"/>
  <c r="H5064" i="1"/>
  <c r="I5064" i="1" s="1"/>
  <c r="H5065" i="1"/>
  <c r="I5065" i="1" s="1"/>
  <c r="H5066" i="1"/>
  <c r="I5066" i="1" s="1"/>
  <c r="H5067" i="1"/>
  <c r="I5067" i="1" s="1"/>
  <c r="H5068" i="1"/>
  <c r="I5068" i="1" s="1"/>
  <c r="H5069" i="1"/>
  <c r="I5069" i="1" s="1"/>
  <c r="H5070" i="1"/>
  <c r="I5070" i="1" s="1"/>
  <c r="H5071" i="1"/>
  <c r="I5071" i="1" s="1"/>
  <c r="H5072" i="1"/>
  <c r="I5072" i="1" s="1"/>
  <c r="H5073" i="1"/>
  <c r="I5073" i="1" s="1"/>
  <c r="H5074" i="1"/>
  <c r="I5074" i="1" s="1"/>
  <c r="H5075" i="1"/>
  <c r="I5075" i="1" s="1"/>
  <c r="H5076" i="1"/>
  <c r="I5076" i="1" s="1"/>
  <c r="H5077" i="1"/>
  <c r="I5077" i="1" s="1"/>
  <c r="H5078" i="1"/>
  <c r="I5078" i="1" s="1"/>
  <c r="H5079" i="1"/>
  <c r="I5079" i="1" s="1"/>
  <c r="H5080" i="1"/>
  <c r="I5080" i="1" s="1"/>
  <c r="H5081" i="1"/>
  <c r="I5081" i="1" s="1"/>
  <c r="H5082" i="1"/>
  <c r="I5082" i="1" s="1"/>
  <c r="H5083" i="1"/>
  <c r="I5083" i="1" s="1"/>
  <c r="H5084" i="1"/>
  <c r="I5084" i="1" s="1"/>
  <c r="H5085" i="1"/>
  <c r="I5085" i="1" s="1"/>
  <c r="H5086" i="1"/>
  <c r="I5086" i="1" s="1"/>
  <c r="H5087" i="1"/>
  <c r="I5087" i="1" s="1"/>
  <c r="H5088" i="1"/>
  <c r="I5088" i="1" s="1"/>
  <c r="H5089" i="1"/>
  <c r="I5089" i="1" s="1"/>
  <c r="H5090" i="1"/>
  <c r="I5090" i="1" s="1"/>
  <c r="H5091" i="1"/>
  <c r="I5091" i="1" s="1"/>
  <c r="H5092" i="1"/>
  <c r="I5092" i="1" s="1"/>
  <c r="H5093" i="1"/>
  <c r="I5093" i="1" s="1"/>
  <c r="H5094" i="1"/>
  <c r="I5094" i="1" s="1"/>
  <c r="H5095" i="1"/>
  <c r="I5095" i="1" s="1"/>
  <c r="H5096" i="1"/>
  <c r="I5096" i="1" s="1"/>
  <c r="H5097" i="1"/>
  <c r="I5097" i="1" s="1"/>
  <c r="H5098" i="1"/>
  <c r="I5098" i="1" s="1"/>
  <c r="H5099" i="1"/>
  <c r="I5099" i="1" s="1"/>
  <c r="H5100" i="1"/>
  <c r="I5100" i="1" s="1"/>
  <c r="H5101" i="1"/>
  <c r="I5101" i="1" s="1"/>
  <c r="H5102" i="1"/>
  <c r="I5102" i="1" s="1"/>
  <c r="H5103" i="1"/>
  <c r="I5103" i="1" s="1"/>
  <c r="H5104" i="1"/>
  <c r="I5104" i="1" s="1"/>
  <c r="H5105" i="1"/>
  <c r="I5105" i="1" s="1"/>
  <c r="H5106" i="1"/>
  <c r="I5106" i="1" s="1"/>
  <c r="H5107" i="1"/>
  <c r="I5107" i="1" s="1"/>
  <c r="H5108" i="1"/>
  <c r="I5108" i="1" s="1"/>
  <c r="H5109" i="1"/>
  <c r="I5109" i="1" s="1"/>
  <c r="H5110" i="1"/>
  <c r="I5110" i="1" s="1"/>
  <c r="H5111" i="1"/>
  <c r="I5111" i="1" s="1"/>
  <c r="H5112" i="1"/>
  <c r="I5112" i="1" s="1"/>
  <c r="H5113" i="1"/>
  <c r="I5113" i="1" s="1"/>
  <c r="H5114" i="1"/>
  <c r="I5114" i="1" s="1"/>
  <c r="H5115" i="1"/>
  <c r="I5115" i="1" s="1"/>
  <c r="H5116" i="1"/>
  <c r="I5116" i="1" s="1"/>
  <c r="H5117" i="1"/>
  <c r="I5117" i="1" s="1"/>
  <c r="H5118" i="1"/>
  <c r="I5118" i="1" s="1"/>
  <c r="H5119" i="1"/>
  <c r="I5119" i="1" s="1"/>
  <c r="H5120" i="1"/>
  <c r="I5120" i="1" s="1"/>
  <c r="H5121" i="1"/>
  <c r="I5121" i="1" s="1"/>
  <c r="H5122" i="1"/>
  <c r="I5122" i="1" s="1"/>
  <c r="H5123" i="1"/>
  <c r="I5123" i="1" s="1"/>
  <c r="H5124" i="1"/>
  <c r="I5124" i="1" s="1"/>
  <c r="H5125" i="1"/>
  <c r="I5125" i="1" s="1"/>
  <c r="H5126" i="1"/>
  <c r="I5126" i="1" s="1"/>
  <c r="H5127" i="1"/>
  <c r="I5127" i="1" s="1"/>
  <c r="H5128" i="1"/>
  <c r="I5128" i="1" s="1"/>
  <c r="H5129" i="1"/>
  <c r="I5129" i="1" s="1"/>
  <c r="H5130" i="1"/>
  <c r="I5130" i="1" s="1"/>
  <c r="H5131" i="1"/>
  <c r="I5131" i="1" s="1"/>
  <c r="H5132" i="1"/>
  <c r="I5132" i="1" s="1"/>
  <c r="H5133" i="1"/>
  <c r="I5133" i="1" s="1"/>
  <c r="H5134" i="1"/>
  <c r="I5134" i="1" s="1"/>
  <c r="H5135" i="1"/>
  <c r="I5135" i="1" s="1"/>
  <c r="H5136" i="1"/>
  <c r="I5136" i="1" s="1"/>
  <c r="H5137" i="1"/>
  <c r="I5137" i="1" s="1"/>
  <c r="H5138" i="1"/>
  <c r="I5138" i="1" s="1"/>
  <c r="H5139" i="1"/>
  <c r="I5139" i="1" s="1"/>
  <c r="H5140" i="1"/>
  <c r="I5140" i="1" s="1"/>
  <c r="H5141" i="1"/>
  <c r="I5141" i="1" s="1"/>
  <c r="H5142" i="1"/>
  <c r="I5142" i="1" s="1"/>
  <c r="H5143" i="1"/>
  <c r="I5143" i="1" s="1"/>
  <c r="H5144" i="1"/>
  <c r="I5144" i="1" s="1"/>
  <c r="H5145" i="1"/>
  <c r="I5145" i="1" s="1"/>
  <c r="H5146" i="1"/>
  <c r="I5146" i="1" s="1"/>
  <c r="H5147" i="1"/>
  <c r="I5147" i="1" s="1"/>
  <c r="H5148" i="1"/>
  <c r="I5148" i="1" s="1"/>
  <c r="H5149" i="1"/>
  <c r="I5149" i="1" s="1"/>
  <c r="H5150" i="1"/>
  <c r="I5150" i="1" s="1"/>
  <c r="H5151" i="1"/>
  <c r="I5151" i="1" s="1"/>
  <c r="H5152" i="1"/>
  <c r="I5152" i="1" s="1"/>
  <c r="H5153" i="1"/>
  <c r="I5153" i="1" s="1"/>
  <c r="H5154" i="1"/>
  <c r="I5154" i="1" s="1"/>
  <c r="H5155" i="1"/>
  <c r="I5155" i="1" s="1"/>
  <c r="H5156" i="1"/>
  <c r="I5156" i="1" s="1"/>
  <c r="H5157" i="1"/>
  <c r="I5157" i="1" s="1"/>
  <c r="H5158" i="1"/>
  <c r="I5158" i="1" s="1"/>
  <c r="H5159" i="1"/>
  <c r="I5159" i="1" s="1"/>
  <c r="H5160" i="1"/>
  <c r="I5160" i="1" s="1"/>
  <c r="H5161" i="1"/>
  <c r="I5161" i="1" s="1"/>
  <c r="H5162" i="1"/>
  <c r="I5162" i="1" s="1"/>
  <c r="H5163" i="1"/>
  <c r="I5163" i="1" s="1"/>
  <c r="H5164" i="1"/>
  <c r="I5164" i="1" s="1"/>
  <c r="H5165" i="1"/>
  <c r="I5165" i="1" s="1"/>
  <c r="H5166" i="1"/>
  <c r="I5166" i="1" s="1"/>
  <c r="H5167" i="1"/>
  <c r="I5167" i="1" s="1"/>
  <c r="H5168" i="1"/>
  <c r="I5168" i="1" s="1"/>
  <c r="H5169" i="1"/>
  <c r="I5169" i="1" s="1"/>
  <c r="H5170" i="1"/>
  <c r="I5170" i="1" s="1"/>
  <c r="H5171" i="1"/>
  <c r="I5171" i="1" s="1"/>
  <c r="H5172" i="1"/>
  <c r="I5172" i="1" s="1"/>
  <c r="H5173" i="1"/>
  <c r="I5173" i="1" s="1"/>
  <c r="H5174" i="1"/>
  <c r="I5174" i="1" s="1"/>
  <c r="H5175" i="1"/>
  <c r="I5175" i="1" s="1"/>
  <c r="H5176" i="1"/>
  <c r="I5176" i="1" s="1"/>
  <c r="H5177" i="1"/>
  <c r="I5177" i="1" s="1"/>
  <c r="H5178" i="1"/>
  <c r="I5178" i="1" s="1"/>
  <c r="H5179" i="1"/>
  <c r="I5179" i="1" s="1"/>
  <c r="H5180" i="1"/>
  <c r="I5180" i="1" s="1"/>
  <c r="H5181" i="1"/>
  <c r="I5181" i="1" s="1"/>
  <c r="H5182" i="1"/>
  <c r="I5182" i="1" s="1"/>
  <c r="H5183" i="1"/>
  <c r="I5183" i="1" s="1"/>
  <c r="H5184" i="1"/>
  <c r="I5184" i="1" s="1"/>
  <c r="H5185" i="1"/>
  <c r="I5185" i="1" s="1"/>
  <c r="H5186" i="1"/>
  <c r="I5186" i="1" s="1"/>
  <c r="H5187" i="1"/>
  <c r="I5187" i="1" s="1"/>
  <c r="H5188" i="1"/>
  <c r="I5188" i="1" s="1"/>
  <c r="H5189" i="1"/>
  <c r="I5189" i="1" s="1"/>
  <c r="H5190" i="1"/>
  <c r="I5190" i="1" s="1"/>
  <c r="H5191" i="1"/>
  <c r="I5191" i="1" s="1"/>
  <c r="H5192" i="1"/>
  <c r="I5192" i="1" s="1"/>
  <c r="H5193" i="1"/>
  <c r="I5193" i="1" s="1"/>
  <c r="H5194" i="1"/>
  <c r="I5194" i="1" s="1"/>
  <c r="H5195" i="1"/>
  <c r="I5195" i="1" s="1"/>
  <c r="H5196" i="1"/>
  <c r="I5196" i="1" s="1"/>
  <c r="H5197" i="1"/>
  <c r="I5197" i="1" s="1"/>
  <c r="H5198" i="1"/>
  <c r="I5198" i="1" s="1"/>
  <c r="H5199" i="1"/>
  <c r="I5199" i="1" s="1"/>
  <c r="H5200" i="1"/>
  <c r="I5200" i="1" s="1"/>
  <c r="H5201" i="1"/>
  <c r="I5201" i="1" s="1"/>
  <c r="H5202" i="1"/>
  <c r="I5202" i="1" s="1"/>
  <c r="H5203" i="1"/>
  <c r="I5203" i="1" s="1"/>
  <c r="H5204" i="1"/>
  <c r="I5204" i="1" s="1"/>
  <c r="H5205" i="1"/>
  <c r="I5205" i="1" s="1"/>
  <c r="H5206" i="1"/>
  <c r="I5206" i="1" s="1"/>
  <c r="H5207" i="1"/>
  <c r="I5207" i="1" s="1"/>
  <c r="H5208" i="1"/>
  <c r="I5208" i="1" s="1"/>
  <c r="H5209" i="1"/>
  <c r="I5209" i="1" s="1"/>
  <c r="H5210" i="1"/>
  <c r="I5210" i="1" s="1"/>
  <c r="H5211" i="1"/>
  <c r="I5211" i="1" s="1"/>
  <c r="H5212" i="1"/>
  <c r="I5212" i="1" s="1"/>
  <c r="H5213" i="1"/>
  <c r="I5213" i="1" s="1"/>
  <c r="H5214" i="1"/>
  <c r="I5214" i="1" s="1"/>
  <c r="H5215" i="1"/>
  <c r="I5215" i="1" s="1"/>
  <c r="H5216" i="1"/>
  <c r="I5216" i="1" s="1"/>
  <c r="H5217" i="1"/>
  <c r="I5217" i="1" s="1"/>
  <c r="H5218" i="1"/>
  <c r="I5218" i="1" s="1"/>
  <c r="H5219" i="1"/>
  <c r="I5219" i="1" s="1"/>
  <c r="H5220" i="1"/>
  <c r="I5220" i="1" s="1"/>
  <c r="H5221" i="1"/>
  <c r="I5221" i="1" s="1"/>
  <c r="H5222" i="1"/>
  <c r="I5222" i="1" s="1"/>
  <c r="H5223" i="1"/>
  <c r="I5223" i="1" s="1"/>
  <c r="H5224" i="1"/>
  <c r="I5224" i="1" s="1"/>
  <c r="H5225" i="1"/>
  <c r="I5225" i="1" s="1"/>
  <c r="H5226" i="1"/>
  <c r="I5226" i="1" s="1"/>
  <c r="H5227" i="1"/>
  <c r="I5227" i="1" s="1"/>
  <c r="H5228" i="1"/>
  <c r="I5228" i="1" s="1"/>
  <c r="H5229" i="1"/>
  <c r="I5229" i="1" s="1"/>
  <c r="H5230" i="1"/>
  <c r="I5230" i="1" s="1"/>
  <c r="H5231" i="1"/>
  <c r="I5231" i="1" s="1"/>
  <c r="H5232" i="1"/>
  <c r="I5232" i="1" s="1"/>
  <c r="H5233" i="1"/>
  <c r="I5233" i="1" s="1"/>
  <c r="H5234" i="1"/>
  <c r="I5234" i="1" s="1"/>
  <c r="H5235" i="1"/>
  <c r="I5235" i="1" s="1"/>
  <c r="H5236" i="1"/>
  <c r="I5236" i="1" s="1"/>
  <c r="H5237" i="1"/>
  <c r="I5237" i="1" s="1"/>
  <c r="H5238" i="1"/>
  <c r="I5238" i="1" s="1"/>
  <c r="H5239" i="1"/>
  <c r="I5239" i="1" s="1"/>
  <c r="H5240" i="1"/>
  <c r="I5240" i="1" s="1"/>
  <c r="H5241" i="1"/>
  <c r="I5241" i="1" s="1"/>
  <c r="H5242" i="1"/>
  <c r="I5242" i="1" s="1"/>
  <c r="H5243" i="1"/>
  <c r="I5243" i="1" s="1"/>
  <c r="H5244" i="1"/>
  <c r="I5244" i="1" s="1"/>
  <c r="H5245" i="1"/>
  <c r="I5245" i="1" s="1"/>
  <c r="H5246" i="1"/>
  <c r="I5246" i="1" s="1"/>
  <c r="H5247" i="1"/>
  <c r="I5247" i="1" s="1"/>
  <c r="H5248" i="1"/>
  <c r="I5248" i="1" s="1"/>
  <c r="H5249" i="1"/>
  <c r="I5249" i="1" s="1"/>
  <c r="H5250" i="1"/>
  <c r="I5250" i="1" s="1"/>
  <c r="H5251" i="1"/>
  <c r="I5251" i="1" s="1"/>
  <c r="H5252" i="1"/>
  <c r="I5252" i="1" s="1"/>
  <c r="H5253" i="1"/>
  <c r="I5253" i="1" s="1"/>
  <c r="H5254" i="1"/>
  <c r="I5254" i="1" s="1"/>
  <c r="H5255" i="1"/>
  <c r="I5255" i="1" s="1"/>
  <c r="H5256" i="1"/>
  <c r="I5256" i="1" s="1"/>
  <c r="H5257" i="1"/>
  <c r="I5257" i="1" s="1"/>
  <c r="H5258" i="1"/>
  <c r="I5258" i="1" s="1"/>
  <c r="H5259" i="1"/>
  <c r="I5259" i="1" s="1"/>
  <c r="H5260" i="1"/>
  <c r="I5260" i="1" s="1"/>
  <c r="H5261" i="1"/>
  <c r="I5261" i="1" s="1"/>
  <c r="H5262" i="1"/>
  <c r="I5262" i="1" s="1"/>
  <c r="H5263" i="1"/>
  <c r="I5263" i="1" s="1"/>
  <c r="H5264" i="1"/>
  <c r="I5264" i="1" s="1"/>
  <c r="H5265" i="1"/>
  <c r="I5265" i="1" s="1"/>
  <c r="H5266" i="1"/>
  <c r="I5266" i="1" s="1"/>
  <c r="H5267" i="1"/>
  <c r="I5267" i="1" s="1"/>
  <c r="H5268" i="1"/>
  <c r="I5268" i="1" s="1"/>
  <c r="H5269" i="1"/>
  <c r="I5269" i="1" s="1"/>
  <c r="H5270" i="1"/>
  <c r="I5270" i="1" s="1"/>
  <c r="H5271" i="1"/>
  <c r="I5271" i="1" s="1"/>
  <c r="H5272" i="1"/>
  <c r="I5272" i="1" s="1"/>
  <c r="H5273" i="1"/>
  <c r="I5273" i="1" s="1"/>
  <c r="H5274" i="1"/>
  <c r="I5274" i="1" s="1"/>
  <c r="H5275" i="1"/>
  <c r="I5275" i="1" s="1"/>
  <c r="H5276" i="1"/>
  <c r="I5276" i="1" s="1"/>
  <c r="H5277" i="1"/>
  <c r="I5277" i="1" s="1"/>
  <c r="H5278" i="1"/>
  <c r="I5278" i="1" s="1"/>
  <c r="H5279" i="1"/>
  <c r="I5279" i="1" s="1"/>
  <c r="H5280" i="1"/>
  <c r="I5280" i="1" s="1"/>
  <c r="H5281" i="1"/>
  <c r="I5281" i="1" s="1"/>
  <c r="H5282" i="1"/>
  <c r="I5282" i="1" s="1"/>
  <c r="H5283" i="1"/>
  <c r="I5283" i="1" s="1"/>
  <c r="H5284" i="1"/>
  <c r="I5284" i="1" s="1"/>
  <c r="H5285" i="1"/>
  <c r="I5285" i="1" s="1"/>
  <c r="H5286" i="1"/>
  <c r="I5286" i="1" s="1"/>
  <c r="H5287" i="1"/>
  <c r="I5287" i="1" s="1"/>
  <c r="H5288" i="1"/>
  <c r="I5288" i="1" s="1"/>
  <c r="H5289" i="1"/>
  <c r="I5289" i="1" s="1"/>
  <c r="H5290" i="1"/>
  <c r="I5290" i="1" s="1"/>
  <c r="H5291" i="1"/>
  <c r="I5291" i="1" s="1"/>
  <c r="H5292" i="1"/>
  <c r="I5292" i="1" s="1"/>
  <c r="H5293" i="1"/>
  <c r="I5293" i="1" s="1"/>
  <c r="H5294" i="1"/>
  <c r="I5294" i="1" s="1"/>
  <c r="H5295" i="1"/>
  <c r="I5295" i="1" s="1"/>
  <c r="H5296" i="1"/>
  <c r="I5296" i="1" s="1"/>
  <c r="H5297" i="1"/>
  <c r="I5297" i="1" s="1"/>
  <c r="H5298" i="1"/>
  <c r="I5298" i="1" s="1"/>
  <c r="H5299" i="1"/>
  <c r="I5299" i="1" s="1"/>
  <c r="H5300" i="1"/>
  <c r="I5300" i="1" s="1"/>
  <c r="H5301" i="1"/>
  <c r="I5301" i="1" s="1"/>
  <c r="H5302" i="1"/>
  <c r="I5302" i="1" s="1"/>
  <c r="H5303" i="1"/>
  <c r="I5303" i="1" s="1"/>
  <c r="H5304" i="1"/>
  <c r="I5304" i="1" s="1"/>
  <c r="H5305" i="1"/>
  <c r="I5305" i="1" s="1"/>
  <c r="H5306" i="1"/>
  <c r="I5306" i="1" s="1"/>
  <c r="H5307" i="1"/>
  <c r="I5307" i="1" s="1"/>
  <c r="H5308" i="1"/>
  <c r="I5308" i="1" s="1"/>
  <c r="H5309" i="1"/>
  <c r="I5309" i="1" s="1"/>
  <c r="H5310" i="1"/>
  <c r="I5310" i="1" s="1"/>
  <c r="H5311" i="1"/>
  <c r="I5311" i="1" s="1"/>
  <c r="H5312" i="1"/>
  <c r="I5312" i="1" s="1"/>
  <c r="H5313" i="1"/>
  <c r="I5313" i="1" s="1"/>
  <c r="H5314" i="1"/>
  <c r="I5314" i="1" s="1"/>
  <c r="H5315" i="1"/>
  <c r="I5315" i="1" s="1"/>
  <c r="H5316" i="1"/>
  <c r="I5316" i="1" s="1"/>
  <c r="H5317" i="1"/>
  <c r="I5317" i="1" s="1"/>
  <c r="H5318" i="1"/>
  <c r="I5318" i="1" s="1"/>
  <c r="H5319" i="1"/>
  <c r="I5319" i="1" s="1"/>
  <c r="H5320" i="1"/>
  <c r="I5320" i="1" s="1"/>
  <c r="H5321" i="1"/>
  <c r="I5321" i="1" s="1"/>
  <c r="H5322" i="1"/>
  <c r="I5322" i="1" s="1"/>
  <c r="H5323" i="1"/>
  <c r="I5323" i="1" s="1"/>
  <c r="H5324" i="1"/>
  <c r="I5324" i="1" s="1"/>
  <c r="H5325" i="1"/>
  <c r="I5325" i="1" s="1"/>
  <c r="H5326" i="1"/>
  <c r="I5326" i="1" s="1"/>
  <c r="H5327" i="1"/>
  <c r="I5327" i="1" s="1"/>
  <c r="H5328" i="1"/>
  <c r="I5328" i="1" s="1"/>
  <c r="H5329" i="1"/>
  <c r="I5329" i="1" s="1"/>
  <c r="H5330" i="1"/>
  <c r="I5330" i="1" s="1"/>
  <c r="H5331" i="1"/>
  <c r="I5331" i="1" s="1"/>
  <c r="H5332" i="1"/>
  <c r="I5332" i="1" s="1"/>
  <c r="H5333" i="1"/>
  <c r="I5333" i="1" s="1"/>
  <c r="H5334" i="1"/>
  <c r="I5334" i="1" s="1"/>
  <c r="H5335" i="1"/>
  <c r="I5335" i="1" s="1"/>
  <c r="H5336" i="1"/>
  <c r="I5336" i="1" s="1"/>
  <c r="H5337" i="1"/>
  <c r="I5337" i="1" s="1"/>
  <c r="H5338" i="1"/>
  <c r="I5338" i="1" s="1"/>
  <c r="H5339" i="1"/>
  <c r="I5339" i="1" s="1"/>
  <c r="H5340" i="1"/>
  <c r="I5340" i="1" s="1"/>
  <c r="H5341" i="1"/>
  <c r="I5341" i="1" s="1"/>
  <c r="H5342" i="1"/>
  <c r="I5342" i="1" s="1"/>
  <c r="H5343" i="1"/>
  <c r="I5343" i="1" s="1"/>
  <c r="H5344" i="1"/>
  <c r="I5344" i="1" s="1"/>
  <c r="H5345" i="1"/>
  <c r="I5345" i="1" s="1"/>
  <c r="H5346" i="1"/>
  <c r="I5346" i="1" s="1"/>
  <c r="H5347" i="1"/>
  <c r="I5347" i="1" s="1"/>
  <c r="H5348" i="1"/>
  <c r="I5348" i="1" s="1"/>
  <c r="H5349" i="1"/>
  <c r="I5349" i="1" s="1"/>
  <c r="H5350" i="1"/>
  <c r="I5350" i="1" s="1"/>
  <c r="H5351" i="1"/>
  <c r="I5351" i="1" s="1"/>
  <c r="H5352" i="1"/>
  <c r="I5352" i="1" s="1"/>
  <c r="H5353" i="1"/>
  <c r="I5353" i="1" s="1"/>
  <c r="H5354" i="1"/>
  <c r="I5354" i="1" s="1"/>
  <c r="H5355" i="1"/>
  <c r="I5355" i="1" s="1"/>
  <c r="H5356" i="1"/>
  <c r="I5356" i="1" s="1"/>
  <c r="H5357" i="1"/>
  <c r="I5357" i="1" s="1"/>
  <c r="H5358" i="1"/>
  <c r="I5358" i="1" s="1"/>
  <c r="H5359" i="1"/>
  <c r="I5359" i="1" s="1"/>
  <c r="H5360" i="1"/>
  <c r="I5360" i="1" s="1"/>
  <c r="H5361" i="1"/>
  <c r="I5361" i="1" s="1"/>
  <c r="H5362" i="1"/>
  <c r="I5362" i="1" s="1"/>
  <c r="H5363" i="1"/>
  <c r="I5363" i="1" s="1"/>
  <c r="H5364" i="1"/>
  <c r="I5364" i="1" s="1"/>
  <c r="H5365" i="1"/>
  <c r="I5365" i="1" s="1"/>
  <c r="H5366" i="1"/>
  <c r="I5366" i="1" s="1"/>
  <c r="H5367" i="1"/>
  <c r="I5367" i="1" s="1"/>
  <c r="H5368" i="1"/>
  <c r="I5368" i="1" s="1"/>
  <c r="H5369" i="1"/>
  <c r="I5369" i="1" s="1"/>
  <c r="H5370" i="1"/>
  <c r="I5370" i="1" s="1"/>
  <c r="H5371" i="1"/>
  <c r="I5371" i="1" s="1"/>
  <c r="H5372" i="1"/>
  <c r="I5372" i="1" s="1"/>
  <c r="H5373" i="1"/>
  <c r="I5373" i="1" s="1"/>
  <c r="H5374" i="1"/>
  <c r="I5374" i="1" s="1"/>
  <c r="H5375" i="1"/>
  <c r="I5375" i="1" s="1"/>
  <c r="H5376" i="1"/>
  <c r="I5376" i="1" s="1"/>
  <c r="H5377" i="1"/>
  <c r="I5377" i="1" s="1"/>
  <c r="H5378" i="1"/>
  <c r="I5378" i="1" s="1"/>
  <c r="H5379" i="1"/>
  <c r="I5379" i="1" s="1"/>
  <c r="H5380" i="1"/>
  <c r="I5380" i="1" s="1"/>
  <c r="H5381" i="1"/>
  <c r="I5381" i="1" s="1"/>
  <c r="H5382" i="1"/>
  <c r="I5382" i="1" s="1"/>
  <c r="H5383" i="1"/>
  <c r="I5383" i="1" s="1"/>
  <c r="H5384" i="1"/>
  <c r="I5384" i="1" s="1"/>
  <c r="H5385" i="1"/>
  <c r="I5385" i="1" s="1"/>
  <c r="H5386" i="1"/>
  <c r="I5386" i="1" s="1"/>
  <c r="H5387" i="1"/>
  <c r="I5387" i="1" s="1"/>
  <c r="H5388" i="1"/>
  <c r="I5388" i="1" s="1"/>
  <c r="H5389" i="1"/>
  <c r="I5389" i="1" s="1"/>
  <c r="H5390" i="1"/>
  <c r="I5390" i="1" s="1"/>
  <c r="H5391" i="1"/>
  <c r="I5391" i="1" s="1"/>
  <c r="H5392" i="1"/>
  <c r="I5392" i="1" s="1"/>
  <c r="H5393" i="1"/>
  <c r="I5393" i="1" s="1"/>
  <c r="H5394" i="1"/>
  <c r="I5394" i="1" s="1"/>
  <c r="H5395" i="1"/>
  <c r="I5395" i="1" s="1"/>
  <c r="H5396" i="1"/>
  <c r="I5396" i="1" s="1"/>
  <c r="H5397" i="1"/>
  <c r="I5397" i="1" s="1"/>
  <c r="H5398" i="1"/>
  <c r="I5398" i="1" s="1"/>
  <c r="H5399" i="1"/>
  <c r="I5399" i="1" s="1"/>
  <c r="H5400" i="1"/>
  <c r="I5400" i="1" s="1"/>
  <c r="H5401" i="1"/>
  <c r="I5401" i="1" s="1"/>
  <c r="H5402" i="1"/>
  <c r="I5402" i="1" s="1"/>
  <c r="H5403" i="1"/>
  <c r="I5403" i="1" s="1"/>
  <c r="H5404" i="1"/>
  <c r="I5404" i="1" s="1"/>
  <c r="H5405" i="1"/>
  <c r="I5405" i="1" s="1"/>
  <c r="H5406" i="1"/>
  <c r="I5406" i="1" s="1"/>
  <c r="H5407" i="1"/>
  <c r="I5407" i="1" s="1"/>
  <c r="H5408" i="1"/>
  <c r="I5408" i="1" s="1"/>
  <c r="H5409" i="1"/>
  <c r="I5409" i="1" s="1"/>
  <c r="H5410" i="1"/>
  <c r="I5410" i="1" s="1"/>
  <c r="H5411" i="1"/>
  <c r="I5411" i="1" s="1"/>
  <c r="H5412" i="1"/>
  <c r="I5412" i="1" s="1"/>
  <c r="H5413" i="1"/>
  <c r="I5413" i="1" s="1"/>
  <c r="H5414" i="1"/>
  <c r="I5414" i="1" s="1"/>
  <c r="H5415" i="1"/>
  <c r="I5415" i="1" s="1"/>
  <c r="H5416" i="1"/>
  <c r="I5416" i="1" s="1"/>
  <c r="H5417" i="1"/>
  <c r="I5417" i="1" s="1"/>
  <c r="H5418" i="1"/>
  <c r="I5418" i="1" s="1"/>
  <c r="H5419" i="1"/>
  <c r="I5419" i="1" s="1"/>
  <c r="H5420" i="1"/>
  <c r="I5420" i="1" s="1"/>
  <c r="H5421" i="1"/>
  <c r="I5421" i="1" s="1"/>
  <c r="H5422" i="1"/>
  <c r="I5422" i="1" s="1"/>
  <c r="H5423" i="1"/>
  <c r="I5423" i="1" s="1"/>
  <c r="H5424" i="1"/>
  <c r="I5424" i="1" s="1"/>
  <c r="H5425" i="1"/>
  <c r="I5425" i="1" s="1"/>
  <c r="H5426" i="1"/>
  <c r="I5426" i="1" s="1"/>
  <c r="H5427" i="1"/>
  <c r="I5427" i="1" s="1"/>
  <c r="H5428" i="1"/>
  <c r="I5428" i="1" s="1"/>
  <c r="H5429" i="1"/>
  <c r="I5429" i="1" s="1"/>
  <c r="H5430" i="1"/>
  <c r="I5430" i="1" s="1"/>
  <c r="H5431" i="1"/>
  <c r="I5431" i="1" s="1"/>
  <c r="H5432" i="1"/>
  <c r="I5432" i="1" s="1"/>
  <c r="H5433" i="1"/>
  <c r="I5433" i="1" s="1"/>
  <c r="H5434" i="1"/>
  <c r="I5434" i="1" s="1"/>
  <c r="H5435" i="1"/>
  <c r="I5435" i="1" s="1"/>
  <c r="H5436" i="1"/>
  <c r="I5436" i="1" s="1"/>
  <c r="H5437" i="1"/>
  <c r="I5437" i="1" s="1"/>
  <c r="H5438" i="1"/>
  <c r="I5438" i="1" s="1"/>
  <c r="H5439" i="1"/>
  <c r="I5439" i="1" s="1"/>
  <c r="H5440" i="1"/>
  <c r="I5440" i="1" s="1"/>
  <c r="H5441" i="1"/>
  <c r="I5441" i="1" s="1"/>
  <c r="H5442" i="1"/>
  <c r="I5442" i="1" s="1"/>
  <c r="H5443" i="1"/>
  <c r="I5443" i="1" s="1"/>
  <c r="H5444" i="1"/>
  <c r="I5444" i="1" s="1"/>
  <c r="H5445" i="1"/>
  <c r="I5445" i="1" s="1"/>
  <c r="H5446" i="1"/>
  <c r="I5446" i="1" s="1"/>
  <c r="H5447" i="1"/>
  <c r="I5447" i="1" s="1"/>
  <c r="H5448" i="1"/>
  <c r="I5448" i="1" s="1"/>
  <c r="H5449" i="1"/>
  <c r="I5449" i="1" s="1"/>
  <c r="H5450" i="1"/>
  <c r="I5450" i="1" s="1"/>
  <c r="H5451" i="1"/>
  <c r="I5451" i="1" s="1"/>
  <c r="H5452" i="1"/>
  <c r="I5452" i="1" s="1"/>
  <c r="H5453" i="1"/>
  <c r="I5453" i="1" s="1"/>
  <c r="H5454" i="1"/>
  <c r="I5454" i="1" s="1"/>
  <c r="H5455" i="1"/>
  <c r="I5455" i="1" s="1"/>
  <c r="H5456" i="1"/>
  <c r="I5456" i="1" s="1"/>
  <c r="H5457" i="1"/>
  <c r="I5457" i="1" s="1"/>
  <c r="H5458" i="1"/>
  <c r="I5458" i="1" s="1"/>
  <c r="H5459" i="1"/>
  <c r="I5459" i="1" s="1"/>
  <c r="H5460" i="1"/>
  <c r="I5460" i="1" s="1"/>
  <c r="H5461" i="1"/>
  <c r="I5461" i="1" s="1"/>
  <c r="H5462" i="1"/>
  <c r="I5462" i="1" s="1"/>
  <c r="H5463" i="1"/>
  <c r="I5463" i="1" s="1"/>
  <c r="H5464" i="1"/>
  <c r="I5464" i="1" s="1"/>
  <c r="H5465" i="1"/>
  <c r="I5465" i="1" s="1"/>
  <c r="H5466" i="1"/>
  <c r="I5466" i="1" s="1"/>
  <c r="H5467" i="1"/>
  <c r="I5467" i="1" s="1"/>
  <c r="H5468" i="1"/>
  <c r="I5468" i="1" s="1"/>
  <c r="H5469" i="1"/>
  <c r="I5469" i="1" s="1"/>
  <c r="H5470" i="1"/>
  <c r="I5470" i="1" s="1"/>
  <c r="H5471" i="1"/>
  <c r="I5471" i="1" s="1"/>
  <c r="H5472" i="1"/>
  <c r="I5472" i="1" s="1"/>
  <c r="H5473" i="1"/>
  <c r="I5473" i="1" s="1"/>
  <c r="H5474" i="1"/>
  <c r="I5474" i="1" s="1"/>
  <c r="H5475" i="1"/>
  <c r="I5475" i="1" s="1"/>
  <c r="H5476" i="1"/>
  <c r="I5476" i="1" s="1"/>
  <c r="H5477" i="1"/>
  <c r="I5477" i="1" s="1"/>
  <c r="H5478" i="1"/>
  <c r="I5478" i="1" s="1"/>
  <c r="H5479" i="1"/>
  <c r="I5479" i="1" s="1"/>
  <c r="H5480" i="1"/>
  <c r="I5480" i="1" s="1"/>
  <c r="H5481" i="1"/>
  <c r="I5481" i="1" s="1"/>
  <c r="H5482" i="1"/>
  <c r="I5482" i="1" s="1"/>
  <c r="H5483" i="1"/>
  <c r="I5483" i="1" s="1"/>
  <c r="H5484" i="1"/>
  <c r="I5484" i="1" s="1"/>
  <c r="H5485" i="1"/>
  <c r="I5485" i="1" s="1"/>
  <c r="H5486" i="1"/>
  <c r="I5486" i="1" s="1"/>
  <c r="H5487" i="1"/>
  <c r="I5487" i="1" s="1"/>
  <c r="H5488" i="1"/>
  <c r="I5488" i="1" s="1"/>
  <c r="H5489" i="1"/>
  <c r="I5489" i="1" s="1"/>
  <c r="H5490" i="1"/>
  <c r="I5490" i="1" s="1"/>
  <c r="H5491" i="1"/>
  <c r="I5491" i="1" s="1"/>
  <c r="H5492" i="1"/>
  <c r="I5492" i="1" s="1"/>
  <c r="H5493" i="1"/>
  <c r="I5493" i="1" s="1"/>
  <c r="H5494" i="1"/>
  <c r="I5494" i="1" s="1"/>
  <c r="H5495" i="1"/>
  <c r="I5495" i="1" s="1"/>
  <c r="H5496" i="1"/>
  <c r="I5496" i="1" s="1"/>
  <c r="H5497" i="1"/>
  <c r="I5497" i="1" s="1"/>
  <c r="H5498" i="1"/>
  <c r="I5498" i="1" s="1"/>
  <c r="H5499" i="1"/>
  <c r="I5499" i="1" s="1"/>
  <c r="H5500" i="1"/>
  <c r="I5500" i="1" s="1"/>
  <c r="H5501" i="1"/>
  <c r="I5501" i="1" s="1"/>
  <c r="H5502" i="1"/>
  <c r="I5502" i="1" s="1"/>
  <c r="H5503" i="1"/>
  <c r="I5503" i="1" s="1"/>
  <c r="H5504" i="1"/>
  <c r="I5504" i="1" s="1"/>
  <c r="H5505" i="1"/>
  <c r="I5505" i="1" s="1"/>
  <c r="H5506" i="1"/>
  <c r="I5506" i="1" s="1"/>
  <c r="H5507" i="1"/>
  <c r="I5507" i="1" s="1"/>
  <c r="H5508" i="1"/>
  <c r="I5508" i="1" s="1"/>
  <c r="H5509" i="1"/>
  <c r="I5509" i="1" s="1"/>
  <c r="H5510" i="1"/>
  <c r="I5510" i="1" s="1"/>
  <c r="H5511" i="1"/>
  <c r="I5511" i="1" s="1"/>
  <c r="H5512" i="1"/>
  <c r="I5512" i="1" s="1"/>
  <c r="H5513" i="1"/>
  <c r="I5513" i="1" s="1"/>
  <c r="H5514" i="1"/>
  <c r="I5514" i="1" s="1"/>
  <c r="H5515" i="1"/>
  <c r="I5515" i="1" s="1"/>
  <c r="H5516" i="1"/>
  <c r="I5516" i="1" s="1"/>
  <c r="H5517" i="1"/>
  <c r="I5517" i="1" s="1"/>
  <c r="H5518" i="1"/>
  <c r="I5518" i="1" s="1"/>
  <c r="H5519" i="1"/>
  <c r="I5519" i="1" s="1"/>
  <c r="H5520" i="1"/>
  <c r="I5520" i="1" s="1"/>
  <c r="H5521" i="1"/>
  <c r="I5521" i="1" s="1"/>
  <c r="H5522" i="1"/>
  <c r="I5522" i="1" s="1"/>
  <c r="H5523" i="1"/>
  <c r="I5523" i="1" s="1"/>
  <c r="H5524" i="1"/>
  <c r="I5524" i="1" s="1"/>
  <c r="H5525" i="1"/>
  <c r="I5525" i="1" s="1"/>
  <c r="H5526" i="1"/>
  <c r="I5526" i="1" s="1"/>
  <c r="H5527" i="1"/>
  <c r="I5527" i="1" s="1"/>
  <c r="H5528" i="1"/>
  <c r="I5528" i="1" s="1"/>
  <c r="H5529" i="1"/>
  <c r="I5529" i="1" s="1"/>
  <c r="H5530" i="1"/>
  <c r="I5530" i="1" s="1"/>
  <c r="H5531" i="1"/>
  <c r="I5531" i="1" s="1"/>
  <c r="H5532" i="1"/>
  <c r="I5532" i="1" s="1"/>
  <c r="H5533" i="1"/>
  <c r="I5533" i="1" s="1"/>
  <c r="H5534" i="1"/>
  <c r="I5534" i="1" s="1"/>
  <c r="H5535" i="1"/>
  <c r="I5535" i="1" s="1"/>
  <c r="H5536" i="1"/>
  <c r="I5536" i="1" s="1"/>
  <c r="H5537" i="1"/>
  <c r="I5537" i="1" s="1"/>
  <c r="H5538" i="1"/>
  <c r="I5538" i="1" s="1"/>
  <c r="H5539" i="1"/>
  <c r="I5539" i="1" s="1"/>
  <c r="H5540" i="1"/>
  <c r="I5540" i="1" s="1"/>
  <c r="H5541" i="1"/>
  <c r="I5541" i="1" s="1"/>
  <c r="H5542" i="1"/>
  <c r="I5542" i="1" s="1"/>
  <c r="H5543" i="1"/>
  <c r="I5543" i="1" s="1"/>
  <c r="H5544" i="1"/>
  <c r="I5544" i="1" s="1"/>
  <c r="H5545" i="1"/>
  <c r="I5545" i="1" s="1"/>
  <c r="H5546" i="1"/>
  <c r="I5546" i="1" s="1"/>
  <c r="H5547" i="1"/>
  <c r="I5547" i="1" s="1"/>
  <c r="H5548" i="1"/>
  <c r="I5548" i="1" s="1"/>
  <c r="H5549" i="1"/>
  <c r="I5549" i="1" s="1"/>
  <c r="H5550" i="1"/>
  <c r="I5550" i="1" s="1"/>
  <c r="H5551" i="1"/>
  <c r="I5551" i="1" s="1"/>
  <c r="H5552" i="1"/>
  <c r="I5552" i="1" s="1"/>
  <c r="H5553" i="1"/>
  <c r="I5553" i="1" s="1"/>
  <c r="H5554" i="1"/>
  <c r="I5554" i="1" s="1"/>
  <c r="H5555" i="1"/>
  <c r="I5555" i="1" s="1"/>
  <c r="H5556" i="1"/>
  <c r="I5556" i="1" s="1"/>
  <c r="H5557" i="1"/>
  <c r="I5557" i="1" s="1"/>
  <c r="H5558" i="1"/>
  <c r="I5558" i="1" s="1"/>
  <c r="H5559" i="1"/>
  <c r="I5559" i="1" s="1"/>
  <c r="H5560" i="1"/>
  <c r="I5560" i="1" s="1"/>
  <c r="H5561" i="1"/>
  <c r="I5561" i="1" s="1"/>
  <c r="H5562" i="1"/>
  <c r="I5562" i="1" s="1"/>
  <c r="H5563" i="1"/>
  <c r="I5563" i="1" s="1"/>
  <c r="H5564" i="1"/>
  <c r="I5564" i="1" s="1"/>
  <c r="H5565" i="1"/>
  <c r="I5565" i="1" s="1"/>
  <c r="H5566" i="1"/>
  <c r="I5566" i="1" s="1"/>
  <c r="H5567" i="1"/>
  <c r="I5567" i="1" s="1"/>
  <c r="H5568" i="1"/>
  <c r="I5568" i="1" s="1"/>
  <c r="H5569" i="1"/>
  <c r="I5569" i="1" s="1"/>
  <c r="H5570" i="1"/>
  <c r="I5570" i="1" s="1"/>
  <c r="H5571" i="1"/>
  <c r="I5571" i="1" s="1"/>
  <c r="H5572" i="1"/>
  <c r="I5572" i="1" s="1"/>
  <c r="H5573" i="1"/>
  <c r="I5573" i="1" s="1"/>
  <c r="H5574" i="1"/>
  <c r="I5574" i="1" s="1"/>
  <c r="H5575" i="1"/>
  <c r="I5575" i="1" s="1"/>
  <c r="H5576" i="1"/>
  <c r="I5576" i="1" s="1"/>
  <c r="H5577" i="1"/>
  <c r="I5577" i="1" s="1"/>
  <c r="H5578" i="1"/>
  <c r="I5578" i="1" s="1"/>
  <c r="H5579" i="1"/>
  <c r="I5579" i="1" s="1"/>
  <c r="H5580" i="1"/>
  <c r="I5580" i="1" s="1"/>
  <c r="H5581" i="1"/>
  <c r="I5581" i="1" s="1"/>
  <c r="H5582" i="1"/>
  <c r="I5582" i="1" s="1"/>
  <c r="H5583" i="1"/>
  <c r="I5583" i="1" s="1"/>
  <c r="H5584" i="1"/>
  <c r="I5584" i="1" s="1"/>
  <c r="H5585" i="1"/>
  <c r="I5585" i="1" s="1"/>
  <c r="H5586" i="1"/>
  <c r="I5586" i="1" s="1"/>
  <c r="H5587" i="1"/>
  <c r="I5587" i="1" s="1"/>
  <c r="H5588" i="1"/>
  <c r="I5588" i="1" s="1"/>
  <c r="H5589" i="1"/>
  <c r="I5589" i="1" s="1"/>
  <c r="H5590" i="1"/>
  <c r="I5590" i="1" s="1"/>
  <c r="H5591" i="1"/>
  <c r="I5591" i="1" s="1"/>
  <c r="H5592" i="1"/>
  <c r="I5592" i="1" s="1"/>
  <c r="H5593" i="1"/>
  <c r="I5593" i="1" s="1"/>
  <c r="H5594" i="1"/>
  <c r="I5594" i="1" s="1"/>
  <c r="H5595" i="1"/>
  <c r="I5595" i="1" s="1"/>
  <c r="H5596" i="1"/>
  <c r="I5596" i="1" s="1"/>
  <c r="H5597" i="1"/>
  <c r="I5597" i="1" s="1"/>
  <c r="H5598" i="1"/>
  <c r="I5598" i="1" s="1"/>
  <c r="H5599" i="1"/>
  <c r="I5599" i="1" s="1"/>
  <c r="H5600" i="1"/>
  <c r="I5600" i="1" s="1"/>
  <c r="H5601" i="1"/>
  <c r="I5601" i="1" s="1"/>
  <c r="H5602" i="1"/>
  <c r="I5602" i="1" s="1"/>
  <c r="H5603" i="1"/>
  <c r="I5603" i="1" s="1"/>
  <c r="H5604" i="1"/>
  <c r="I5604" i="1" s="1"/>
  <c r="H5605" i="1"/>
  <c r="I5605" i="1" s="1"/>
  <c r="H5606" i="1"/>
  <c r="I5606" i="1" s="1"/>
  <c r="H5607" i="1"/>
  <c r="I5607" i="1" s="1"/>
  <c r="H5608" i="1"/>
  <c r="I5608" i="1" s="1"/>
  <c r="H5609" i="1"/>
  <c r="I5609" i="1" s="1"/>
  <c r="H5610" i="1"/>
  <c r="I5610" i="1" s="1"/>
  <c r="H5611" i="1"/>
  <c r="I5611" i="1" s="1"/>
  <c r="H5612" i="1"/>
  <c r="I5612" i="1" s="1"/>
  <c r="H5613" i="1"/>
  <c r="I5613" i="1" s="1"/>
  <c r="H5614" i="1"/>
  <c r="I5614" i="1" s="1"/>
  <c r="H5615" i="1"/>
  <c r="I5615" i="1" s="1"/>
  <c r="H5616" i="1"/>
  <c r="I5616" i="1" s="1"/>
  <c r="H5617" i="1"/>
  <c r="I5617" i="1" s="1"/>
  <c r="H5618" i="1"/>
  <c r="I5618" i="1" s="1"/>
  <c r="H5619" i="1"/>
  <c r="I5619" i="1" s="1"/>
  <c r="H5620" i="1"/>
  <c r="I5620" i="1" s="1"/>
  <c r="H5621" i="1"/>
  <c r="I5621" i="1" s="1"/>
  <c r="H5622" i="1"/>
  <c r="I5622" i="1" s="1"/>
  <c r="H5623" i="1"/>
  <c r="I5623" i="1" s="1"/>
  <c r="H5624" i="1"/>
  <c r="I5624" i="1" s="1"/>
  <c r="H5625" i="1"/>
  <c r="I5625" i="1" s="1"/>
  <c r="H5626" i="1"/>
  <c r="I5626" i="1" s="1"/>
  <c r="H5627" i="1"/>
  <c r="I5627" i="1" s="1"/>
  <c r="H5628" i="1"/>
  <c r="I5628" i="1" s="1"/>
  <c r="H5629" i="1"/>
  <c r="I5629" i="1" s="1"/>
  <c r="H5630" i="1"/>
  <c r="I5630" i="1" s="1"/>
  <c r="H5631" i="1"/>
  <c r="I5631" i="1" s="1"/>
  <c r="H5632" i="1"/>
  <c r="I5632" i="1" s="1"/>
  <c r="H5633" i="1"/>
  <c r="I5633" i="1" s="1"/>
  <c r="H5634" i="1"/>
  <c r="I5634" i="1" s="1"/>
  <c r="H5635" i="1"/>
  <c r="I5635" i="1" s="1"/>
  <c r="H5636" i="1"/>
  <c r="I5636" i="1" s="1"/>
  <c r="H5637" i="1"/>
  <c r="I5637" i="1" s="1"/>
  <c r="H5638" i="1"/>
  <c r="I5638" i="1" s="1"/>
  <c r="H5639" i="1"/>
  <c r="I5639" i="1" s="1"/>
  <c r="H5640" i="1"/>
  <c r="I5640" i="1" s="1"/>
  <c r="H5641" i="1"/>
  <c r="I5641" i="1" s="1"/>
  <c r="H5642" i="1"/>
  <c r="I5642" i="1" s="1"/>
  <c r="H5643" i="1"/>
  <c r="I5643" i="1" s="1"/>
  <c r="H5644" i="1"/>
  <c r="I5644" i="1" s="1"/>
  <c r="H5645" i="1"/>
  <c r="I5645" i="1" s="1"/>
  <c r="H5646" i="1"/>
  <c r="I5646" i="1" s="1"/>
  <c r="H5647" i="1"/>
  <c r="I5647" i="1" s="1"/>
  <c r="H5648" i="1"/>
  <c r="I5648" i="1" s="1"/>
  <c r="H5649" i="1"/>
  <c r="I5649" i="1" s="1"/>
  <c r="H5650" i="1"/>
  <c r="I5650" i="1" s="1"/>
  <c r="H5651" i="1"/>
  <c r="I5651" i="1" s="1"/>
  <c r="H5652" i="1"/>
  <c r="I5652" i="1" s="1"/>
  <c r="H5653" i="1"/>
  <c r="I5653" i="1" s="1"/>
  <c r="H5654" i="1"/>
  <c r="I5654" i="1" s="1"/>
  <c r="H5655" i="1"/>
  <c r="I5655" i="1" s="1"/>
  <c r="H5656" i="1"/>
  <c r="I5656" i="1" s="1"/>
  <c r="H5657" i="1"/>
  <c r="I5657" i="1" s="1"/>
  <c r="H5658" i="1"/>
  <c r="I5658" i="1" s="1"/>
  <c r="H5659" i="1"/>
  <c r="I5659" i="1" s="1"/>
  <c r="H5660" i="1"/>
  <c r="I5660" i="1" s="1"/>
  <c r="H5661" i="1"/>
  <c r="I5661" i="1" s="1"/>
  <c r="H5662" i="1"/>
  <c r="I5662" i="1" s="1"/>
  <c r="H5663" i="1"/>
  <c r="I5663" i="1" s="1"/>
  <c r="H5664" i="1"/>
  <c r="I5664" i="1" s="1"/>
  <c r="H5665" i="1"/>
  <c r="I5665" i="1" s="1"/>
  <c r="H5666" i="1"/>
  <c r="I5666" i="1" s="1"/>
  <c r="H5667" i="1"/>
  <c r="I5667" i="1" s="1"/>
  <c r="H5668" i="1"/>
  <c r="I5668" i="1" s="1"/>
  <c r="H5669" i="1"/>
  <c r="I5669" i="1" s="1"/>
  <c r="H5670" i="1"/>
  <c r="I5670" i="1" s="1"/>
  <c r="H5671" i="1"/>
  <c r="I5671" i="1" s="1"/>
  <c r="H5672" i="1"/>
  <c r="I5672" i="1" s="1"/>
  <c r="H5673" i="1"/>
  <c r="I5673" i="1" s="1"/>
  <c r="H5674" i="1"/>
  <c r="I5674" i="1" s="1"/>
  <c r="H5675" i="1"/>
  <c r="I5675" i="1" s="1"/>
  <c r="H5676" i="1"/>
  <c r="I5676" i="1" s="1"/>
  <c r="H5677" i="1"/>
  <c r="I5677" i="1" s="1"/>
  <c r="H5678" i="1"/>
  <c r="I5678" i="1" s="1"/>
  <c r="H5679" i="1"/>
  <c r="I5679" i="1" s="1"/>
  <c r="H5680" i="1"/>
  <c r="I5680" i="1" s="1"/>
  <c r="H5681" i="1"/>
  <c r="I5681" i="1" s="1"/>
  <c r="H5682" i="1"/>
  <c r="I5682" i="1" s="1"/>
  <c r="H5683" i="1"/>
  <c r="I5683" i="1" s="1"/>
  <c r="H5684" i="1"/>
  <c r="I5684" i="1" s="1"/>
  <c r="H5685" i="1"/>
  <c r="I5685" i="1" s="1"/>
  <c r="H5686" i="1"/>
  <c r="I5686" i="1" s="1"/>
  <c r="H5687" i="1"/>
  <c r="I5687" i="1" s="1"/>
  <c r="H5688" i="1"/>
  <c r="I5688" i="1" s="1"/>
  <c r="H5689" i="1"/>
  <c r="I5689" i="1" s="1"/>
  <c r="H5690" i="1"/>
  <c r="I5690" i="1" s="1"/>
  <c r="H5691" i="1"/>
  <c r="I5691" i="1" s="1"/>
  <c r="H5692" i="1"/>
  <c r="I5692" i="1" s="1"/>
  <c r="H5693" i="1"/>
  <c r="I5693" i="1" s="1"/>
  <c r="H5694" i="1"/>
  <c r="I5694" i="1" s="1"/>
  <c r="H5695" i="1"/>
  <c r="I5695" i="1" s="1"/>
  <c r="H5696" i="1"/>
  <c r="I5696" i="1" s="1"/>
  <c r="H5697" i="1"/>
  <c r="I5697" i="1" s="1"/>
  <c r="H5698" i="1"/>
  <c r="I5698" i="1" s="1"/>
  <c r="H5699" i="1"/>
  <c r="I5699" i="1" s="1"/>
  <c r="H5700" i="1"/>
  <c r="I5700" i="1" s="1"/>
  <c r="H5701" i="1"/>
  <c r="I5701" i="1" s="1"/>
  <c r="H5702" i="1"/>
  <c r="I5702" i="1" s="1"/>
  <c r="H5703" i="1"/>
  <c r="I5703" i="1" s="1"/>
  <c r="H5704" i="1"/>
  <c r="I5704" i="1" s="1"/>
  <c r="H5705" i="1"/>
  <c r="I5705" i="1" s="1"/>
  <c r="H5706" i="1"/>
  <c r="I5706" i="1" s="1"/>
  <c r="H5707" i="1"/>
  <c r="I5707" i="1" s="1"/>
  <c r="H5708" i="1"/>
  <c r="I5708" i="1" s="1"/>
  <c r="H5709" i="1"/>
  <c r="I5709" i="1" s="1"/>
  <c r="H5710" i="1"/>
  <c r="I5710" i="1" s="1"/>
  <c r="H5711" i="1"/>
  <c r="I5711" i="1" s="1"/>
  <c r="H5712" i="1"/>
  <c r="I5712" i="1" s="1"/>
  <c r="H5713" i="1"/>
  <c r="I5713" i="1" s="1"/>
  <c r="H5714" i="1"/>
  <c r="I5714" i="1" s="1"/>
  <c r="H5715" i="1"/>
  <c r="I5715" i="1" s="1"/>
  <c r="H5716" i="1"/>
  <c r="I5716" i="1" s="1"/>
  <c r="H5717" i="1"/>
  <c r="I5717" i="1" s="1"/>
  <c r="H5718" i="1"/>
  <c r="I5718" i="1" s="1"/>
  <c r="H5719" i="1"/>
  <c r="I5719" i="1" s="1"/>
  <c r="H5720" i="1"/>
  <c r="I5720" i="1" s="1"/>
  <c r="H5721" i="1"/>
  <c r="I5721" i="1" s="1"/>
  <c r="H5722" i="1"/>
  <c r="I5722" i="1" s="1"/>
  <c r="H5723" i="1"/>
  <c r="I5723" i="1" s="1"/>
  <c r="H5724" i="1"/>
  <c r="I5724" i="1" s="1"/>
  <c r="H5725" i="1"/>
  <c r="I5725" i="1" s="1"/>
  <c r="H5726" i="1"/>
  <c r="I5726" i="1" s="1"/>
  <c r="H5727" i="1"/>
  <c r="I5727" i="1" s="1"/>
  <c r="H5728" i="1"/>
  <c r="I5728" i="1" s="1"/>
  <c r="H5729" i="1"/>
  <c r="I5729" i="1" s="1"/>
  <c r="H5730" i="1"/>
  <c r="I5730" i="1" s="1"/>
  <c r="H5731" i="1"/>
  <c r="I5731" i="1" s="1"/>
  <c r="H5732" i="1"/>
  <c r="I5732" i="1" s="1"/>
  <c r="H5733" i="1"/>
  <c r="I5733" i="1" s="1"/>
  <c r="H5734" i="1"/>
  <c r="I5734" i="1" s="1"/>
  <c r="H5735" i="1"/>
  <c r="I5735" i="1" s="1"/>
  <c r="H5736" i="1"/>
  <c r="I5736" i="1" s="1"/>
  <c r="H5737" i="1"/>
  <c r="I5737" i="1" s="1"/>
  <c r="H5738" i="1"/>
  <c r="I5738" i="1" s="1"/>
  <c r="H5739" i="1"/>
  <c r="I5739" i="1" s="1"/>
  <c r="H5740" i="1"/>
  <c r="I5740" i="1" s="1"/>
  <c r="H5741" i="1"/>
  <c r="I5741" i="1" s="1"/>
  <c r="H5742" i="1"/>
  <c r="I5742" i="1" s="1"/>
  <c r="H5743" i="1"/>
  <c r="I5743" i="1" s="1"/>
  <c r="H5744" i="1"/>
  <c r="I5744" i="1" s="1"/>
  <c r="H5745" i="1"/>
  <c r="I5745" i="1" s="1"/>
  <c r="H5746" i="1"/>
  <c r="I5746" i="1" s="1"/>
  <c r="H5747" i="1"/>
  <c r="I5747" i="1" s="1"/>
  <c r="H5748" i="1"/>
  <c r="I5748" i="1" s="1"/>
  <c r="H5749" i="1"/>
  <c r="I5749" i="1" s="1"/>
  <c r="H5750" i="1"/>
  <c r="I5750" i="1" s="1"/>
  <c r="H5751" i="1"/>
  <c r="I5751" i="1" s="1"/>
  <c r="H5752" i="1"/>
  <c r="I5752" i="1" s="1"/>
  <c r="H5753" i="1"/>
  <c r="I5753" i="1" s="1"/>
  <c r="H5754" i="1"/>
  <c r="I5754" i="1" s="1"/>
  <c r="H5755" i="1"/>
  <c r="I5755" i="1" s="1"/>
  <c r="H5756" i="1"/>
  <c r="I5756" i="1" s="1"/>
  <c r="H5757" i="1"/>
  <c r="I5757" i="1" s="1"/>
  <c r="H5758" i="1"/>
  <c r="I5758" i="1" s="1"/>
  <c r="H5759" i="1"/>
  <c r="I5759" i="1" s="1"/>
  <c r="H5760" i="1"/>
  <c r="I5760" i="1" s="1"/>
  <c r="H5761" i="1"/>
  <c r="I5761" i="1" s="1"/>
  <c r="H5762" i="1"/>
  <c r="I5762" i="1" s="1"/>
  <c r="H5763" i="1"/>
  <c r="I5763" i="1" s="1"/>
  <c r="H5764" i="1"/>
  <c r="I5764" i="1" s="1"/>
  <c r="H5765" i="1"/>
  <c r="I5765" i="1" s="1"/>
  <c r="H5766" i="1"/>
  <c r="I5766" i="1" s="1"/>
  <c r="H5767" i="1"/>
  <c r="I5767" i="1" s="1"/>
  <c r="H5768" i="1"/>
  <c r="I5768" i="1" s="1"/>
  <c r="H5769" i="1"/>
  <c r="I5769" i="1" s="1"/>
  <c r="H5770" i="1"/>
  <c r="I5770" i="1" s="1"/>
  <c r="H5771" i="1"/>
  <c r="I5771" i="1" s="1"/>
  <c r="H5772" i="1"/>
  <c r="I5772" i="1" s="1"/>
  <c r="H5773" i="1"/>
  <c r="I5773" i="1" s="1"/>
  <c r="H5774" i="1"/>
  <c r="I5774" i="1" s="1"/>
  <c r="H5775" i="1"/>
  <c r="I5775" i="1" s="1"/>
  <c r="H5776" i="1"/>
  <c r="I5776" i="1" s="1"/>
  <c r="H5777" i="1"/>
  <c r="I5777" i="1" s="1"/>
  <c r="H5778" i="1"/>
  <c r="I5778" i="1" s="1"/>
  <c r="H5779" i="1"/>
  <c r="I5779" i="1" s="1"/>
  <c r="H5780" i="1"/>
  <c r="I5780" i="1" s="1"/>
  <c r="H5781" i="1"/>
  <c r="I5781" i="1" s="1"/>
  <c r="H5782" i="1"/>
  <c r="I5782" i="1" s="1"/>
  <c r="H5783" i="1"/>
  <c r="I5783" i="1" s="1"/>
  <c r="H5784" i="1"/>
  <c r="I5784" i="1" s="1"/>
  <c r="H5785" i="1"/>
  <c r="I5785" i="1" s="1"/>
  <c r="H5786" i="1"/>
  <c r="I5786" i="1" s="1"/>
  <c r="H5787" i="1"/>
  <c r="I5787" i="1" s="1"/>
  <c r="H5788" i="1"/>
  <c r="I5788" i="1" s="1"/>
  <c r="H5789" i="1"/>
  <c r="I5789" i="1" s="1"/>
  <c r="H5790" i="1"/>
  <c r="I5790" i="1" s="1"/>
  <c r="H5791" i="1"/>
  <c r="I5791" i="1" s="1"/>
  <c r="H5792" i="1"/>
  <c r="I5792" i="1" s="1"/>
  <c r="H5793" i="1"/>
  <c r="I5793" i="1" s="1"/>
  <c r="H5794" i="1"/>
  <c r="I5794" i="1" s="1"/>
  <c r="H5795" i="1"/>
  <c r="I5795" i="1" s="1"/>
  <c r="H5796" i="1"/>
  <c r="I5796" i="1" s="1"/>
  <c r="H5797" i="1"/>
  <c r="I5797" i="1" s="1"/>
  <c r="H5798" i="1"/>
  <c r="I5798" i="1" s="1"/>
  <c r="H5799" i="1"/>
  <c r="I5799" i="1" s="1"/>
  <c r="H5800" i="1"/>
  <c r="I5800" i="1" s="1"/>
  <c r="H5801" i="1"/>
  <c r="I5801" i="1" s="1"/>
  <c r="H5802" i="1"/>
  <c r="I5802" i="1" s="1"/>
  <c r="H5803" i="1"/>
  <c r="I5803" i="1" s="1"/>
  <c r="H5804" i="1"/>
  <c r="I5804" i="1" s="1"/>
  <c r="H5805" i="1"/>
  <c r="I5805" i="1" s="1"/>
  <c r="H5806" i="1"/>
  <c r="I5806" i="1" s="1"/>
  <c r="H5807" i="1"/>
  <c r="I5807" i="1" s="1"/>
  <c r="H5808" i="1"/>
  <c r="I5808" i="1" s="1"/>
  <c r="H5809" i="1"/>
  <c r="I5809" i="1" s="1"/>
  <c r="H5810" i="1"/>
  <c r="I5810" i="1" s="1"/>
  <c r="H5811" i="1"/>
  <c r="I5811" i="1" s="1"/>
  <c r="H5812" i="1"/>
  <c r="I5812" i="1" s="1"/>
  <c r="H5813" i="1"/>
  <c r="I5813" i="1" s="1"/>
  <c r="H5814" i="1"/>
  <c r="I5814" i="1" s="1"/>
  <c r="H5815" i="1"/>
  <c r="I5815" i="1" s="1"/>
  <c r="H5816" i="1"/>
  <c r="I5816" i="1" s="1"/>
  <c r="H5817" i="1"/>
  <c r="I5817" i="1" s="1"/>
  <c r="H5818" i="1"/>
  <c r="I5818" i="1" s="1"/>
  <c r="H5819" i="1"/>
  <c r="I5819" i="1" s="1"/>
  <c r="H5820" i="1"/>
  <c r="I5820" i="1" s="1"/>
  <c r="H5821" i="1"/>
  <c r="I5821" i="1" s="1"/>
  <c r="H5822" i="1"/>
  <c r="I5822" i="1" s="1"/>
  <c r="H5823" i="1"/>
  <c r="I5823" i="1" s="1"/>
  <c r="H5824" i="1"/>
  <c r="I5824" i="1" s="1"/>
  <c r="H5825" i="1"/>
  <c r="I5825" i="1" s="1"/>
  <c r="H5826" i="1"/>
  <c r="I5826" i="1" s="1"/>
  <c r="H5827" i="1"/>
  <c r="I5827" i="1" s="1"/>
  <c r="H5828" i="1"/>
  <c r="I5828" i="1" s="1"/>
  <c r="H5829" i="1"/>
  <c r="I5829" i="1" s="1"/>
  <c r="H5830" i="1"/>
  <c r="I5830" i="1" s="1"/>
  <c r="H5831" i="1"/>
  <c r="I5831" i="1" s="1"/>
  <c r="H5832" i="1"/>
  <c r="I5832" i="1" s="1"/>
  <c r="H5833" i="1"/>
  <c r="I5833" i="1" s="1"/>
  <c r="H5834" i="1"/>
  <c r="I5834" i="1" s="1"/>
  <c r="H5835" i="1"/>
  <c r="I5835" i="1" s="1"/>
  <c r="H5836" i="1"/>
  <c r="I5836" i="1" s="1"/>
  <c r="H5837" i="1"/>
  <c r="I5837" i="1" s="1"/>
  <c r="H5838" i="1"/>
  <c r="I5838" i="1" s="1"/>
  <c r="H5839" i="1"/>
  <c r="I5839" i="1" s="1"/>
  <c r="H5840" i="1"/>
  <c r="I5840" i="1" s="1"/>
  <c r="H5841" i="1"/>
  <c r="I5841" i="1" s="1"/>
  <c r="H5842" i="1"/>
  <c r="I5842" i="1" s="1"/>
  <c r="H5843" i="1"/>
  <c r="I5843" i="1" s="1"/>
  <c r="H5844" i="1"/>
  <c r="I5844" i="1" s="1"/>
  <c r="H5845" i="1"/>
  <c r="I5845" i="1" s="1"/>
  <c r="H5846" i="1"/>
  <c r="I5846" i="1" s="1"/>
  <c r="H5847" i="1"/>
  <c r="I5847" i="1" s="1"/>
  <c r="H5848" i="1"/>
  <c r="I5848" i="1" s="1"/>
  <c r="H5849" i="1"/>
  <c r="I5849" i="1" s="1"/>
  <c r="H5850" i="1"/>
  <c r="I5850" i="1" s="1"/>
  <c r="H5851" i="1"/>
  <c r="I5851" i="1" s="1"/>
  <c r="H5852" i="1"/>
  <c r="I5852" i="1" s="1"/>
  <c r="H5853" i="1"/>
  <c r="I5853" i="1" s="1"/>
  <c r="H5854" i="1"/>
  <c r="I5854" i="1" s="1"/>
  <c r="H5855" i="1"/>
  <c r="I5855" i="1" s="1"/>
  <c r="H5856" i="1"/>
  <c r="I5856" i="1" s="1"/>
  <c r="H5857" i="1"/>
  <c r="I5857" i="1" s="1"/>
  <c r="H5858" i="1"/>
  <c r="I5858" i="1" s="1"/>
  <c r="H5859" i="1"/>
  <c r="I5859" i="1" s="1"/>
  <c r="H5860" i="1"/>
  <c r="I5860" i="1" s="1"/>
  <c r="H5861" i="1"/>
  <c r="I5861" i="1" s="1"/>
  <c r="H5862" i="1"/>
  <c r="I5862" i="1" s="1"/>
  <c r="H5863" i="1"/>
  <c r="I5863" i="1" s="1"/>
  <c r="H5864" i="1"/>
  <c r="I5864" i="1" s="1"/>
  <c r="H5865" i="1"/>
  <c r="I5865" i="1" s="1"/>
  <c r="H5866" i="1"/>
  <c r="I5866" i="1" s="1"/>
  <c r="H5867" i="1"/>
  <c r="I5867" i="1" s="1"/>
  <c r="H5868" i="1"/>
  <c r="I5868" i="1" s="1"/>
  <c r="H5869" i="1"/>
  <c r="I5869" i="1" s="1"/>
  <c r="H5870" i="1"/>
  <c r="I5870" i="1" s="1"/>
  <c r="H5871" i="1"/>
  <c r="I5871" i="1" s="1"/>
  <c r="H5872" i="1"/>
  <c r="I5872" i="1" s="1"/>
  <c r="H5873" i="1"/>
  <c r="I5873" i="1" s="1"/>
  <c r="H5874" i="1"/>
  <c r="I5874" i="1" s="1"/>
  <c r="H5875" i="1"/>
  <c r="I5875" i="1" s="1"/>
  <c r="H5876" i="1"/>
  <c r="I5876" i="1" s="1"/>
  <c r="H5877" i="1"/>
  <c r="I5877" i="1" s="1"/>
  <c r="H5878" i="1"/>
  <c r="I5878" i="1" s="1"/>
  <c r="H5879" i="1"/>
  <c r="I5879" i="1" s="1"/>
  <c r="H5880" i="1"/>
  <c r="I5880" i="1" s="1"/>
  <c r="H5881" i="1"/>
  <c r="I5881" i="1" s="1"/>
  <c r="H5882" i="1"/>
  <c r="I5882" i="1" s="1"/>
  <c r="H5883" i="1"/>
  <c r="I5883" i="1" s="1"/>
  <c r="H5884" i="1"/>
  <c r="I5884" i="1" s="1"/>
  <c r="H5885" i="1"/>
  <c r="I5885" i="1" s="1"/>
  <c r="H5886" i="1"/>
  <c r="I5886" i="1" s="1"/>
  <c r="H5887" i="1"/>
  <c r="I5887" i="1" s="1"/>
  <c r="H5888" i="1"/>
  <c r="I5888" i="1" s="1"/>
  <c r="H5889" i="1"/>
  <c r="I5889" i="1" s="1"/>
  <c r="H5890" i="1"/>
  <c r="I5890" i="1" s="1"/>
  <c r="H5891" i="1"/>
  <c r="I5891" i="1" s="1"/>
  <c r="H5892" i="1"/>
  <c r="I5892" i="1" s="1"/>
  <c r="H5893" i="1"/>
  <c r="I5893" i="1" s="1"/>
  <c r="H5894" i="1"/>
  <c r="I5894" i="1" s="1"/>
  <c r="H5895" i="1"/>
  <c r="I5895" i="1" s="1"/>
  <c r="H5896" i="1"/>
  <c r="I5896" i="1" s="1"/>
  <c r="H5897" i="1"/>
  <c r="I5897" i="1" s="1"/>
  <c r="H5898" i="1"/>
  <c r="I5898" i="1" s="1"/>
  <c r="H5899" i="1"/>
  <c r="I5899" i="1" s="1"/>
  <c r="H5900" i="1"/>
  <c r="I5900" i="1" s="1"/>
  <c r="H5901" i="1"/>
  <c r="I5901" i="1" s="1"/>
  <c r="H5902" i="1"/>
  <c r="I5902" i="1" s="1"/>
  <c r="H5903" i="1"/>
  <c r="I5903" i="1" s="1"/>
  <c r="H5904" i="1"/>
  <c r="I5904" i="1" s="1"/>
  <c r="H5905" i="1"/>
  <c r="I5905" i="1" s="1"/>
  <c r="H5906" i="1"/>
  <c r="I5906" i="1" s="1"/>
  <c r="H5907" i="1"/>
  <c r="I5907" i="1" s="1"/>
  <c r="H5908" i="1"/>
  <c r="I5908" i="1" s="1"/>
  <c r="H5909" i="1"/>
  <c r="I5909" i="1" s="1"/>
  <c r="H5910" i="1"/>
  <c r="I5910" i="1" s="1"/>
  <c r="H5911" i="1"/>
  <c r="I5911" i="1" s="1"/>
  <c r="H5912" i="1"/>
  <c r="I5912" i="1" s="1"/>
  <c r="H5913" i="1"/>
  <c r="I5913" i="1" s="1"/>
  <c r="H5914" i="1"/>
  <c r="I5914" i="1" s="1"/>
  <c r="H5915" i="1"/>
  <c r="I5915" i="1" s="1"/>
  <c r="H5916" i="1"/>
  <c r="I5916" i="1" s="1"/>
  <c r="H5917" i="1"/>
  <c r="I5917" i="1" s="1"/>
  <c r="H5918" i="1"/>
  <c r="I5918" i="1" s="1"/>
  <c r="H5919" i="1"/>
  <c r="I5919" i="1" s="1"/>
  <c r="H5920" i="1"/>
  <c r="I5920" i="1" s="1"/>
  <c r="H5921" i="1"/>
  <c r="I5921" i="1" s="1"/>
  <c r="H5922" i="1"/>
  <c r="I5922" i="1" s="1"/>
  <c r="H5923" i="1"/>
  <c r="I5923" i="1" s="1"/>
  <c r="H5924" i="1"/>
  <c r="I5924" i="1" s="1"/>
  <c r="H5925" i="1"/>
  <c r="I5925" i="1" s="1"/>
  <c r="H5926" i="1"/>
  <c r="I5926" i="1" s="1"/>
  <c r="H5927" i="1"/>
  <c r="I5927" i="1" s="1"/>
  <c r="H5928" i="1"/>
  <c r="I5928" i="1" s="1"/>
  <c r="H5929" i="1"/>
  <c r="I5929" i="1" s="1"/>
  <c r="H5930" i="1"/>
  <c r="I5930" i="1" s="1"/>
  <c r="H5931" i="1"/>
  <c r="I5931" i="1" s="1"/>
  <c r="H5932" i="1"/>
  <c r="I5932" i="1" s="1"/>
  <c r="H5933" i="1"/>
  <c r="I5933" i="1" s="1"/>
  <c r="H5934" i="1"/>
  <c r="I5934" i="1" s="1"/>
  <c r="H5935" i="1"/>
  <c r="I5935" i="1" s="1"/>
  <c r="H5936" i="1"/>
  <c r="I5936" i="1" s="1"/>
  <c r="H5937" i="1"/>
  <c r="I5937" i="1" s="1"/>
  <c r="H5938" i="1"/>
  <c r="I5938" i="1" s="1"/>
  <c r="H5939" i="1"/>
  <c r="I5939" i="1" s="1"/>
  <c r="H5940" i="1"/>
  <c r="I5940" i="1" s="1"/>
  <c r="H5941" i="1"/>
  <c r="I5941" i="1" s="1"/>
  <c r="H5942" i="1"/>
  <c r="I5942" i="1" s="1"/>
  <c r="H5943" i="1"/>
  <c r="I5943" i="1" s="1"/>
  <c r="H5944" i="1"/>
  <c r="I5944" i="1" s="1"/>
  <c r="H5945" i="1"/>
  <c r="I5945" i="1" s="1"/>
  <c r="H5946" i="1"/>
  <c r="I5946" i="1" s="1"/>
  <c r="H5947" i="1"/>
  <c r="I5947" i="1" s="1"/>
  <c r="H5948" i="1"/>
  <c r="I5948" i="1" s="1"/>
  <c r="H5949" i="1"/>
  <c r="I5949" i="1" s="1"/>
  <c r="H5950" i="1"/>
  <c r="I5950" i="1" s="1"/>
  <c r="H5951" i="1"/>
  <c r="I5951" i="1" s="1"/>
  <c r="H5952" i="1"/>
  <c r="I5952" i="1" s="1"/>
  <c r="H5953" i="1"/>
  <c r="I5953" i="1" s="1"/>
  <c r="H5954" i="1"/>
  <c r="I5954" i="1" s="1"/>
  <c r="H5955" i="1"/>
  <c r="I5955" i="1" s="1"/>
  <c r="H5956" i="1"/>
  <c r="I5956" i="1" s="1"/>
  <c r="H5957" i="1"/>
  <c r="I5957" i="1" s="1"/>
  <c r="H5958" i="1"/>
  <c r="I5958" i="1" s="1"/>
  <c r="H5959" i="1"/>
  <c r="I5959" i="1" s="1"/>
  <c r="H5960" i="1"/>
  <c r="I5960" i="1" s="1"/>
  <c r="H5961" i="1"/>
  <c r="I5961" i="1" s="1"/>
  <c r="H5962" i="1"/>
  <c r="I5962" i="1" s="1"/>
  <c r="H5963" i="1"/>
  <c r="I5963" i="1" s="1"/>
  <c r="H5964" i="1"/>
  <c r="I5964" i="1" s="1"/>
  <c r="H5965" i="1"/>
  <c r="I5965" i="1" s="1"/>
  <c r="H5966" i="1"/>
  <c r="I5966" i="1" s="1"/>
  <c r="H5967" i="1"/>
  <c r="I5967" i="1" s="1"/>
  <c r="H5968" i="1"/>
  <c r="I5968" i="1" s="1"/>
  <c r="H5969" i="1"/>
  <c r="I5969" i="1" s="1"/>
  <c r="H5970" i="1"/>
  <c r="I5970" i="1" s="1"/>
  <c r="H5971" i="1"/>
  <c r="I5971" i="1" s="1"/>
  <c r="H5972" i="1"/>
  <c r="I5972" i="1" s="1"/>
  <c r="H5973" i="1"/>
  <c r="I5973" i="1" s="1"/>
  <c r="H5974" i="1"/>
  <c r="I5974" i="1" s="1"/>
  <c r="H5975" i="1"/>
  <c r="I5975" i="1" s="1"/>
  <c r="H5976" i="1"/>
  <c r="I5976" i="1" s="1"/>
  <c r="H5977" i="1"/>
  <c r="I5977" i="1" s="1"/>
  <c r="H5978" i="1"/>
  <c r="I5978" i="1" s="1"/>
  <c r="H5979" i="1"/>
  <c r="I5979" i="1" s="1"/>
  <c r="H5980" i="1"/>
  <c r="I5980" i="1" s="1"/>
  <c r="H5981" i="1"/>
  <c r="I5981" i="1" s="1"/>
  <c r="H5982" i="1"/>
  <c r="I5982" i="1" s="1"/>
  <c r="H5983" i="1"/>
  <c r="I5983" i="1" s="1"/>
  <c r="H5984" i="1"/>
  <c r="I5984" i="1" s="1"/>
  <c r="H5985" i="1"/>
  <c r="I5985" i="1" s="1"/>
  <c r="H5986" i="1"/>
  <c r="I5986" i="1" s="1"/>
  <c r="H5987" i="1"/>
  <c r="I5987" i="1" s="1"/>
  <c r="H5988" i="1"/>
  <c r="I5988" i="1" s="1"/>
  <c r="H5989" i="1"/>
  <c r="I5989" i="1" s="1"/>
  <c r="H5990" i="1"/>
  <c r="I5990" i="1" s="1"/>
  <c r="H5991" i="1"/>
  <c r="I5991" i="1" s="1"/>
  <c r="H5992" i="1"/>
  <c r="I5992" i="1" s="1"/>
  <c r="H5993" i="1"/>
  <c r="I5993" i="1" s="1"/>
  <c r="H5994" i="1"/>
  <c r="I5994" i="1" s="1"/>
  <c r="H5995" i="1"/>
  <c r="I5995" i="1" s="1"/>
  <c r="H5996" i="1"/>
  <c r="I5996" i="1" s="1"/>
  <c r="H5997" i="1"/>
  <c r="I5997" i="1" s="1"/>
  <c r="H5998" i="1"/>
  <c r="I5998" i="1" s="1"/>
  <c r="H5999" i="1"/>
  <c r="I5999" i="1" s="1"/>
  <c r="H6000" i="1"/>
  <c r="I6000" i="1" s="1"/>
  <c r="H6001" i="1"/>
  <c r="I6001" i="1" s="1"/>
  <c r="H6002" i="1"/>
  <c r="I6002" i="1" s="1"/>
  <c r="H6003" i="1"/>
  <c r="I6003" i="1" s="1"/>
  <c r="H6004" i="1"/>
  <c r="I6004" i="1" s="1"/>
  <c r="H6005" i="1"/>
  <c r="I6005" i="1" s="1"/>
  <c r="H6006" i="1"/>
  <c r="I6006" i="1" s="1"/>
  <c r="H6007" i="1"/>
  <c r="I6007" i="1" s="1"/>
  <c r="H6008" i="1"/>
  <c r="I6008" i="1" s="1"/>
  <c r="H6009" i="1"/>
  <c r="I6009" i="1" s="1"/>
  <c r="H6010" i="1"/>
  <c r="I6010" i="1" s="1"/>
  <c r="H6011" i="1"/>
  <c r="I6011" i="1" s="1"/>
  <c r="H6012" i="1"/>
  <c r="I6012" i="1" s="1"/>
  <c r="H6013" i="1"/>
  <c r="I6013" i="1" s="1"/>
  <c r="H6014" i="1"/>
  <c r="I6014" i="1" s="1"/>
  <c r="H6015" i="1"/>
  <c r="I6015" i="1" s="1"/>
  <c r="H6016" i="1"/>
  <c r="I6016" i="1" s="1"/>
  <c r="H6017" i="1"/>
  <c r="I6017" i="1" s="1"/>
  <c r="H6018" i="1"/>
  <c r="I6018" i="1" s="1"/>
  <c r="H6019" i="1"/>
  <c r="I6019" i="1" s="1"/>
  <c r="H6020" i="1"/>
  <c r="I6020" i="1" s="1"/>
  <c r="H6021" i="1"/>
  <c r="I6021" i="1" s="1"/>
  <c r="H6022" i="1"/>
  <c r="I6022" i="1" s="1"/>
  <c r="H6023" i="1"/>
  <c r="I6023" i="1" s="1"/>
  <c r="H6024" i="1"/>
  <c r="I6024" i="1" s="1"/>
  <c r="H6025" i="1"/>
  <c r="I6025" i="1" s="1"/>
  <c r="H6026" i="1"/>
  <c r="I6026" i="1" s="1"/>
  <c r="H6027" i="1"/>
  <c r="I6027" i="1" s="1"/>
  <c r="H6028" i="1"/>
  <c r="I6028" i="1" s="1"/>
  <c r="H6029" i="1"/>
  <c r="I6029" i="1" s="1"/>
  <c r="H6030" i="1"/>
  <c r="I6030" i="1" s="1"/>
  <c r="H6031" i="1"/>
  <c r="I6031" i="1" s="1"/>
  <c r="H6032" i="1"/>
  <c r="I6032" i="1" s="1"/>
  <c r="H6033" i="1"/>
  <c r="I6033" i="1" s="1"/>
  <c r="H6034" i="1"/>
  <c r="I6034" i="1" s="1"/>
  <c r="H6035" i="1"/>
  <c r="I6035" i="1" s="1"/>
  <c r="H6036" i="1"/>
  <c r="I6036" i="1" s="1"/>
  <c r="H6037" i="1"/>
  <c r="I6037" i="1" s="1"/>
  <c r="H6038" i="1"/>
  <c r="I6038" i="1" s="1"/>
  <c r="H6039" i="1"/>
  <c r="I6039" i="1" s="1"/>
  <c r="H6040" i="1"/>
  <c r="I6040" i="1" s="1"/>
  <c r="H6041" i="1"/>
  <c r="I6041" i="1" s="1"/>
  <c r="H6042" i="1"/>
  <c r="I6042" i="1" s="1"/>
  <c r="H6043" i="1"/>
  <c r="I6043" i="1" s="1"/>
  <c r="H6044" i="1"/>
  <c r="I6044" i="1" s="1"/>
  <c r="H6045" i="1"/>
  <c r="I6045" i="1" s="1"/>
  <c r="H6046" i="1"/>
  <c r="I6046" i="1" s="1"/>
  <c r="H6047" i="1"/>
  <c r="I6047" i="1" s="1"/>
  <c r="H6048" i="1"/>
  <c r="I6048" i="1" s="1"/>
  <c r="H6049" i="1"/>
  <c r="I6049" i="1" s="1"/>
  <c r="H6050" i="1"/>
  <c r="I6050" i="1" s="1"/>
  <c r="H6051" i="1"/>
  <c r="I6051" i="1" s="1"/>
  <c r="H6052" i="1"/>
  <c r="I6052" i="1" s="1"/>
  <c r="H6053" i="1"/>
  <c r="I6053" i="1" s="1"/>
  <c r="H6054" i="1"/>
  <c r="I6054" i="1" s="1"/>
  <c r="H6055" i="1"/>
  <c r="I6055" i="1" s="1"/>
  <c r="H6056" i="1"/>
  <c r="I6056" i="1" s="1"/>
  <c r="H6057" i="1"/>
  <c r="I6057" i="1" s="1"/>
  <c r="H6058" i="1"/>
  <c r="I6058" i="1" s="1"/>
  <c r="H6059" i="1"/>
  <c r="I6059" i="1" s="1"/>
  <c r="H6060" i="1"/>
  <c r="I6060" i="1" s="1"/>
  <c r="H6061" i="1"/>
  <c r="I6061" i="1" s="1"/>
  <c r="H6062" i="1"/>
  <c r="I6062" i="1" s="1"/>
  <c r="H6063" i="1"/>
  <c r="I6063" i="1" s="1"/>
  <c r="H6064" i="1"/>
  <c r="I6064" i="1" s="1"/>
  <c r="H6065" i="1"/>
  <c r="I6065" i="1" s="1"/>
  <c r="H6066" i="1"/>
  <c r="I6066" i="1" s="1"/>
  <c r="H6067" i="1"/>
  <c r="I6067" i="1" s="1"/>
  <c r="H6068" i="1"/>
  <c r="I6068" i="1" s="1"/>
  <c r="H6069" i="1"/>
  <c r="I6069" i="1" s="1"/>
  <c r="H6070" i="1"/>
  <c r="I6070" i="1" s="1"/>
  <c r="H6071" i="1"/>
  <c r="I6071" i="1" s="1"/>
  <c r="H6072" i="1"/>
  <c r="I6072" i="1" s="1"/>
  <c r="H6073" i="1"/>
  <c r="I6073" i="1" s="1"/>
  <c r="H6074" i="1"/>
  <c r="I6074" i="1" s="1"/>
  <c r="H6075" i="1"/>
  <c r="I6075" i="1" s="1"/>
  <c r="H6076" i="1"/>
  <c r="I6076" i="1" s="1"/>
  <c r="H6077" i="1"/>
  <c r="I6077" i="1" s="1"/>
  <c r="H6078" i="1"/>
  <c r="I6078" i="1" s="1"/>
  <c r="H6079" i="1"/>
  <c r="I6079" i="1" s="1"/>
  <c r="H6080" i="1"/>
  <c r="I6080" i="1" s="1"/>
  <c r="H6081" i="1"/>
  <c r="I6081" i="1" s="1"/>
  <c r="H6082" i="1"/>
  <c r="I6082" i="1" s="1"/>
  <c r="H6083" i="1"/>
  <c r="I6083" i="1" s="1"/>
  <c r="H6084" i="1"/>
  <c r="I6084" i="1" s="1"/>
  <c r="H6085" i="1"/>
  <c r="I6085" i="1" s="1"/>
  <c r="H6086" i="1"/>
  <c r="I6086" i="1" s="1"/>
  <c r="H6087" i="1"/>
  <c r="I6087" i="1" s="1"/>
  <c r="H6088" i="1"/>
  <c r="I6088" i="1" s="1"/>
  <c r="H6089" i="1"/>
  <c r="I6089" i="1" s="1"/>
  <c r="H6090" i="1"/>
  <c r="I6090" i="1" s="1"/>
  <c r="H6091" i="1"/>
  <c r="I6091" i="1" s="1"/>
  <c r="H6092" i="1"/>
  <c r="I6092" i="1" s="1"/>
  <c r="H6093" i="1"/>
  <c r="I6093" i="1" s="1"/>
  <c r="H6094" i="1"/>
  <c r="I6094" i="1" s="1"/>
  <c r="H6095" i="1"/>
  <c r="I6095" i="1" s="1"/>
  <c r="H6096" i="1"/>
  <c r="I6096" i="1" s="1"/>
  <c r="H6097" i="1"/>
  <c r="I6097" i="1" s="1"/>
  <c r="H6098" i="1"/>
  <c r="I6098" i="1" s="1"/>
  <c r="H6099" i="1"/>
  <c r="I6099" i="1" s="1"/>
  <c r="H6100" i="1"/>
  <c r="I6100" i="1" s="1"/>
  <c r="H6101" i="1"/>
  <c r="I6101" i="1" s="1"/>
  <c r="H6102" i="1"/>
  <c r="I6102" i="1" s="1"/>
  <c r="H6103" i="1"/>
  <c r="I6103" i="1" s="1"/>
  <c r="H6104" i="1"/>
  <c r="I6104" i="1" s="1"/>
  <c r="H6105" i="1"/>
  <c r="I6105" i="1" s="1"/>
  <c r="H6106" i="1"/>
  <c r="I6106" i="1" s="1"/>
  <c r="H6107" i="1"/>
  <c r="I6107" i="1" s="1"/>
  <c r="H6108" i="1"/>
  <c r="I6108" i="1" s="1"/>
  <c r="H6109" i="1"/>
  <c r="I6109" i="1" s="1"/>
  <c r="H6110" i="1"/>
  <c r="I6110" i="1" s="1"/>
  <c r="H6111" i="1"/>
  <c r="I6111" i="1" s="1"/>
  <c r="H6112" i="1"/>
  <c r="I6112" i="1" s="1"/>
  <c r="H6113" i="1"/>
  <c r="I6113" i="1" s="1"/>
  <c r="H6114" i="1"/>
  <c r="I6114" i="1" s="1"/>
  <c r="H6115" i="1"/>
  <c r="I6115" i="1" s="1"/>
  <c r="H6116" i="1"/>
  <c r="I6116" i="1" s="1"/>
  <c r="H6117" i="1"/>
  <c r="I6117" i="1" s="1"/>
  <c r="H6118" i="1"/>
  <c r="I6118" i="1" s="1"/>
  <c r="H6119" i="1"/>
  <c r="I6119" i="1" s="1"/>
  <c r="H6120" i="1"/>
  <c r="I6120" i="1" s="1"/>
  <c r="H6121" i="1"/>
  <c r="I6121" i="1" s="1"/>
  <c r="H6122" i="1"/>
  <c r="I6122" i="1" s="1"/>
  <c r="H6123" i="1"/>
  <c r="I6123" i="1" s="1"/>
  <c r="H6124" i="1"/>
  <c r="I6124" i="1" s="1"/>
  <c r="H6125" i="1"/>
  <c r="I6125" i="1" s="1"/>
  <c r="H6126" i="1"/>
  <c r="I6126" i="1" s="1"/>
  <c r="H6127" i="1"/>
  <c r="I6127" i="1" s="1"/>
  <c r="H6128" i="1"/>
  <c r="I6128" i="1" s="1"/>
  <c r="H6129" i="1"/>
  <c r="I6129" i="1" s="1"/>
  <c r="H6130" i="1"/>
  <c r="I6130" i="1" s="1"/>
  <c r="H6131" i="1"/>
  <c r="I6131" i="1" s="1"/>
  <c r="H6132" i="1"/>
  <c r="I6132" i="1" s="1"/>
  <c r="H6133" i="1"/>
  <c r="I6133" i="1" s="1"/>
  <c r="H6134" i="1"/>
  <c r="I6134" i="1" s="1"/>
  <c r="H6135" i="1"/>
  <c r="I6135" i="1" s="1"/>
  <c r="H6136" i="1"/>
  <c r="I6136" i="1" s="1"/>
  <c r="H6137" i="1"/>
  <c r="I6137" i="1" s="1"/>
  <c r="H6138" i="1"/>
  <c r="I6138" i="1" s="1"/>
  <c r="H6139" i="1"/>
  <c r="I6139" i="1" s="1"/>
  <c r="H6140" i="1"/>
  <c r="I6140" i="1" s="1"/>
  <c r="H6141" i="1"/>
  <c r="I6141" i="1" s="1"/>
  <c r="H6142" i="1"/>
  <c r="I6142" i="1" s="1"/>
  <c r="H6143" i="1"/>
  <c r="I6143" i="1" s="1"/>
  <c r="H6144" i="1"/>
  <c r="I6144" i="1" s="1"/>
  <c r="H6145" i="1"/>
  <c r="I6145" i="1" s="1"/>
  <c r="H6146" i="1"/>
  <c r="I6146" i="1" s="1"/>
  <c r="H6147" i="1"/>
  <c r="I6147" i="1" s="1"/>
  <c r="H6148" i="1"/>
  <c r="I6148" i="1" s="1"/>
  <c r="H6149" i="1"/>
  <c r="I6149" i="1" s="1"/>
  <c r="H6150" i="1"/>
  <c r="I6150" i="1" s="1"/>
  <c r="H6151" i="1"/>
  <c r="I6151" i="1" s="1"/>
  <c r="H6152" i="1"/>
  <c r="I6152" i="1" s="1"/>
  <c r="H6153" i="1"/>
  <c r="I6153" i="1" s="1"/>
  <c r="H6154" i="1"/>
  <c r="I6154" i="1" s="1"/>
  <c r="H6155" i="1"/>
  <c r="I6155" i="1" s="1"/>
  <c r="H6156" i="1"/>
  <c r="I6156" i="1" s="1"/>
  <c r="H6157" i="1"/>
  <c r="I6157" i="1" s="1"/>
  <c r="H6158" i="1"/>
  <c r="I6158" i="1" s="1"/>
  <c r="H6159" i="1"/>
  <c r="I6159" i="1" s="1"/>
  <c r="H6160" i="1"/>
  <c r="I6160" i="1" s="1"/>
  <c r="H6161" i="1"/>
  <c r="I6161" i="1" s="1"/>
  <c r="H6162" i="1"/>
  <c r="I6162" i="1" s="1"/>
  <c r="H6163" i="1"/>
  <c r="I6163" i="1" s="1"/>
  <c r="H6164" i="1"/>
  <c r="I6164" i="1" s="1"/>
  <c r="H6165" i="1"/>
  <c r="I6165" i="1" s="1"/>
  <c r="H6166" i="1"/>
  <c r="I6166" i="1" s="1"/>
  <c r="H6167" i="1"/>
  <c r="I6167" i="1" s="1"/>
  <c r="H6168" i="1"/>
  <c r="I6168" i="1" s="1"/>
  <c r="H6169" i="1"/>
  <c r="I6169" i="1" s="1"/>
  <c r="H6170" i="1"/>
  <c r="I6170" i="1" s="1"/>
  <c r="H6171" i="1"/>
  <c r="I6171" i="1" s="1"/>
  <c r="H6172" i="1"/>
  <c r="I6172" i="1" s="1"/>
  <c r="H6173" i="1"/>
  <c r="I6173" i="1" s="1"/>
  <c r="H6174" i="1"/>
  <c r="I6174" i="1" s="1"/>
  <c r="H6175" i="1"/>
  <c r="I6175" i="1" s="1"/>
  <c r="H6176" i="1"/>
  <c r="I6176" i="1" s="1"/>
  <c r="H6177" i="1"/>
  <c r="I6177" i="1" s="1"/>
  <c r="H6178" i="1"/>
  <c r="I6178" i="1" s="1"/>
  <c r="H6179" i="1"/>
  <c r="I6179" i="1" s="1"/>
  <c r="H6180" i="1"/>
  <c r="I6180" i="1" s="1"/>
  <c r="H6181" i="1"/>
  <c r="I6181" i="1" s="1"/>
  <c r="H6182" i="1"/>
  <c r="I6182" i="1" s="1"/>
  <c r="H6183" i="1"/>
  <c r="I6183" i="1" s="1"/>
  <c r="H6184" i="1"/>
  <c r="I6184" i="1" s="1"/>
  <c r="H6185" i="1"/>
  <c r="I6185" i="1" s="1"/>
  <c r="H6186" i="1"/>
  <c r="I6186" i="1" s="1"/>
  <c r="H6187" i="1"/>
  <c r="I6187" i="1" s="1"/>
  <c r="H6188" i="1"/>
  <c r="I6188" i="1" s="1"/>
  <c r="H6189" i="1"/>
  <c r="I6189" i="1" s="1"/>
  <c r="H6190" i="1"/>
  <c r="I6190" i="1" s="1"/>
  <c r="H6191" i="1"/>
  <c r="I6191" i="1" s="1"/>
  <c r="H6192" i="1"/>
  <c r="I6192" i="1" s="1"/>
  <c r="H6193" i="1"/>
  <c r="I6193" i="1" s="1"/>
  <c r="H6194" i="1"/>
  <c r="I6194" i="1" s="1"/>
  <c r="H6195" i="1"/>
  <c r="I6195" i="1" s="1"/>
  <c r="H6196" i="1"/>
  <c r="I6196" i="1" s="1"/>
  <c r="H6197" i="1"/>
  <c r="I6197" i="1" s="1"/>
  <c r="H6198" i="1"/>
  <c r="I6198" i="1" s="1"/>
  <c r="H6199" i="1"/>
  <c r="I6199" i="1" s="1"/>
  <c r="H6200" i="1"/>
  <c r="I6200" i="1" s="1"/>
  <c r="H6201" i="1"/>
  <c r="I6201" i="1" s="1"/>
  <c r="H6202" i="1"/>
  <c r="I6202" i="1" s="1"/>
  <c r="H6203" i="1"/>
  <c r="I6203" i="1" s="1"/>
  <c r="H6204" i="1"/>
  <c r="I6204" i="1" s="1"/>
  <c r="H6205" i="1"/>
  <c r="I6205" i="1" s="1"/>
  <c r="H6206" i="1"/>
  <c r="I6206" i="1" s="1"/>
  <c r="H6207" i="1"/>
  <c r="I6207" i="1" s="1"/>
  <c r="H6208" i="1"/>
  <c r="I6208" i="1" s="1"/>
  <c r="H6209" i="1"/>
  <c r="I6209" i="1" s="1"/>
  <c r="H6210" i="1"/>
  <c r="I6210" i="1" s="1"/>
  <c r="H6211" i="1"/>
  <c r="I6211" i="1" s="1"/>
  <c r="H6212" i="1"/>
  <c r="I6212" i="1" s="1"/>
  <c r="H6213" i="1"/>
  <c r="I6213" i="1" s="1"/>
  <c r="H6214" i="1"/>
  <c r="I6214" i="1" s="1"/>
  <c r="H6215" i="1"/>
  <c r="I6215" i="1" s="1"/>
  <c r="H6216" i="1"/>
  <c r="I6216" i="1" s="1"/>
  <c r="H6217" i="1"/>
  <c r="I6217" i="1" s="1"/>
  <c r="H6218" i="1"/>
  <c r="I6218" i="1" s="1"/>
  <c r="H6219" i="1"/>
  <c r="I6219" i="1" s="1"/>
  <c r="H6220" i="1"/>
  <c r="I6220" i="1" s="1"/>
  <c r="H6221" i="1"/>
  <c r="I6221" i="1" s="1"/>
  <c r="H6222" i="1"/>
  <c r="I6222" i="1" s="1"/>
  <c r="H6223" i="1"/>
  <c r="I6223" i="1" s="1"/>
  <c r="H6224" i="1"/>
  <c r="I6224" i="1" s="1"/>
  <c r="H6225" i="1"/>
  <c r="I6225" i="1" s="1"/>
  <c r="H6226" i="1"/>
  <c r="I6226" i="1" s="1"/>
  <c r="H6227" i="1"/>
  <c r="I6227" i="1" s="1"/>
  <c r="H6228" i="1"/>
  <c r="I6228" i="1" s="1"/>
  <c r="H6229" i="1"/>
  <c r="I6229" i="1" s="1"/>
  <c r="H6230" i="1"/>
  <c r="I6230" i="1" s="1"/>
  <c r="H6231" i="1"/>
  <c r="I6231" i="1" s="1"/>
  <c r="H6232" i="1"/>
  <c r="I6232" i="1" s="1"/>
  <c r="H6233" i="1"/>
  <c r="I6233" i="1" s="1"/>
  <c r="H6234" i="1"/>
  <c r="I6234" i="1" s="1"/>
  <c r="H6235" i="1"/>
  <c r="I6235" i="1" s="1"/>
  <c r="H6236" i="1"/>
  <c r="I6236" i="1" s="1"/>
  <c r="H6237" i="1"/>
  <c r="I6237" i="1" s="1"/>
  <c r="H6238" i="1"/>
  <c r="I6238" i="1" s="1"/>
  <c r="H6239" i="1"/>
  <c r="I6239" i="1" s="1"/>
  <c r="H6240" i="1"/>
  <c r="I6240" i="1" s="1"/>
  <c r="H6241" i="1"/>
  <c r="I6241" i="1" s="1"/>
  <c r="H6242" i="1"/>
  <c r="I6242" i="1" s="1"/>
  <c r="H6243" i="1"/>
  <c r="I6243" i="1" s="1"/>
  <c r="H6244" i="1"/>
  <c r="I6244" i="1" s="1"/>
  <c r="H6245" i="1"/>
  <c r="I6245" i="1" s="1"/>
  <c r="H6246" i="1"/>
  <c r="I6246" i="1" s="1"/>
  <c r="H6247" i="1"/>
  <c r="I6247" i="1" s="1"/>
  <c r="H6248" i="1"/>
  <c r="I6248" i="1" s="1"/>
  <c r="H6249" i="1"/>
  <c r="I6249" i="1" s="1"/>
  <c r="H6250" i="1"/>
  <c r="I6250" i="1" s="1"/>
  <c r="H6251" i="1"/>
  <c r="I6251" i="1" s="1"/>
  <c r="H6252" i="1"/>
  <c r="I6252" i="1" s="1"/>
  <c r="H6253" i="1"/>
  <c r="I6253" i="1" s="1"/>
  <c r="H6254" i="1"/>
  <c r="I6254" i="1" s="1"/>
  <c r="H6255" i="1"/>
  <c r="I6255" i="1" s="1"/>
  <c r="H6256" i="1"/>
  <c r="I6256" i="1" s="1"/>
  <c r="H6257" i="1"/>
  <c r="I6257" i="1" s="1"/>
  <c r="H6258" i="1"/>
  <c r="I6258" i="1" s="1"/>
  <c r="H6259" i="1"/>
  <c r="I6259" i="1" s="1"/>
  <c r="H6260" i="1"/>
  <c r="I6260" i="1" s="1"/>
  <c r="H6261" i="1"/>
  <c r="I6261" i="1" s="1"/>
  <c r="H6262" i="1"/>
  <c r="I6262" i="1" s="1"/>
  <c r="H6263" i="1"/>
  <c r="I6263" i="1" s="1"/>
  <c r="H6264" i="1"/>
  <c r="I6264" i="1" s="1"/>
  <c r="H6265" i="1"/>
  <c r="I6265" i="1" s="1"/>
  <c r="H6266" i="1"/>
  <c r="I6266" i="1" s="1"/>
  <c r="H6267" i="1"/>
  <c r="I6267" i="1" s="1"/>
  <c r="H6268" i="1"/>
  <c r="I6268" i="1" s="1"/>
  <c r="H6269" i="1"/>
  <c r="I6269" i="1" s="1"/>
  <c r="H6270" i="1"/>
  <c r="I6270" i="1" s="1"/>
  <c r="H6271" i="1"/>
  <c r="I6271" i="1" s="1"/>
  <c r="H6272" i="1"/>
  <c r="I6272" i="1" s="1"/>
  <c r="H6273" i="1"/>
  <c r="I6273" i="1" s="1"/>
  <c r="H6274" i="1"/>
  <c r="I6274" i="1" s="1"/>
  <c r="H6275" i="1"/>
  <c r="I6275" i="1" s="1"/>
  <c r="H6276" i="1"/>
  <c r="I6276" i="1" s="1"/>
  <c r="H6277" i="1"/>
  <c r="I6277" i="1" s="1"/>
  <c r="H6278" i="1"/>
  <c r="I6278" i="1" s="1"/>
  <c r="H6279" i="1"/>
  <c r="I6279" i="1" s="1"/>
  <c r="H6280" i="1"/>
  <c r="I6280" i="1" s="1"/>
  <c r="H6281" i="1"/>
  <c r="I6281" i="1" s="1"/>
  <c r="H6282" i="1"/>
  <c r="I6282" i="1" s="1"/>
  <c r="H6283" i="1"/>
  <c r="I6283" i="1" s="1"/>
  <c r="H6284" i="1"/>
  <c r="I6284" i="1" s="1"/>
  <c r="H6285" i="1"/>
  <c r="I6285" i="1" s="1"/>
  <c r="H6286" i="1"/>
  <c r="I6286" i="1" s="1"/>
  <c r="H6287" i="1"/>
  <c r="I6287" i="1" s="1"/>
  <c r="H6288" i="1"/>
  <c r="I6288" i="1" s="1"/>
  <c r="H6289" i="1"/>
  <c r="I6289" i="1" s="1"/>
  <c r="H6290" i="1"/>
  <c r="I6290" i="1" s="1"/>
  <c r="H6291" i="1"/>
  <c r="I6291" i="1" s="1"/>
  <c r="H6292" i="1"/>
  <c r="I6292" i="1" s="1"/>
  <c r="H6293" i="1"/>
  <c r="I6293" i="1" s="1"/>
  <c r="H6294" i="1"/>
  <c r="I6294" i="1" s="1"/>
  <c r="H6295" i="1"/>
  <c r="I6295" i="1" s="1"/>
  <c r="H6296" i="1"/>
  <c r="I6296" i="1" s="1"/>
  <c r="H6297" i="1"/>
  <c r="I6297" i="1" s="1"/>
  <c r="H6298" i="1"/>
  <c r="I6298" i="1" s="1"/>
  <c r="H6299" i="1"/>
  <c r="I6299" i="1" s="1"/>
  <c r="H6300" i="1"/>
  <c r="I6300" i="1" s="1"/>
  <c r="H6301" i="1"/>
  <c r="I6301" i="1" s="1"/>
  <c r="H6302" i="1"/>
  <c r="I6302" i="1" s="1"/>
  <c r="H6303" i="1"/>
  <c r="I6303" i="1" s="1"/>
  <c r="H6304" i="1"/>
  <c r="I6304" i="1" s="1"/>
  <c r="H6305" i="1"/>
  <c r="I6305" i="1" s="1"/>
  <c r="H6306" i="1"/>
  <c r="I6306" i="1" s="1"/>
  <c r="H6307" i="1"/>
  <c r="I6307" i="1" s="1"/>
  <c r="H6308" i="1"/>
  <c r="I6308" i="1" s="1"/>
  <c r="H6309" i="1"/>
  <c r="I6309" i="1" s="1"/>
  <c r="H6310" i="1"/>
  <c r="I6310" i="1" s="1"/>
  <c r="H6311" i="1"/>
  <c r="I6311" i="1" s="1"/>
  <c r="H6312" i="1"/>
  <c r="I6312" i="1" s="1"/>
  <c r="H6313" i="1"/>
  <c r="I6313" i="1" s="1"/>
  <c r="H6314" i="1"/>
  <c r="I6314" i="1" s="1"/>
  <c r="H6315" i="1"/>
  <c r="I6315" i="1" s="1"/>
  <c r="H6316" i="1"/>
  <c r="I6316" i="1" s="1"/>
  <c r="H6317" i="1"/>
  <c r="I6317" i="1" s="1"/>
  <c r="H6318" i="1"/>
  <c r="I6318" i="1" s="1"/>
  <c r="H6319" i="1"/>
  <c r="I6319" i="1" s="1"/>
  <c r="H6320" i="1"/>
  <c r="I6320" i="1" s="1"/>
  <c r="H6321" i="1"/>
  <c r="I6321" i="1" s="1"/>
  <c r="H6322" i="1"/>
  <c r="I6322" i="1" s="1"/>
  <c r="H6323" i="1"/>
  <c r="I6323" i="1" s="1"/>
  <c r="H6324" i="1"/>
  <c r="I6324" i="1" s="1"/>
  <c r="H6325" i="1"/>
  <c r="I6325" i="1" s="1"/>
  <c r="H6326" i="1"/>
  <c r="I6326" i="1" s="1"/>
  <c r="H6327" i="1"/>
  <c r="I6327" i="1" s="1"/>
  <c r="H6328" i="1"/>
  <c r="I6328" i="1" s="1"/>
  <c r="H6329" i="1"/>
  <c r="I6329" i="1" s="1"/>
  <c r="H6330" i="1"/>
  <c r="I6330" i="1" s="1"/>
  <c r="H6331" i="1"/>
  <c r="I6331" i="1" s="1"/>
  <c r="H6332" i="1"/>
  <c r="I6332" i="1" s="1"/>
  <c r="H6333" i="1"/>
  <c r="I6333" i="1" s="1"/>
  <c r="H6334" i="1"/>
  <c r="I6334" i="1" s="1"/>
  <c r="H6335" i="1"/>
  <c r="I6335" i="1" s="1"/>
  <c r="H6336" i="1"/>
  <c r="I6336" i="1" s="1"/>
  <c r="H6337" i="1"/>
  <c r="I6337" i="1" s="1"/>
  <c r="H6338" i="1"/>
  <c r="I6338" i="1" s="1"/>
  <c r="H6339" i="1"/>
  <c r="I6339" i="1" s="1"/>
  <c r="H6340" i="1"/>
  <c r="I6340" i="1" s="1"/>
  <c r="H6341" i="1"/>
  <c r="I6341" i="1" s="1"/>
  <c r="H6342" i="1"/>
  <c r="I6342" i="1" s="1"/>
  <c r="H6343" i="1"/>
  <c r="I6343" i="1" s="1"/>
  <c r="H6344" i="1"/>
  <c r="I6344" i="1" s="1"/>
  <c r="H6345" i="1"/>
  <c r="I6345" i="1" s="1"/>
  <c r="H6346" i="1"/>
  <c r="I6346" i="1" s="1"/>
  <c r="H6347" i="1"/>
  <c r="I6347" i="1" s="1"/>
  <c r="H6348" i="1"/>
  <c r="I6348" i="1" s="1"/>
  <c r="H6349" i="1"/>
  <c r="I6349" i="1" s="1"/>
  <c r="H6350" i="1"/>
  <c r="I6350" i="1" s="1"/>
  <c r="H6351" i="1"/>
  <c r="I6351" i="1" s="1"/>
  <c r="H6352" i="1"/>
  <c r="I6352" i="1" s="1"/>
  <c r="H6353" i="1"/>
  <c r="I6353" i="1" s="1"/>
  <c r="H6354" i="1"/>
  <c r="I6354" i="1" s="1"/>
  <c r="H6355" i="1"/>
  <c r="I6355" i="1" s="1"/>
  <c r="H6356" i="1"/>
  <c r="I6356" i="1" s="1"/>
  <c r="H6357" i="1"/>
  <c r="I6357" i="1" s="1"/>
  <c r="H6358" i="1"/>
  <c r="I6358" i="1" s="1"/>
  <c r="H6359" i="1"/>
  <c r="I6359" i="1" s="1"/>
  <c r="H6360" i="1"/>
  <c r="I6360" i="1" s="1"/>
  <c r="H6361" i="1"/>
  <c r="I6361" i="1" s="1"/>
  <c r="H6362" i="1"/>
  <c r="I6362" i="1" s="1"/>
  <c r="H6363" i="1"/>
  <c r="I6363" i="1" s="1"/>
  <c r="H6364" i="1"/>
  <c r="I6364" i="1" s="1"/>
  <c r="H6365" i="1"/>
  <c r="I6365" i="1" s="1"/>
  <c r="H6366" i="1"/>
  <c r="I6366" i="1" s="1"/>
  <c r="H6367" i="1"/>
  <c r="I6367" i="1" s="1"/>
  <c r="H6368" i="1"/>
  <c r="I6368" i="1" s="1"/>
  <c r="H6369" i="1"/>
  <c r="I6369" i="1" s="1"/>
  <c r="H6370" i="1"/>
  <c r="I6370" i="1" s="1"/>
  <c r="H6371" i="1"/>
  <c r="I6371" i="1" s="1"/>
  <c r="H6372" i="1"/>
  <c r="I6372" i="1" s="1"/>
  <c r="H6373" i="1"/>
  <c r="I6373" i="1" s="1"/>
  <c r="H6374" i="1"/>
  <c r="I6374" i="1" s="1"/>
  <c r="H6375" i="1"/>
  <c r="I6375" i="1" s="1"/>
  <c r="H6376" i="1"/>
  <c r="I6376" i="1" s="1"/>
  <c r="H6377" i="1"/>
  <c r="I6377" i="1" s="1"/>
  <c r="H6378" i="1"/>
  <c r="I6378" i="1" s="1"/>
  <c r="H6379" i="1"/>
  <c r="I6379" i="1" s="1"/>
  <c r="H6380" i="1"/>
  <c r="I6380" i="1" s="1"/>
  <c r="H6381" i="1"/>
  <c r="I6381" i="1" s="1"/>
  <c r="H6382" i="1"/>
  <c r="I6382" i="1" s="1"/>
  <c r="H6383" i="1"/>
  <c r="I6383" i="1" s="1"/>
  <c r="H6384" i="1"/>
  <c r="I6384" i="1" s="1"/>
  <c r="H6385" i="1"/>
  <c r="I6385" i="1" s="1"/>
  <c r="H6386" i="1"/>
  <c r="I6386" i="1" s="1"/>
  <c r="H6387" i="1"/>
  <c r="I6387" i="1" s="1"/>
  <c r="H6388" i="1"/>
  <c r="I6388" i="1" s="1"/>
  <c r="H6389" i="1"/>
  <c r="I6389" i="1" s="1"/>
  <c r="H6390" i="1"/>
  <c r="I6390" i="1" s="1"/>
  <c r="H6391" i="1"/>
  <c r="I6391" i="1" s="1"/>
  <c r="H6392" i="1"/>
  <c r="I6392" i="1" s="1"/>
  <c r="H6393" i="1"/>
  <c r="I6393" i="1" s="1"/>
  <c r="H6394" i="1"/>
  <c r="I6394" i="1" s="1"/>
  <c r="H6395" i="1"/>
  <c r="I6395" i="1" s="1"/>
  <c r="H6396" i="1"/>
  <c r="I6396" i="1" s="1"/>
  <c r="H6397" i="1"/>
  <c r="I6397" i="1" s="1"/>
  <c r="H6398" i="1"/>
  <c r="I6398" i="1" s="1"/>
  <c r="H6399" i="1"/>
  <c r="I6399" i="1" s="1"/>
  <c r="H6400" i="1"/>
  <c r="I6400" i="1" s="1"/>
  <c r="H6401" i="1"/>
  <c r="I6401" i="1" s="1"/>
  <c r="H6402" i="1"/>
  <c r="I6402" i="1" s="1"/>
  <c r="H6403" i="1"/>
  <c r="I6403" i="1" s="1"/>
  <c r="H6404" i="1"/>
  <c r="I6404" i="1" s="1"/>
  <c r="H6405" i="1"/>
  <c r="I6405" i="1" s="1"/>
  <c r="H6406" i="1"/>
  <c r="I6406" i="1" s="1"/>
  <c r="H6407" i="1"/>
  <c r="I6407" i="1" s="1"/>
  <c r="H6408" i="1"/>
  <c r="I6408" i="1" s="1"/>
  <c r="H6409" i="1"/>
  <c r="I6409" i="1" s="1"/>
  <c r="H6410" i="1"/>
  <c r="I6410" i="1" s="1"/>
  <c r="H6411" i="1"/>
  <c r="I6411" i="1" s="1"/>
  <c r="H6412" i="1"/>
  <c r="I6412" i="1" s="1"/>
  <c r="H6413" i="1"/>
  <c r="I6413" i="1" s="1"/>
  <c r="H6414" i="1"/>
  <c r="I6414" i="1" s="1"/>
  <c r="H6415" i="1"/>
  <c r="I6415" i="1" s="1"/>
  <c r="H6416" i="1"/>
  <c r="I6416" i="1" s="1"/>
  <c r="H6417" i="1"/>
  <c r="I6417" i="1" s="1"/>
  <c r="H6418" i="1"/>
  <c r="I6418" i="1" s="1"/>
  <c r="H6419" i="1"/>
  <c r="I6419" i="1" s="1"/>
  <c r="H6420" i="1"/>
  <c r="I6420" i="1" s="1"/>
  <c r="H6421" i="1"/>
  <c r="I6421" i="1" s="1"/>
  <c r="H6422" i="1"/>
  <c r="I6422" i="1" s="1"/>
  <c r="H6423" i="1"/>
  <c r="I6423" i="1" s="1"/>
  <c r="H6424" i="1"/>
  <c r="I6424" i="1" s="1"/>
  <c r="H6425" i="1"/>
  <c r="I6425" i="1" s="1"/>
  <c r="H6426" i="1"/>
  <c r="I6426" i="1" s="1"/>
  <c r="H6427" i="1"/>
  <c r="I6427" i="1" s="1"/>
  <c r="H6428" i="1"/>
  <c r="I6428" i="1" s="1"/>
  <c r="H6429" i="1"/>
  <c r="I6429" i="1" s="1"/>
  <c r="H6430" i="1"/>
  <c r="I6430" i="1" s="1"/>
  <c r="H6431" i="1"/>
  <c r="I6431" i="1" s="1"/>
  <c r="H6432" i="1"/>
  <c r="I6432" i="1" s="1"/>
  <c r="H6433" i="1"/>
  <c r="I6433" i="1" s="1"/>
  <c r="H6434" i="1"/>
  <c r="I6434" i="1" s="1"/>
  <c r="H6435" i="1"/>
  <c r="I6435" i="1" s="1"/>
  <c r="H6436" i="1"/>
  <c r="I6436" i="1" s="1"/>
  <c r="H6437" i="1"/>
  <c r="I6437" i="1" s="1"/>
  <c r="H6438" i="1"/>
  <c r="I6438" i="1" s="1"/>
  <c r="H6439" i="1"/>
  <c r="I6439" i="1" s="1"/>
  <c r="H6440" i="1"/>
  <c r="I6440" i="1" s="1"/>
  <c r="H6441" i="1"/>
  <c r="I6441" i="1" s="1"/>
  <c r="H6442" i="1"/>
  <c r="I6442" i="1" s="1"/>
  <c r="H6443" i="1"/>
  <c r="I6443" i="1" s="1"/>
  <c r="H6444" i="1"/>
  <c r="I6444" i="1" s="1"/>
  <c r="H6445" i="1"/>
  <c r="I6445" i="1" s="1"/>
  <c r="H6446" i="1"/>
  <c r="I6446" i="1" s="1"/>
  <c r="H6447" i="1"/>
  <c r="I6447" i="1" s="1"/>
  <c r="H6448" i="1"/>
  <c r="I6448" i="1" s="1"/>
  <c r="H6449" i="1"/>
  <c r="I6449" i="1" s="1"/>
  <c r="H6450" i="1"/>
  <c r="I6450" i="1" s="1"/>
  <c r="H6451" i="1"/>
  <c r="I6451" i="1" s="1"/>
  <c r="H6452" i="1"/>
  <c r="I6452" i="1" s="1"/>
  <c r="H6453" i="1"/>
  <c r="I6453" i="1" s="1"/>
  <c r="H6454" i="1"/>
  <c r="I6454" i="1" s="1"/>
  <c r="H6455" i="1"/>
  <c r="I6455" i="1" s="1"/>
  <c r="H6456" i="1"/>
  <c r="I6456" i="1" s="1"/>
  <c r="H6457" i="1"/>
  <c r="I6457" i="1" s="1"/>
  <c r="H6458" i="1"/>
  <c r="I6458" i="1" s="1"/>
  <c r="H6459" i="1"/>
  <c r="I6459" i="1" s="1"/>
  <c r="H6460" i="1"/>
  <c r="I6460" i="1" s="1"/>
  <c r="H6461" i="1"/>
  <c r="I6461" i="1" s="1"/>
  <c r="H6462" i="1"/>
  <c r="I6462" i="1" s="1"/>
  <c r="H6463" i="1"/>
  <c r="I6463" i="1" s="1"/>
  <c r="H6464" i="1"/>
  <c r="I6464" i="1" s="1"/>
  <c r="H6465" i="1"/>
  <c r="I6465" i="1" s="1"/>
  <c r="H6466" i="1"/>
  <c r="I6466" i="1" s="1"/>
  <c r="H6467" i="1"/>
  <c r="I6467" i="1" s="1"/>
  <c r="H6468" i="1"/>
  <c r="I6468" i="1" s="1"/>
  <c r="H6469" i="1"/>
  <c r="I6469" i="1" s="1"/>
  <c r="H6470" i="1"/>
  <c r="I6470" i="1" s="1"/>
  <c r="H6471" i="1"/>
  <c r="I6471" i="1" s="1"/>
  <c r="H6472" i="1"/>
  <c r="I6472" i="1" s="1"/>
  <c r="H6473" i="1"/>
  <c r="I6473" i="1" s="1"/>
  <c r="H6474" i="1"/>
  <c r="I6474" i="1" s="1"/>
  <c r="H6475" i="1"/>
  <c r="I6475" i="1" s="1"/>
  <c r="H6476" i="1"/>
  <c r="I6476" i="1" s="1"/>
  <c r="H6477" i="1"/>
  <c r="I6477" i="1" s="1"/>
  <c r="H6478" i="1"/>
  <c r="I6478" i="1" s="1"/>
  <c r="H6479" i="1"/>
  <c r="I6479" i="1" s="1"/>
  <c r="H6480" i="1"/>
  <c r="I6480" i="1" s="1"/>
  <c r="H6481" i="1"/>
  <c r="I6481" i="1" s="1"/>
  <c r="H6482" i="1"/>
  <c r="I6482" i="1" s="1"/>
  <c r="H6483" i="1"/>
  <c r="I6483" i="1" s="1"/>
  <c r="H6484" i="1"/>
  <c r="I6484" i="1" s="1"/>
  <c r="H6485" i="1"/>
  <c r="I6485" i="1" s="1"/>
  <c r="H6486" i="1"/>
  <c r="I6486" i="1" s="1"/>
  <c r="H6487" i="1"/>
  <c r="I6487" i="1" s="1"/>
  <c r="H6488" i="1"/>
  <c r="I6488" i="1" s="1"/>
  <c r="H6489" i="1"/>
  <c r="I6489" i="1" s="1"/>
  <c r="H6490" i="1"/>
  <c r="I6490" i="1" s="1"/>
  <c r="H6491" i="1"/>
  <c r="I6491" i="1" s="1"/>
  <c r="H6492" i="1"/>
  <c r="I6492" i="1" s="1"/>
  <c r="H6493" i="1"/>
  <c r="I6493" i="1" s="1"/>
  <c r="H6494" i="1"/>
  <c r="I6494" i="1" s="1"/>
  <c r="H6495" i="1"/>
  <c r="I6495" i="1" s="1"/>
  <c r="H6496" i="1"/>
  <c r="I6496" i="1" s="1"/>
  <c r="H6497" i="1"/>
  <c r="I6497" i="1" s="1"/>
  <c r="H6498" i="1"/>
  <c r="I6498" i="1" s="1"/>
  <c r="H6499" i="1"/>
  <c r="I6499" i="1" s="1"/>
  <c r="H6500" i="1"/>
  <c r="I6500" i="1" s="1"/>
  <c r="H6501" i="1"/>
  <c r="I6501" i="1" s="1"/>
  <c r="H6502" i="1"/>
  <c r="I6502" i="1" s="1"/>
  <c r="H6503" i="1"/>
  <c r="I6503" i="1" s="1"/>
  <c r="H6504" i="1"/>
  <c r="I6504" i="1" s="1"/>
  <c r="H6505" i="1"/>
  <c r="I6505" i="1" s="1"/>
  <c r="H6506" i="1"/>
  <c r="I6506" i="1" s="1"/>
  <c r="H6507" i="1"/>
  <c r="I6507" i="1" s="1"/>
  <c r="H6508" i="1"/>
  <c r="I6508" i="1" s="1"/>
  <c r="H6509" i="1"/>
  <c r="I6509" i="1" s="1"/>
  <c r="H6510" i="1"/>
  <c r="I6510" i="1" s="1"/>
  <c r="H6511" i="1"/>
  <c r="I6511" i="1" s="1"/>
  <c r="H6512" i="1"/>
  <c r="I6512" i="1" s="1"/>
  <c r="H6513" i="1"/>
  <c r="I6513" i="1" s="1"/>
  <c r="H6514" i="1"/>
  <c r="I6514" i="1" s="1"/>
  <c r="H6515" i="1"/>
  <c r="I6515" i="1" s="1"/>
  <c r="H6516" i="1"/>
  <c r="I6516" i="1" s="1"/>
  <c r="H6517" i="1"/>
  <c r="I6517" i="1" s="1"/>
  <c r="H6518" i="1"/>
  <c r="I6518" i="1" s="1"/>
  <c r="H6519" i="1"/>
  <c r="I6519" i="1" s="1"/>
  <c r="H6520" i="1"/>
  <c r="I6520" i="1" s="1"/>
  <c r="H6521" i="1"/>
  <c r="I6521" i="1" s="1"/>
  <c r="H6522" i="1"/>
  <c r="I6522" i="1" s="1"/>
  <c r="H6523" i="1"/>
  <c r="I6523" i="1" s="1"/>
  <c r="H6524" i="1"/>
  <c r="I6524" i="1" s="1"/>
  <c r="H6525" i="1"/>
  <c r="I6525" i="1" s="1"/>
  <c r="H6526" i="1"/>
  <c r="I6526" i="1" s="1"/>
  <c r="H6527" i="1"/>
  <c r="I6527" i="1" s="1"/>
  <c r="H6528" i="1"/>
  <c r="I6528" i="1" s="1"/>
  <c r="H6529" i="1"/>
  <c r="I6529" i="1" s="1"/>
  <c r="H6530" i="1"/>
  <c r="I6530" i="1" s="1"/>
  <c r="H6531" i="1"/>
  <c r="I6531" i="1" s="1"/>
  <c r="H6532" i="1"/>
  <c r="I6532" i="1" s="1"/>
  <c r="H6533" i="1"/>
  <c r="I6533" i="1" s="1"/>
  <c r="H6534" i="1"/>
  <c r="I6534" i="1" s="1"/>
  <c r="H6535" i="1"/>
  <c r="I6535" i="1" s="1"/>
  <c r="H6536" i="1"/>
  <c r="I6536" i="1" s="1"/>
  <c r="H6537" i="1"/>
  <c r="I6537" i="1" s="1"/>
  <c r="H6538" i="1"/>
  <c r="I6538" i="1" s="1"/>
  <c r="H6539" i="1"/>
  <c r="I6539" i="1" s="1"/>
  <c r="H6540" i="1"/>
  <c r="I6540" i="1" s="1"/>
  <c r="H6541" i="1"/>
  <c r="I6541" i="1" s="1"/>
  <c r="H6542" i="1"/>
  <c r="I6542" i="1" s="1"/>
  <c r="H6543" i="1"/>
  <c r="I6543" i="1" s="1"/>
  <c r="H6544" i="1"/>
  <c r="I6544" i="1" s="1"/>
  <c r="H6545" i="1"/>
  <c r="I6545" i="1" s="1"/>
  <c r="H6546" i="1"/>
  <c r="I6546" i="1" s="1"/>
  <c r="H6547" i="1"/>
  <c r="I6547" i="1" s="1"/>
  <c r="H6548" i="1"/>
  <c r="I6548" i="1" s="1"/>
  <c r="H6549" i="1"/>
  <c r="I6549" i="1" s="1"/>
  <c r="H6550" i="1"/>
  <c r="I6550" i="1" s="1"/>
  <c r="H6551" i="1"/>
  <c r="I6551" i="1" s="1"/>
  <c r="H6552" i="1"/>
  <c r="I6552" i="1" s="1"/>
  <c r="H6553" i="1"/>
  <c r="I6553" i="1" s="1"/>
  <c r="H6554" i="1"/>
  <c r="I6554" i="1" s="1"/>
  <c r="H6555" i="1"/>
  <c r="I6555" i="1" s="1"/>
  <c r="H6556" i="1"/>
  <c r="I6556" i="1" s="1"/>
  <c r="H6557" i="1"/>
  <c r="I6557" i="1" s="1"/>
  <c r="H6558" i="1"/>
  <c r="I6558" i="1" s="1"/>
  <c r="H6559" i="1"/>
  <c r="I6559" i="1" s="1"/>
  <c r="H6560" i="1"/>
  <c r="I6560" i="1" s="1"/>
  <c r="H6561" i="1"/>
  <c r="I6561" i="1" s="1"/>
  <c r="H6562" i="1"/>
  <c r="I6562" i="1" s="1"/>
  <c r="H6563" i="1"/>
  <c r="I6563" i="1" s="1"/>
  <c r="H6564" i="1"/>
  <c r="I6564" i="1" s="1"/>
  <c r="H6565" i="1"/>
  <c r="I6565" i="1" s="1"/>
  <c r="H6566" i="1"/>
  <c r="I6566" i="1" s="1"/>
  <c r="H6567" i="1"/>
  <c r="I6567" i="1" s="1"/>
  <c r="H6568" i="1"/>
  <c r="I6568" i="1" s="1"/>
  <c r="H6569" i="1"/>
  <c r="I6569" i="1" s="1"/>
  <c r="H6570" i="1"/>
  <c r="I6570" i="1" s="1"/>
  <c r="H6571" i="1"/>
  <c r="I6571" i="1" s="1"/>
  <c r="H6572" i="1"/>
  <c r="I6572" i="1" s="1"/>
  <c r="H6573" i="1"/>
  <c r="I6573" i="1" s="1"/>
  <c r="H6574" i="1"/>
  <c r="I6574" i="1" s="1"/>
  <c r="H6575" i="1"/>
  <c r="I6575" i="1" s="1"/>
  <c r="H6576" i="1"/>
  <c r="I6576" i="1" s="1"/>
  <c r="H6577" i="1"/>
  <c r="I6577" i="1" s="1"/>
  <c r="H6578" i="1"/>
  <c r="I6578" i="1" s="1"/>
  <c r="H6579" i="1"/>
  <c r="I6579" i="1" s="1"/>
  <c r="H6580" i="1"/>
  <c r="I6580" i="1" s="1"/>
  <c r="H6581" i="1"/>
  <c r="I6581" i="1" s="1"/>
  <c r="H6582" i="1"/>
  <c r="I6582" i="1" s="1"/>
  <c r="H6583" i="1"/>
  <c r="I6583" i="1" s="1"/>
  <c r="H6584" i="1"/>
  <c r="I6584" i="1" s="1"/>
  <c r="H6585" i="1"/>
  <c r="I6585" i="1" s="1"/>
  <c r="H6586" i="1"/>
  <c r="I6586" i="1" s="1"/>
  <c r="H6587" i="1"/>
  <c r="I6587" i="1" s="1"/>
  <c r="H6588" i="1"/>
  <c r="I6588" i="1" s="1"/>
  <c r="H6589" i="1"/>
  <c r="I6589" i="1" s="1"/>
  <c r="H6590" i="1"/>
  <c r="I6590" i="1" s="1"/>
  <c r="H6591" i="1"/>
  <c r="I6591" i="1" s="1"/>
  <c r="H6592" i="1"/>
  <c r="I6592" i="1" s="1"/>
  <c r="H6593" i="1"/>
  <c r="I6593" i="1" s="1"/>
  <c r="H6594" i="1"/>
  <c r="I6594" i="1" s="1"/>
  <c r="H6595" i="1"/>
  <c r="I6595" i="1" s="1"/>
  <c r="H6596" i="1"/>
  <c r="I6596" i="1" s="1"/>
  <c r="H6597" i="1"/>
  <c r="I6597" i="1" s="1"/>
  <c r="H6598" i="1"/>
  <c r="I6598" i="1" s="1"/>
  <c r="H6599" i="1"/>
  <c r="I6599" i="1" s="1"/>
  <c r="H6600" i="1"/>
  <c r="I6600" i="1" s="1"/>
  <c r="H6601" i="1"/>
  <c r="I6601" i="1" s="1"/>
  <c r="H6602" i="1"/>
  <c r="I6602" i="1" s="1"/>
  <c r="H6603" i="1"/>
  <c r="I6603" i="1" s="1"/>
  <c r="H6604" i="1"/>
  <c r="I6604" i="1" s="1"/>
  <c r="H6605" i="1"/>
  <c r="I6605" i="1" s="1"/>
  <c r="H6606" i="1"/>
  <c r="I6606" i="1" s="1"/>
  <c r="H6607" i="1"/>
  <c r="I6607" i="1" s="1"/>
  <c r="H6608" i="1"/>
  <c r="I6608" i="1" s="1"/>
  <c r="H6609" i="1"/>
  <c r="I6609" i="1" s="1"/>
  <c r="H6610" i="1"/>
  <c r="I6610" i="1" s="1"/>
  <c r="H6611" i="1"/>
  <c r="I6611" i="1" s="1"/>
  <c r="H6612" i="1"/>
  <c r="I6612" i="1" s="1"/>
  <c r="H6613" i="1"/>
  <c r="I6613" i="1" s="1"/>
  <c r="H6614" i="1"/>
  <c r="I6614" i="1" s="1"/>
  <c r="H6615" i="1"/>
  <c r="I6615" i="1" s="1"/>
  <c r="H6616" i="1"/>
  <c r="I6616" i="1" s="1"/>
  <c r="H6617" i="1"/>
  <c r="I6617" i="1" s="1"/>
  <c r="H6618" i="1"/>
  <c r="I6618" i="1" s="1"/>
  <c r="H6619" i="1"/>
  <c r="I6619" i="1" s="1"/>
  <c r="H6620" i="1"/>
  <c r="I6620" i="1" s="1"/>
  <c r="H6621" i="1"/>
  <c r="I6621" i="1" s="1"/>
  <c r="H6622" i="1"/>
  <c r="I6622" i="1" s="1"/>
  <c r="H6623" i="1"/>
  <c r="I6623" i="1" s="1"/>
  <c r="H6624" i="1"/>
  <c r="I6624" i="1" s="1"/>
  <c r="H6625" i="1"/>
  <c r="I6625" i="1" s="1"/>
  <c r="H6626" i="1"/>
  <c r="I6626" i="1" s="1"/>
  <c r="H6627" i="1"/>
  <c r="I6627" i="1" s="1"/>
  <c r="H6628" i="1"/>
  <c r="I6628" i="1" s="1"/>
  <c r="H6629" i="1"/>
  <c r="I6629" i="1" s="1"/>
  <c r="H6630" i="1"/>
  <c r="I6630" i="1" s="1"/>
  <c r="H6631" i="1"/>
  <c r="I6631" i="1" s="1"/>
  <c r="H6632" i="1"/>
  <c r="I6632" i="1" s="1"/>
  <c r="H6633" i="1"/>
  <c r="I6633" i="1" s="1"/>
  <c r="H6634" i="1"/>
  <c r="I6634" i="1" s="1"/>
  <c r="H6635" i="1"/>
  <c r="I6635" i="1" s="1"/>
  <c r="H6636" i="1"/>
  <c r="I6636" i="1" s="1"/>
  <c r="H6637" i="1"/>
  <c r="I6637" i="1" s="1"/>
  <c r="H6638" i="1"/>
  <c r="I6638" i="1" s="1"/>
  <c r="H6639" i="1"/>
  <c r="I6639" i="1" s="1"/>
  <c r="H6640" i="1"/>
  <c r="I6640" i="1" s="1"/>
  <c r="H6641" i="1"/>
  <c r="I6641" i="1" s="1"/>
  <c r="H6642" i="1"/>
  <c r="I6642" i="1" s="1"/>
  <c r="H6643" i="1"/>
  <c r="I6643" i="1" s="1"/>
  <c r="H6644" i="1"/>
  <c r="I6644" i="1" s="1"/>
  <c r="H6645" i="1"/>
  <c r="I6645" i="1" s="1"/>
  <c r="H6646" i="1"/>
  <c r="I6646" i="1" s="1"/>
  <c r="H6647" i="1"/>
  <c r="I6647" i="1" s="1"/>
  <c r="H6648" i="1"/>
  <c r="I6648" i="1" s="1"/>
  <c r="H6649" i="1"/>
  <c r="I6649" i="1" s="1"/>
  <c r="H6650" i="1"/>
  <c r="I6650" i="1" s="1"/>
  <c r="H6651" i="1"/>
  <c r="I6651" i="1" s="1"/>
  <c r="H6652" i="1"/>
  <c r="I6652" i="1" s="1"/>
  <c r="H6653" i="1"/>
  <c r="I6653" i="1" s="1"/>
  <c r="H6654" i="1"/>
  <c r="I6654" i="1" s="1"/>
  <c r="H6655" i="1"/>
  <c r="I6655" i="1" s="1"/>
  <c r="H6656" i="1"/>
  <c r="I6656" i="1" s="1"/>
  <c r="H6657" i="1"/>
  <c r="I6657" i="1" s="1"/>
  <c r="H6658" i="1"/>
  <c r="I6658" i="1" s="1"/>
  <c r="H6659" i="1"/>
  <c r="I6659" i="1" s="1"/>
  <c r="H6660" i="1"/>
  <c r="I6660" i="1" s="1"/>
  <c r="H6661" i="1"/>
  <c r="I6661" i="1" s="1"/>
  <c r="H6662" i="1"/>
  <c r="I6662" i="1" s="1"/>
  <c r="H6663" i="1"/>
  <c r="I6663" i="1" s="1"/>
  <c r="H6664" i="1"/>
  <c r="I6664" i="1" s="1"/>
  <c r="H6665" i="1"/>
  <c r="I6665" i="1" s="1"/>
  <c r="H6666" i="1"/>
  <c r="I6666" i="1" s="1"/>
  <c r="H6667" i="1"/>
  <c r="I6667" i="1" s="1"/>
  <c r="H6668" i="1"/>
  <c r="I6668" i="1" s="1"/>
  <c r="H6669" i="1"/>
  <c r="I6669" i="1" s="1"/>
  <c r="H6670" i="1"/>
  <c r="I6670" i="1" s="1"/>
  <c r="H6671" i="1"/>
  <c r="I6671" i="1" s="1"/>
  <c r="H6672" i="1"/>
  <c r="I6672" i="1" s="1"/>
  <c r="H6673" i="1"/>
  <c r="I6673" i="1" s="1"/>
  <c r="H6674" i="1"/>
  <c r="I6674" i="1" s="1"/>
  <c r="H6675" i="1"/>
  <c r="I6675" i="1" s="1"/>
  <c r="H6676" i="1"/>
  <c r="I6676" i="1" s="1"/>
  <c r="H6677" i="1"/>
  <c r="I6677" i="1" s="1"/>
  <c r="H6678" i="1"/>
  <c r="I6678" i="1" s="1"/>
  <c r="H6679" i="1"/>
  <c r="I6679" i="1" s="1"/>
  <c r="H6680" i="1"/>
  <c r="I6680" i="1" s="1"/>
  <c r="H6681" i="1"/>
  <c r="I6681" i="1" s="1"/>
  <c r="H6682" i="1"/>
  <c r="I6682" i="1" s="1"/>
  <c r="H6683" i="1"/>
  <c r="I6683" i="1" s="1"/>
  <c r="H6684" i="1"/>
  <c r="I6684" i="1" s="1"/>
  <c r="H6685" i="1"/>
  <c r="I6685" i="1" s="1"/>
  <c r="H6686" i="1"/>
  <c r="I6686" i="1" s="1"/>
  <c r="H6687" i="1"/>
  <c r="I6687" i="1" s="1"/>
  <c r="H6688" i="1"/>
  <c r="I6688" i="1" s="1"/>
  <c r="H6689" i="1"/>
  <c r="I6689" i="1" s="1"/>
  <c r="H6690" i="1"/>
  <c r="I6690" i="1" s="1"/>
  <c r="H6691" i="1"/>
  <c r="I6691" i="1" s="1"/>
  <c r="H6692" i="1"/>
  <c r="I6692" i="1" s="1"/>
  <c r="H6693" i="1"/>
  <c r="I6693" i="1" s="1"/>
  <c r="H6694" i="1"/>
  <c r="I6694" i="1" s="1"/>
  <c r="H6695" i="1"/>
  <c r="I6695" i="1" s="1"/>
  <c r="H6696" i="1"/>
  <c r="I6696" i="1" s="1"/>
  <c r="H6697" i="1"/>
  <c r="I6697" i="1" s="1"/>
  <c r="H6698" i="1"/>
  <c r="I6698" i="1" s="1"/>
  <c r="H6699" i="1"/>
  <c r="I6699" i="1" s="1"/>
  <c r="H6700" i="1"/>
  <c r="I6700" i="1" s="1"/>
  <c r="H6701" i="1"/>
  <c r="I6701" i="1" s="1"/>
  <c r="H6702" i="1"/>
  <c r="I6702" i="1" s="1"/>
  <c r="H6703" i="1"/>
  <c r="I6703" i="1" s="1"/>
  <c r="H6704" i="1"/>
  <c r="I6704" i="1" s="1"/>
  <c r="H6705" i="1"/>
  <c r="I6705" i="1" s="1"/>
  <c r="H6706" i="1"/>
  <c r="I6706" i="1" s="1"/>
  <c r="H6707" i="1"/>
  <c r="I6707" i="1" s="1"/>
  <c r="H6708" i="1"/>
  <c r="I6708" i="1" s="1"/>
  <c r="H6709" i="1"/>
  <c r="I6709" i="1" s="1"/>
  <c r="H6710" i="1"/>
  <c r="I6710" i="1" s="1"/>
  <c r="H6711" i="1"/>
  <c r="I6711" i="1" s="1"/>
  <c r="H6712" i="1"/>
  <c r="I6712" i="1" s="1"/>
  <c r="H6713" i="1"/>
  <c r="I6713" i="1" s="1"/>
  <c r="H6714" i="1"/>
  <c r="I6714" i="1" s="1"/>
  <c r="H6715" i="1"/>
  <c r="I6715" i="1" s="1"/>
  <c r="H6716" i="1"/>
  <c r="I6716" i="1" s="1"/>
  <c r="H6717" i="1"/>
  <c r="I6717" i="1" s="1"/>
  <c r="H6718" i="1"/>
  <c r="I6718" i="1" s="1"/>
  <c r="H6719" i="1"/>
  <c r="I6719" i="1" s="1"/>
  <c r="H6720" i="1"/>
  <c r="I6720" i="1" s="1"/>
  <c r="H6721" i="1"/>
  <c r="I6721" i="1" s="1"/>
  <c r="H6722" i="1"/>
  <c r="I6722" i="1" s="1"/>
  <c r="H6723" i="1"/>
  <c r="I6723" i="1" s="1"/>
  <c r="H6724" i="1"/>
  <c r="I6724" i="1" s="1"/>
  <c r="H6725" i="1"/>
  <c r="I6725" i="1" s="1"/>
  <c r="H6726" i="1"/>
  <c r="I6726" i="1" s="1"/>
  <c r="H6727" i="1"/>
  <c r="I6727" i="1" s="1"/>
  <c r="H6728" i="1"/>
  <c r="I6728" i="1" s="1"/>
  <c r="H6729" i="1"/>
  <c r="I6729" i="1" s="1"/>
  <c r="H6730" i="1"/>
  <c r="I6730" i="1" s="1"/>
  <c r="H6731" i="1"/>
  <c r="I6731" i="1" s="1"/>
  <c r="H6732" i="1"/>
  <c r="I6732" i="1" s="1"/>
  <c r="H6733" i="1"/>
  <c r="I6733" i="1" s="1"/>
  <c r="H6734" i="1"/>
  <c r="I6734" i="1" s="1"/>
  <c r="H6735" i="1"/>
  <c r="I6735" i="1" s="1"/>
  <c r="H6736" i="1"/>
  <c r="I6736" i="1" s="1"/>
  <c r="H6737" i="1"/>
  <c r="I6737" i="1" s="1"/>
  <c r="H6738" i="1"/>
  <c r="I6738" i="1" s="1"/>
  <c r="H6739" i="1"/>
  <c r="I6739" i="1" s="1"/>
  <c r="H6740" i="1"/>
  <c r="I6740" i="1" s="1"/>
  <c r="H6741" i="1"/>
  <c r="I6741" i="1" s="1"/>
  <c r="H6742" i="1"/>
  <c r="I6742" i="1" s="1"/>
  <c r="H6743" i="1"/>
  <c r="I6743" i="1" s="1"/>
  <c r="H6744" i="1"/>
  <c r="I6744" i="1" s="1"/>
  <c r="H6745" i="1"/>
  <c r="I6745" i="1" s="1"/>
  <c r="H6746" i="1"/>
  <c r="I6746" i="1" s="1"/>
  <c r="H6747" i="1"/>
  <c r="I6747" i="1" s="1"/>
  <c r="H6748" i="1"/>
  <c r="I6748" i="1" s="1"/>
  <c r="H6749" i="1"/>
  <c r="I6749" i="1" s="1"/>
  <c r="H6750" i="1"/>
  <c r="I6750" i="1" s="1"/>
  <c r="H6751" i="1"/>
  <c r="I6751" i="1" s="1"/>
  <c r="H6752" i="1"/>
  <c r="I6752" i="1" s="1"/>
  <c r="H6753" i="1"/>
  <c r="I6753" i="1" s="1"/>
  <c r="H6754" i="1"/>
  <c r="I6754" i="1" s="1"/>
  <c r="H6755" i="1"/>
  <c r="I6755" i="1" s="1"/>
  <c r="H6756" i="1"/>
  <c r="I6756" i="1" s="1"/>
  <c r="H6757" i="1"/>
  <c r="I6757" i="1" s="1"/>
  <c r="H6758" i="1"/>
  <c r="I6758" i="1" s="1"/>
  <c r="H6759" i="1"/>
  <c r="I6759" i="1" s="1"/>
  <c r="H6760" i="1"/>
  <c r="I6760" i="1" s="1"/>
  <c r="H6761" i="1"/>
  <c r="I6761" i="1" s="1"/>
  <c r="H6762" i="1"/>
  <c r="I6762" i="1" s="1"/>
  <c r="H6763" i="1"/>
  <c r="I6763" i="1" s="1"/>
  <c r="H6764" i="1"/>
  <c r="I6764" i="1" s="1"/>
  <c r="H6765" i="1"/>
  <c r="I6765" i="1" s="1"/>
  <c r="H6766" i="1"/>
  <c r="I6766" i="1" s="1"/>
  <c r="H6767" i="1"/>
  <c r="I6767" i="1" s="1"/>
  <c r="H6768" i="1"/>
  <c r="I6768" i="1" s="1"/>
  <c r="H6769" i="1"/>
  <c r="I6769" i="1" s="1"/>
  <c r="H6770" i="1"/>
  <c r="I6770" i="1" s="1"/>
  <c r="H6771" i="1"/>
  <c r="I6771" i="1" s="1"/>
  <c r="H6772" i="1"/>
  <c r="I6772" i="1" s="1"/>
  <c r="H6773" i="1"/>
  <c r="I6773" i="1" s="1"/>
  <c r="H6774" i="1"/>
  <c r="I6774" i="1" s="1"/>
  <c r="H6775" i="1"/>
  <c r="I6775" i="1" s="1"/>
  <c r="H6776" i="1"/>
  <c r="I6776" i="1" s="1"/>
  <c r="H6777" i="1"/>
  <c r="I6777" i="1" s="1"/>
  <c r="H6778" i="1"/>
  <c r="I6778" i="1" s="1"/>
  <c r="H6779" i="1"/>
  <c r="I6779" i="1" s="1"/>
  <c r="H6780" i="1"/>
  <c r="I6780" i="1" s="1"/>
  <c r="H6781" i="1"/>
  <c r="I6781" i="1" s="1"/>
  <c r="H6782" i="1"/>
  <c r="I6782" i="1" s="1"/>
  <c r="H6783" i="1"/>
  <c r="I6783" i="1" s="1"/>
  <c r="H6784" i="1"/>
  <c r="I6784" i="1" s="1"/>
  <c r="H6785" i="1"/>
  <c r="I6785" i="1" s="1"/>
  <c r="H6786" i="1"/>
  <c r="I6786" i="1" s="1"/>
  <c r="H6787" i="1"/>
  <c r="I6787" i="1" s="1"/>
  <c r="H6788" i="1"/>
  <c r="I6788" i="1" s="1"/>
  <c r="H6789" i="1"/>
  <c r="I6789" i="1" s="1"/>
  <c r="H6790" i="1"/>
  <c r="I6790" i="1" s="1"/>
  <c r="H6791" i="1"/>
  <c r="I6791" i="1" s="1"/>
  <c r="H6792" i="1"/>
  <c r="I6792" i="1" s="1"/>
  <c r="H6793" i="1"/>
  <c r="I6793" i="1" s="1"/>
  <c r="H6794" i="1"/>
  <c r="I6794" i="1" s="1"/>
  <c r="H6795" i="1"/>
  <c r="I6795" i="1" s="1"/>
  <c r="H6796" i="1"/>
  <c r="I6796" i="1" s="1"/>
  <c r="H6797" i="1"/>
  <c r="I6797" i="1" s="1"/>
  <c r="H6798" i="1"/>
  <c r="I6798" i="1" s="1"/>
  <c r="H6799" i="1"/>
  <c r="I6799" i="1" s="1"/>
  <c r="H6800" i="1"/>
  <c r="I6800" i="1" s="1"/>
  <c r="H6801" i="1"/>
  <c r="I6801" i="1" s="1"/>
  <c r="H6802" i="1"/>
  <c r="I6802" i="1" s="1"/>
  <c r="H6803" i="1"/>
  <c r="I6803" i="1" s="1"/>
  <c r="H6804" i="1"/>
  <c r="I6804" i="1" s="1"/>
  <c r="H6805" i="1"/>
  <c r="I6805" i="1" s="1"/>
  <c r="H6806" i="1"/>
  <c r="I6806" i="1" s="1"/>
  <c r="H6807" i="1"/>
  <c r="I6807" i="1" s="1"/>
  <c r="H6808" i="1"/>
  <c r="I6808" i="1" s="1"/>
  <c r="H6809" i="1"/>
  <c r="I6809" i="1" s="1"/>
  <c r="H6810" i="1"/>
  <c r="I6810" i="1" s="1"/>
  <c r="H6811" i="1"/>
  <c r="I6811" i="1" s="1"/>
  <c r="H6812" i="1"/>
  <c r="I6812" i="1" s="1"/>
  <c r="H6813" i="1"/>
  <c r="I6813" i="1" s="1"/>
  <c r="H6814" i="1"/>
  <c r="I6814" i="1" s="1"/>
  <c r="H6815" i="1"/>
  <c r="I6815" i="1" s="1"/>
  <c r="H6816" i="1"/>
  <c r="I6816" i="1" s="1"/>
  <c r="H6817" i="1"/>
  <c r="I6817" i="1" s="1"/>
  <c r="H6818" i="1"/>
  <c r="I6818" i="1" s="1"/>
  <c r="H6819" i="1"/>
  <c r="I6819" i="1" s="1"/>
  <c r="H6820" i="1"/>
  <c r="I6820" i="1" s="1"/>
  <c r="H6821" i="1"/>
  <c r="I6821" i="1" s="1"/>
  <c r="H6822" i="1"/>
  <c r="I6822" i="1" s="1"/>
  <c r="H6823" i="1"/>
  <c r="I6823" i="1" s="1"/>
  <c r="H6824" i="1"/>
  <c r="I6824" i="1" s="1"/>
  <c r="H6825" i="1"/>
  <c r="I6825" i="1" s="1"/>
  <c r="H6826" i="1"/>
  <c r="I6826" i="1" s="1"/>
  <c r="H6827" i="1"/>
  <c r="I6827" i="1" s="1"/>
  <c r="H6828" i="1"/>
  <c r="I6828" i="1" s="1"/>
  <c r="H6829" i="1"/>
  <c r="I6829" i="1" s="1"/>
  <c r="H6830" i="1"/>
  <c r="I6830" i="1" s="1"/>
  <c r="H6831" i="1"/>
  <c r="I6831" i="1" s="1"/>
  <c r="H6832" i="1"/>
  <c r="I6832" i="1" s="1"/>
  <c r="H6833" i="1"/>
  <c r="I6833" i="1" s="1"/>
  <c r="H6834" i="1"/>
  <c r="I6834" i="1" s="1"/>
  <c r="H6835" i="1"/>
  <c r="I6835" i="1" s="1"/>
  <c r="H6836" i="1"/>
  <c r="I6836" i="1" s="1"/>
  <c r="H6837" i="1"/>
  <c r="I6837" i="1" s="1"/>
  <c r="H6838" i="1"/>
  <c r="I6838" i="1" s="1"/>
  <c r="H6839" i="1"/>
  <c r="I6839" i="1" s="1"/>
  <c r="H6840" i="1"/>
  <c r="I6840" i="1" s="1"/>
  <c r="H6841" i="1"/>
  <c r="I6841" i="1" s="1"/>
  <c r="H6842" i="1"/>
  <c r="I6842" i="1" s="1"/>
  <c r="H6843" i="1"/>
  <c r="I6843" i="1" s="1"/>
  <c r="H6844" i="1"/>
  <c r="I6844" i="1" s="1"/>
  <c r="H6845" i="1"/>
  <c r="I6845" i="1" s="1"/>
  <c r="H6846" i="1"/>
  <c r="I6846" i="1" s="1"/>
  <c r="H6847" i="1"/>
  <c r="I6847" i="1" s="1"/>
  <c r="H6848" i="1"/>
  <c r="I6848" i="1" s="1"/>
  <c r="H6849" i="1"/>
  <c r="I6849" i="1" s="1"/>
  <c r="H6850" i="1"/>
  <c r="I6850" i="1" s="1"/>
  <c r="H6851" i="1"/>
  <c r="I6851" i="1" s="1"/>
  <c r="H6852" i="1"/>
  <c r="I6852" i="1" s="1"/>
  <c r="H6853" i="1"/>
  <c r="I6853" i="1" s="1"/>
  <c r="H6854" i="1"/>
  <c r="I6854" i="1" s="1"/>
  <c r="H6855" i="1"/>
  <c r="I6855" i="1" s="1"/>
  <c r="H6856" i="1"/>
  <c r="I6856" i="1" s="1"/>
  <c r="H6857" i="1"/>
  <c r="I6857" i="1" s="1"/>
  <c r="H6858" i="1"/>
  <c r="I6858" i="1" s="1"/>
  <c r="H6859" i="1"/>
  <c r="I6859" i="1" s="1"/>
  <c r="H6860" i="1"/>
  <c r="I6860" i="1" s="1"/>
  <c r="H6861" i="1"/>
  <c r="I6861" i="1" s="1"/>
  <c r="H6862" i="1"/>
  <c r="I6862" i="1" s="1"/>
  <c r="H6863" i="1"/>
  <c r="I6863" i="1" s="1"/>
  <c r="H6864" i="1"/>
  <c r="I6864" i="1" s="1"/>
  <c r="H6865" i="1"/>
  <c r="I6865" i="1" s="1"/>
  <c r="H6866" i="1"/>
  <c r="I6866" i="1" s="1"/>
  <c r="H6867" i="1"/>
  <c r="I6867" i="1" s="1"/>
  <c r="H6868" i="1"/>
  <c r="I6868" i="1" s="1"/>
  <c r="H6869" i="1"/>
  <c r="I6869" i="1" s="1"/>
  <c r="H6870" i="1"/>
  <c r="I6870" i="1" s="1"/>
  <c r="H6871" i="1"/>
  <c r="I6871" i="1" s="1"/>
  <c r="H6872" i="1"/>
  <c r="I6872" i="1" s="1"/>
  <c r="H6873" i="1"/>
  <c r="I6873" i="1" s="1"/>
  <c r="H6874" i="1"/>
  <c r="I6874" i="1" s="1"/>
  <c r="H6875" i="1"/>
  <c r="I6875" i="1" s="1"/>
  <c r="H6876" i="1"/>
  <c r="I6876" i="1" s="1"/>
  <c r="H6877" i="1"/>
  <c r="I6877" i="1" s="1"/>
  <c r="H6878" i="1"/>
  <c r="I6878" i="1" s="1"/>
  <c r="H6879" i="1"/>
  <c r="I6879" i="1" s="1"/>
  <c r="H6880" i="1"/>
  <c r="I6880" i="1" s="1"/>
  <c r="H6881" i="1"/>
  <c r="I6881" i="1" s="1"/>
  <c r="H6882" i="1"/>
  <c r="I6882" i="1" s="1"/>
  <c r="H6883" i="1"/>
  <c r="I6883" i="1" s="1"/>
  <c r="H6884" i="1"/>
  <c r="I6884" i="1" s="1"/>
  <c r="H6885" i="1"/>
  <c r="I6885" i="1" s="1"/>
  <c r="H6886" i="1"/>
  <c r="I6886" i="1" s="1"/>
  <c r="H6887" i="1"/>
  <c r="I6887" i="1" s="1"/>
  <c r="H6888" i="1"/>
  <c r="I6888" i="1" s="1"/>
  <c r="H6889" i="1"/>
  <c r="I6889" i="1" s="1"/>
  <c r="H6890" i="1"/>
  <c r="I6890" i="1" s="1"/>
  <c r="H6891" i="1"/>
  <c r="I6891" i="1" s="1"/>
  <c r="H6892" i="1"/>
  <c r="I6892" i="1" s="1"/>
  <c r="H6893" i="1"/>
  <c r="I6893" i="1" s="1"/>
  <c r="H6894" i="1"/>
  <c r="I6894" i="1" s="1"/>
  <c r="H6895" i="1"/>
  <c r="I6895" i="1" s="1"/>
  <c r="H6896" i="1"/>
  <c r="I6896" i="1" s="1"/>
  <c r="H6897" i="1"/>
  <c r="I6897" i="1" s="1"/>
  <c r="H6898" i="1"/>
  <c r="I6898" i="1" s="1"/>
  <c r="H6899" i="1"/>
  <c r="I6899" i="1" s="1"/>
  <c r="H6900" i="1"/>
  <c r="I6900" i="1" s="1"/>
  <c r="H6901" i="1"/>
  <c r="I6901" i="1" s="1"/>
  <c r="H6902" i="1"/>
  <c r="I6902" i="1" s="1"/>
  <c r="H6903" i="1"/>
  <c r="I6903" i="1" s="1"/>
  <c r="H6904" i="1"/>
  <c r="I6904" i="1" s="1"/>
  <c r="H6905" i="1"/>
  <c r="I6905" i="1" s="1"/>
  <c r="H6906" i="1"/>
  <c r="I6906" i="1" s="1"/>
  <c r="H6907" i="1"/>
  <c r="I6907" i="1" s="1"/>
  <c r="H6908" i="1"/>
  <c r="I6908" i="1" s="1"/>
  <c r="H6909" i="1"/>
  <c r="I6909" i="1" s="1"/>
  <c r="H6910" i="1"/>
  <c r="I6910" i="1" s="1"/>
  <c r="H6911" i="1"/>
  <c r="I6911" i="1" s="1"/>
  <c r="H6912" i="1"/>
  <c r="I6912" i="1" s="1"/>
  <c r="H6913" i="1"/>
  <c r="I6913" i="1" s="1"/>
  <c r="H6914" i="1"/>
  <c r="I6914" i="1" s="1"/>
  <c r="H6915" i="1"/>
  <c r="I6915" i="1" s="1"/>
  <c r="H6916" i="1"/>
  <c r="I6916" i="1" s="1"/>
  <c r="H6917" i="1"/>
  <c r="I6917" i="1" s="1"/>
  <c r="H6918" i="1"/>
  <c r="I6918" i="1" s="1"/>
  <c r="H6919" i="1"/>
  <c r="I6919" i="1" s="1"/>
  <c r="H6920" i="1"/>
  <c r="I6920" i="1" s="1"/>
  <c r="H6921" i="1"/>
  <c r="I6921" i="1" s="1"/>
  <c r="H6922" i="1"/>
  <c r="I6922" i="1" s="1"/>
  <c r="H6923" i="1"/>
  <c r="I6923" i="1" s="1"/>
  <c r="H6924" i="1"/>
  <c r="I6924" i="1" s="1"/>
  <c r="H6925" i="1"/>
  <c r="I6925" i="1" s="1"/>
  <c r="H6926" i="1"/>
  <c r="I6926" i="1" s="1"/>
  <c r="H6927" i="1"/>
  <c r="I6927" i="1" s="1"/>
  <c r="H6928" i="1"/>
  <c r="I6928" i="1" s="1"/>
  <c r="H6929" i="1"/>
  <c r="I6929" i="1" s="1"/>
  <c r="H6930" i="1"/>
  <c r="I6930" i="1" s="1"/>
  <c r="H6931" i="1"/>
  <c r="I6931" i="1" s="1"/>
  <c r="H6932" i="1"/>
  <c r="I6932" i="1" s="1"/>
  <c r="H6933" i="1"/>
  <c r="I6933" i="1" s="1"/>
  <c r="H6934" i="1"/>
  <c r="I6934" i="1" s="1"/>
  <c r="H6935" i="1"/>
  <c r="I6935" i="1" s="1"/>
  <c r="H6936" i="1"/>
  <c r="I6936" i="1" s="1"/>
  <c r="H6937" i="1"/>
  <c r="I6937" i="1" s="1"/>
  <c r="H6938" i="1"/>
  <c r="I6938" i="1" s="1"/>
  <c r="H6939" i="1"/>
  <c r="I6939" i="1" s="1"/>
  <c r="H6940" i="1"/>
  <c r="I6940" i="1" s="1"/>
  <c r="H6941" i="1"/>
  <c r="I6941" i="1" s="1"/>
  <c r="H6942" i="1"/>
  <c r="I6942" i="1" s="1"/>
  <c r="H6943" i="1"/>
  <c r="I6943" i="1" s="1"/>
  <c r="H6944" i="1"/>
  <c r="I6944" i="1" s="1"/>
  <c r="H6945" i="1"/>
  <c r="I6945" i="1" s="1"/>
  <c r="H6946" i="1"/>
  <c r="I6946" i="1" s="1"/>
  <c r="H6947" i="1"/>
  <c r="I6947" i="1" s="1"/>
  <c r="H6948" i="1"/>
  <c r="I6948" i="1" s="1"/>
  <c r="H6949" i="1"/>
  <c r="I6949" i="1" s="1"/>
  <c r="H6950" i="1"/>
  <c r="I6950" i="1" s="1"/>
  <c r="H6951" i="1"/>
  <c r="I6951" i="1" s="1"/>
  <c r="H6952" i="1"/>
  <c r="I6952" i="1" s="1"/>
  <c r="H6953" i="1"/>
  <c r="I6953" i="1" s="1"/>
  <c r="H6954" i="1"/>
  <c r="I6954" i="1" s="1"/>
  <c r="H6955" i="1"/>
  <c r="I6955" i="1" s="1"/>
  <c r="H6956" i="1"/>
  <c r="I6956" i="1" s="1"/>
  <c r="H6957" i="1"/>
  <c r="I6957" i="1" s="1"/>
  <c r="H6958" i="1"/>
  <c r="I6958" i="1" s="1"/>
  <c r="H6959" i="1"/>
  <c r="I6959" i="1" s="1"/>
  <c r="H6960" i="1"/>
  <c r="I6960" i="1" s="1"/>
  <c r="H6961" i="1"/>
  <c r="I6961" i="1" s="1"/>
  <c r="H6962" i="1"/>
  <c r="I6962" i="1" s="1"/>
  <c r="H6963" i="1"/>
  <c r="I6963" i="1" s="1"/>
  <c r="H6964" i="1"/>
  <c r="I6964" i="1" s="1"/>
  <c r="H6965" i="1"/>
  <c r="I6965" i="1" s="1"/>
  <c r="H6966" i="1"/>
  <c r="I6966" i="1" s="1"/>
  <c r="H6967" i="1"/>
  <c r="I6967" i="1" s="1"/>
  <c r="H6968" i="1"/>
  <c r="I6968" i="1" s="1"/>
  <c r="H6969" i="1"/>
  <c r="I6969" i="1" s="1"/>
  <c r="H6970" i="1"/>
  <c r="I6970" i="1" s="1"/>
  <c r="H6971" i="1"/>
  <c r="I6971" i="1" s="1"/>
  <c r="H6972" i="1"/>
  <c r="I6972" i="1" s="1"/>
  <c r="H6973" i="1"/>
  <c r="I6973" i="1" s="1"/>
  <c r="H6974" i="1"/>
  <c r="I6974" i="1" s="1"/>
  <c r="H6975" i="1"/>
  <c r="I6975" i="1" s="1"/>
  <c r="H6976" i="1"/>
  <c r="I6976" i="1" s="1"/>
  <c r="H6977" i="1"/>
  <c r="I6977" i="1" s="1"/>
  <c r="H6978" i="1"/>
  <c r="I6978" i="1" s="1"/>
  <c r="H6979" i="1"/>
  <c r="I6979" i="1" s="1"/>
  <c r="H6980" i="1"/>
  <c r="I6980" i="1" s="1"/>
  <c r="H6981" i="1"/>
  <c r="I6981" i="1" s="1"/>
  <c r="H6982" i="1"/>
  <c r="I6982" i="1" s="1"/>
  <c r="H6983" i="1"/>
  <c r="I6983" i="1" s="1"/>
  <c r="H6984" i="1"/>
  <c r="I6984" i="1" s="1"/>
  <c r="H6985" i="1"/>
  <c r="I6985" i="1" s="1"/>
  <c r="H6986" i="1"/>
  <c r="I6986" i="1" s="1"/>
  <c r="H6987" i="1"/>
  <c r="I6987" i="1" s="1"/>
  <c r="H6988" i="1"/>
  <c r="I6988" i="1" s="1"/>
  <c r="H6989" i="1"/>
  <c r="I6989" i="1" s="1"/>
  <c r="H6990" i="1"/>
  <c r="I6990" i="1" s="1"/>
  <c r="H6991" i="1"/>
  <c r="I6991" i="1" s="1"/>
  <c r="H6992" i="1"/>
  <c r="I6992" i="1" s="1"/>
  <c r="H6993" i="1"/>
  <c r="I6993" i="1" s="1"/>
  <c r="H6994" i="1"/>
  <c r="I6994" i="1" s="1"/>
  <c r="H6995" i="1"/>
  <c r="I6995" i="1" s="1"/>
  <c r="H6996" i="1"/>
  <c r="I6996" i="1" s="1"/>
  <c r="H6997" i="1"/>
  <c r="I6997" i="1" s="1"/>
  <c r="H6998" i="1"/>
  <c r="I6998" i="1" s="1"/>
  <c r="H6999" i="1"/>
  <c r="I6999" i="1" s="1"/>
  <c r="H7000" i="1"/>
  <c r="I7000" i="1" s="1"/>
  <c r="H7001" i="1"/>
  <c r="I7001" i="1" s="1"/>
  <c r="H7002" i="1"/>
  <c r="I7002" i="1" s="1"/>
  <c r="H7003" i="1"/>
  <c r="I7003" i="1" s="1"/>
  <c r="H7004" i="1"/>
  <c r="I7004" i="1" s="1"/>
  <c r="H7005" i="1"/>
  <c r="I7005" i="1" s="1"/>
  <c r="H7006" i="1"/>
  <c r="I7006" i="1" s="1"/>
  <c r="H7007" i="1"/>
  <c r="I7007" i="1" s="1"/>
  <c r="H7008" i="1"/>
  <c r="I7008" i="1" s="1"/>
  <c r="H7009" i="1"/>
  <c r="I7009" i="1" s="1"/>
  <c r="H7010" i="1"/>
  <c r="I7010" i="1" s="1"/>
  <c r="H7011" i="1"/>
  <c r="I7011" i="1" s="1"/>
  <c r="H7012" i="1"/>
  <c r="I7012" i="1" s="1"/>
  <c r="H7013" i="1"/>
  <c r="I7013" i="1" s="1"/>
  <c r="H7014" i="1"/>
  <c r="I7014" i="1" s="1"/>
  <c r="H7015" i="1"/>
  <c r="I7015" i="1" s="1"/>
  <c r="H7016" i="1"/>
  <c r="I7016" i="1" s="1"/>
  <c r="H7017" i="1"/>
  <c r="I7017" i="1" s="1"/>
  <c r="H7018" i="1"/>
  <c r="I7018" i="1" s="1"/>
  <c r="H7019" i="1"/>
  <c r="I7019" i="1" s="1"/>
  <c r="H7020" i="1"/>
  <c r="I7020" i="1" s="1"/>
  <c r="H7021" i="1"/>
  <c r="I7021" i="1" s="1"/>
  <c r="H7022" i="1"/>
  <c r="I7022" i="1" s="1"/>
  <c r="H7023" i="1"/>
  <c r="I7023" i="1" s="1"/>
  <c r="H7024" i="1"/>
  <c r="I7024" i="1" s="1"/>
  <c r="H7025" i="1"/>
  <c r="I7025" i="1" s="1"/>
  <c r="H7026" i="1"/>
  <c r="I7026" i="1" s="1"/>
  <c r="H7027" i="1"/>
  <c r="I7027" i="1" s="1"/>
  <c r="H7028" i="1"/>
  <c r="I7028" i="1" s="1"/>
  <c r="H7029" i="1"/>
  <c r="I7029" i="1" s="1"/>
  <c r="H7030" i="1"/>
  <c r="I7030" i="1" s="1"/>
  <c r="H7031" i="1"/>
  <c r="I7031" i="1" s="1"/>
  <c r="H7032" i="1"/>
  <c r="I7032" i="1" s="1"/>
  <c r="H7033" i="1"/>
  <c r="I7033" i="1" s="1"/>
  <c r="H7034" i="1"/>
  <c r="I7034" i="1" s="1"/>
  <c r="H7035" i="1"/>
  <c r="I7035" i="1" s="1"/>
  <c r="H7036" i="1"/>
  <c r="I7036" i="1" s="1"/>
  <c r="H7037" i="1"/>
  <c r="I7037" i="1" s="1"/>
  <c r="H7038" i="1"/>
  <c r="I7038" i="1" s="1"/>
  <c r="H7039" i="1"/>
  <c r="I7039" i="1" s="1"/>
  <c r="H7040" i="1"/>
  <c r="I7040" i="1" s="1"/>
  <c r="H7041" i="1"/>
  <c r="I7041" i="1" s="1"/>
  <c r="H7042" i="1"/>
  <c r="I7042" i="1" s="1"/>
  <c r="H7043" i="1"/>
  <c r="I7043" i="1" s="1"/>
  <c r="H7044" i="1"/>
  <c r="I7044" i="1" s="1"/>
  <c r="H7045" i="1"/>
  <c r="I7045" i="1" s="1"/>
  <c r="H7046" i="1"/>
  <c r="I7046" i="1" s="1"/>
  <c r="H7047" i="1"/>
  <c r="I7047" i="1" s="1"/>
  <c r="H7048" i="1"/>
  <c r="I7048" i="1" s="1"/>
  <c r="H7049" i="1"/>
  <c r="I7049" i="1" s="1"/>
  <c r="H7050" i="1"/>
  <c r="I7050" i="1" s="1"/>
  <c r="H7051" i="1"/>
  <c r="I7051" i="1" s="1"/>
  <c r="H7052" i="1"/>
  <c r="I7052" i="1" s="1"/>
  <c r="H7053" i="1"/>
  <c r="I7053" i="1" s="1"/>
  <c r="H7054" i="1"/>
  <c r="I7054" i="1" s="1"/>
  <c r="H7055" i="1"/>
  <c r="I7055" i="1" s="1"/>
  <c r="H7056" i="1"/>
  <c r="I7056" i="1" s="1"/>
  <c r="H7057" i="1"/>
  <c r="I7057" i="1" s="1"/>
  <c r="H7058" i="1"/>
  <c r="I7058" i="1" s="1"/>
  <c r="H7059" i="1"/>
  <c r="I7059" i="1" s="1"/>
  <c r="H7060" i="1"/>
  <c r="I7060" i="1" s="1"/>
  <c r="H7061" i="1"/>
  <c r="I7061" i="1" s="1"/>
  <c r="H7062" i="1"/>
  <c r="I7062" i="1" s="1"/>
  <c r="H7063" i="1"/>
  <c r="I7063" i="1" s="1"/>
  <c r="H7064" i="1"/>
  <c r="I7064" i="1" s="1"/>
  <c r="H7065" i="1"/>
  <c r="I7065" i="1" s="1"/>
  <c r="H7066" i="1"/>
  <c r="I7066" i="1" s="1"/>
  <c r="H7067" i="1"/>
  <c r="I7067" i="1" s="1"/>
  <c r="H7068" i="1"/>
  <c r="I7068" i="1" s="1"/>
  <c r="H7069" i="1"/>
  <c r="I7069" i="1" s="1"/>
  <c r="H7070" i="1"/>
  <c r="I7070" i="1" s="1"/>
  <c r="H7071" i="1"/>
  <c r="I7071" i="1" s="1"/>
  <c r="H7072" i="1"/>
  <c r="I7072" i="1" s="1"/>
  <c r="H7073" i="1"/>
  <c r="I7073" i="1" s="1"/>
  <c r="H7074" i="1"/>
  <c r="I7074" i="1" s="1"/>
  <c r="H7075" i="1"/>
  <c r="I7075" i="1" s="1"/>
  <c r="H7076" i="1"/>
  <c r="I7076" i="1" s="1"/>
  <c r="H7077" i="1"/>
  <c r="I7077" i="1" s="1"/>
  <c r="H7078" i="1"/>
  <c r="I7078" i="1" s="1"/>
  <c r="H7079" i="1"/>
  <c r="I7079" i="1" s="1"/>
  <c r="H7080" i="1"/>
  <c r="I7080" i="1" s="1"/>
  <c r="H7081" i="1"/>
  <c r="I7081" i="1" s="1"/>
  <c r="H7082" i="1"/>
  <c r="I7082" i="1" s="1"/>
  <c r="H7083" i="1"/>
  <c r="I7083" i="1" s="1"/>
  <c r="H7084" i="1"/>
  <c r="I7084" i="1" s="1"/>
  <c r="H7085" i="1"/>
  <c r="I7085" i="1" s="1"/>
  <c r="H7086" i="1"/>
  <c r="I7086" i="1" s="1"/>
  <c r="H7087" i="1"/>
  <c r="I7087" i="1" s="1"/>
  <c r="H7088" i="1"/>
  <c r="I7088" i="1" s="1"/>
  <c r="H7089" i="1"/>
  <c r="I7089" i="1" s="1"/>
  <c r="H7090" i="1"/>
  <c r="I7090" i="1" s="1"/>
  <c r="H7091" i="1"/>
  <c r="I7091" i="1" s="1"/>
  <c r="H7092" i="1"/>
  <c r="I7092" i="1" s="1"/>
  <c r="H7093" i="1"/>
  <c r="I7093" i="1" s="1"/>
  <c r="H7094" i="1"/>
  <c r="I7094" i="1" s="1"/>
  <c r="H7095" i="1"/>
  <c r="I7095" i="1" s="1"/>
  <c r="H7096" i="1"/>
  <c r="I7096" i="1" s="1"/>
  <c r="H7097" i="1"/>
  <c r="I7097" i="1" s="1"/>
  <c r="H7098" i="1"/>
  <c r="I7098" i="1" s="1"/>
  <c r="H7099" i="1"/>
  <c r="I7099" i="1" s="1"/>
  <c r="H7100" i="1"/>
  <c r="I7100" i="1" s="1"/>
  <c r="H7101" i="1"/>
  <c r="I7101" i="1" s="1"/>
  <c r="H7102" i="1"/>
  <c r="I7102" i="1" s="1"/>
  <c r="H7103" i="1"/>
  <c r="I7103" i="1" s="1"/>
  <c r="H7104" i="1"/>
  <c r="I7104" i="1" s="1"/>
  <c r="H7105" i="1"/>
  <c r="I7105" i="1" s="1"/>
  <c r="H7106" i="1"/>
  <c r="I7106" i="1" s="1"/>
  <c r="H7107" i="1"/>
  <c r="I7107" i="1" s="1"/>
  <c r="H7108" i="1"/>
  <c r="I7108" i="1" s="1"/>
  <c r="H7109" i="1"/>
  <c r="I7109" i="1" s="1"/>
  <c r="H7110" i="1"/>
  <c r="I7110" i="1" s="1"/>
  <c r="H7111" i="1"/>
  <c r="I7111" i="1" s="1"/>
  <c r="H7112" i="1"/>
  <c r="I7112" i="1" s="1"/>
  <c r="H7113" i="1"/>
  <c r="I7113" i="1" s="1"/>
  <c r="H7114" i="1"/>
  <c r="I7114" i="1" s="1"/>
  <c r="H7115" i="1"/>
  <c r="I7115" i="1" s="1"/>
  <c r="H7116" i="1"/>
  <c r="I7116" i="1" s="1"/>
  <c r="H7117" i="1"/>
  <c r="I7117" i="1" s="1"/>
  <c r="H7118" i="1"/>
  <c r="I7118" i="1" s="1"/>
  <c r="H7119" i="1"/>
  <c r="I7119" i="1" s="1"/>
  <c r="H7120" i="1"/>
  <c r="I7120" i="1" s="1"/>
  <c r="H7121" i="1"/>
  <c r="I7121" i="1" s="1"/>
  <c r="H7122" i="1"/>
  <c r="I7122" i="1" s="1"/>
  <c r="H7123" i="1"/>
  <c r="I7123" i="1" s="1"/>
  <c r="H7124" i="1"/>
  <c r="I7124" i="1" s="1"/>
  <c r="H7125" i="1"/>
  <c r="I7125" i="1" s="1"/>
  <c r="H7126" i="1"/>
  <c r="I7126" i="1" s="1"/>
  <c r="H7127" i="1"/>
  <c r="I7127" i="1" s="1"/>
  <c r="H7128" i="1"/>
  <c r="I7128" i="1" s="1"/>
  <c r="H7129" i="1"/>
  <c r="I7129" i="1" s="1"/>
  <c r="H7130" i="1"/>
  <c r="I7130" i="1" s="1"/>
  <c r="H7131" i="1"/>
  <c r="I7131" i="1" s="1"/>
  <c r="H7132" i="1"/>
  <c r="I7132" i="1" s="1"/>
  <c r="H7133" i="1"/>
  <c r="I7133" i="1" s="1"/>
  <c r="H7134" i="1"/>
  <c r="I7134" i="1" s="1"/>
  <c r="H7135" i="1"/>
  <c r="I7135" i="1" s="1"/>
  <c r="H7136" i="1"/>
  <c r="I7136" i="1" s="1"/>
  <c r="H7137" i="1"/>
  <c r="I7137" i="1" s="1"/>
  <c r="H7138" i="1"/>
  <c r="I7138" i="1" s="1"/>
  <c r="H7139" i="1"/>
  <c r="I7139" i="1" s="1"/>
  <c r="H7140" i="1"/>
  <c r="I7140" i="1" s="1"/>
  <c r="H7141" i="1"/>
  <c r="I7141" i="1" s="1"/>
  <c r="H7142" i="1"/>
  <c r="I7142" i="1" s="1"/>
  <c r="H7143" i="1"/>
  <c r="I7143" i="1" s="1"/>
  <c r="H7144" i="1"/>
  <c r="I7144" i="1" s="1"/>
  <c r="H7145" i="1"/>
  <c r="I7145" i="1" s="1"/>
  <c r="H7146" i="1"/>
  <c r="I7146" i="1" s="1"/>
  <c r="H7147" i="1"/>
  <c r="I7147" i="1" s="1"/>
  <c r="H7148" i="1"/>
  <c r="I7148" i="1" s="1"/>
  <c r="H7149" i="1"/>
  <c r="I7149" i="1" s="1"/>
  <c r="H7150" i="1"/>
  <c r="I7150" i="1" s="1"/>
  <c r="H7151" i="1"/>
  <c r="I7151" i="1" s="1"/>
  <c r="H7152" i="1"/>
  <c r="I7152" i="1" s="1"/>
  <c r="H7153" i="1"/>
  <c r="I7153" i="1" s="1"/>
  <c r="H7154" i="1"/>
  <c r="I7154" i="1" s="1"/>
  <c r="H7155" i="1"/>
  <c r="I7155" i="1" s="1"/>
  <c r="H7156" i="1"/>
  <c r="I7156" i="1" s="1"/>
  <c r="H7157" i="1"/>
  <c r="I7157" i="1" s="1"/>
  <c r="H7158" i="1"/>
  <c r="I7158" i="1" s="1"/>
  <c r="H7159" i="1"/>
  <c r="I7159" i="1" s="1"/>
  <c r="H7160" i="1"/>
  <c r="I7160" i="1" s="1"/>
  <c r="H7161" i="1"/>
  <c r="I7161" i="1" s="1"/>
  <c r="H7162" i="1"/>
  <c r="I7162" i="1" s="1"/>
  <c r="H7163" i="1"/>
  <c r="I7163" i="1" s="1"/>
  <c r="H7164" i="1"/>
  <c r="I7164" i="1" s="1"/>
  <c r="H7165" i="1"/>
  <c r="I7165" i="1" s="1"/>
  <c r="H7166" i="1"/>
  <c r="I7166" i="1" s="1"/>
  <c r="H7167" i="1"/>
  <c r="I7167" i="1" s="1"/>
  <c r="H7168" i="1"/>
  <c r="I7168" i="1" s="1"/>
  <c r="H7169" i="1"/>
  <c r="I7169" i="1" s="1"/>
  <c r="H7170" i="1"/>
  <c r="I7170" i="1" s="1"/>
  <c r="H7171" i="1"/>
  <c r="I7171" i="1" s="1"/>
  <c r="H7172" i="1"/>
  <c r="I7172" i="1" s="1"/>
  <c r="H7173" i="1"/>
  <c r="I7173" i="1" s="1"/>
  <c r="H7174" i="1"/>
  <c r="I7174" i="1" s="1"/>
  <c r="H7175" i="1"/>
  <c r="I7175" i="1" s="1"/>
  <c r="H7176" i="1"/>
  <c r="I7176" i="1" s="1"/>
  <c r="H7177" i="1"/>
  <c r="I7177" i="1" s="1"/>
  <c r="H7178" i="1"/>
  <c r="I7178" i="1" s="1"/>
  <c r="H7179" i="1"/>
  <c r="I7179" i="1" s="1"/>
  <c r="H7180" i="1"/>
  <c r="I7180" i="1" s="1"/>
  <c r="H7181" i="1"/>
  <c r="I7181" i="1" s="1"/>
  <c r="H7182" i="1"/>
  <c r="I7182" i="1" s="1"/>
  <c r="H7183" i="1"/>
  <c r="I7183" i="1" s="1"/>
  <c r="H7184" i="1"/>
  <c r="I7184" i="1" s="1"/>
  <c r="H7185" i="1"/>
  <c r="I7185" i="1" s="1"/>
  <c r="H7186" i="1"/>
  <c r="I7186" i="1" s="1"/>
  <c r="H7187" i="1"/>
  <c r="I7187" i="1" s="1"/>
  <c r="H7188" i="1"/>
  <c r="I7188" i="1" s="1"/>
  <c r="H7189" i="1"/>
  <c r="I7189" i="1" s="1"/>
  <c r="H7190" i="1"/>
  <c r="I7190" i="1" s="1"/>
  <c r="H7191" i="1"/>
  <c r="I7191" i="1" s="1"/>
  <c r="H7192" i="1"/>
  <c r="I7192" i="1" s="1"/>
  <c r="H7193" i="1"/>
  <c r="I7193" i="1" s="1"/>
  <c r="H7194" i="1"/>
  <c r="I7194" i="1" s="1"/>
  <c r="H7195" i="1"/>
  <c r="I7195" i="1" s="1"/>
  <c r="H7196" i="1"/>
  <c r="I7196" i="1" s="1"/>
  <c r="H7197" i="1"/>
  <c r="I7197" i="1" s="1"/>
  <c r="H7198" i="1"/>
  <c r="I7198" i="1" s="1"/>
  <c r="H7199" i="1"/>
  <c r="I7199" i="1" s="1"/>
  <c r="H7200" i="1"/>
  <c r="I7200" i="1" s="1"/>
  <c r="H7201" i="1"/>
  <c r="I7201" i="1" s="1"/>
  <c r="H7202" i="1"/>
  <c r="I7202" i="1" s="1"/>
  <c r="H7203" i="1"/>
  <c r="I7203" i="1" s="1"/>
  <c r="H7204" i="1"/>
  <c r="I7204" i="1" s="1"/>
  <c r="H7205" i="1"/>
  <c r="I7205" i="1" s="1"/>
  <c r="H7206" i="1"/>
  <c r="I7206" i="1" s="1"/>
  <c r="H7207" i="1"/>
  <c r="I7207" i="1" s="1"/>
  <c r="H7208" i="1"/>
  <c r="I7208" i="1" s="1"/>
  <c r="H7209" i="1"/>
  <c r="I7209" i="1" s="1"/>
  <c r="H7210" i="1"/>
  <c r="I7210" i="1" s="1"/>
  <c r="H7211" i="1"/>
  <c r="I7211" i="1" s="1"/>
  <c r="H7212" i="1"/>
  <c r="I7212" i="1" s="1"/>
  <c r="H7213" i="1"/>
  <c r="I7213" i="1" s="1"/>
  <c r="H7214" i="1"/>
  <c r="I7214" i="1" s="1"/>
  <c r="H7215" i="1"/>
  <c r="I7215" i="1" s="1"/>
  <c r="H7216" i="1"/>
  <c r="I7216" i="1" s="1"/>
  <c r="H7217" i="1"/>
  <c r="I7217" i="1" s="1"/>
  <c r="H7218" i="1"/>
  <c r="I7218" i="1" s="1"/>
  <c r="H7219" i="1"/>
  <c r="I7219" i="1" s="1"/>
  <c r="H7220" i="1"/>
  <c r="I7220" i="1" s="1"/>
  <c r="H7221" i="1"/>
  <c r="I7221" i="1" s="1"/>
  <c r="H7222" i="1"/>
  <c r="I7222" i="1" s="1"/>
  <c r="H7223" i="1"/>
  <c r="I7223" i="1" s="1"/>
  <c r="H7224" i="1"/>
  <c r="I7224" i="1" s="1"/>
  <c r="H7225" i="1"/>
  <c r="I7225" i="1" s="1"/>
  <c r="H7226" i="1"/>
  <c r="I7226" i="1" s="1"/>
  <c r="H7227" i="1"/>
  <c r="I7227" i="1" s="1"/>
  <c r="H7228" i="1"/>
  <c r="I7228" i="1" s="1"/>
  <c r="H7229" i="1"/>
  <c r="I7229" i="1" s="1"/>
  <c r="H7230" i="1"/>
  <c r="I7230" i="1" s="1"/>
  <c r="H7231" i="1"/>
  <c r="I7231" i="1" s="1"/>
  <c r="H7232" i="1"/>
  <c r="I7232" i="1" s="1"/>
  <c r="H7233" i="1"/>
  <c r="I7233" i="1" s="1"/>
  <c r="H7234" i="1"/>
  <c r="I7234" i="1" s="1"/>
  <c r="H7235" i="1"/>
  <c r="I7235" i="1" s="1"/>
  <c r="H7236" i="1"/>
  <c r="I7236" i="1" s="1"/>
  <c r="H7237" i="1"/>
  <c r="I7237" i="1" s="1"/>
  <c r="H7238" i="1"/>
  <c r="I7238" i="1" s="1"/>
  <c r="H7239" i="1"/>
  <c r="I7239" i="1" s="1"/>
  <c r="H7240" i="1"/>
  <c r="I7240" i="1" s="1"/>
  <c r="H7241" i="1"/>
  <c r="I7241" i="1" s="1"/>
  <c r="H7242" i="1"/>
  <c r="I7242" i="1" s="1"/>
  <c r="H7243" i="1"/>
  <c r="I7243" i="1" s="1"/>
  <c r="H7244" i="1"/>
  <c r="I7244" i="1" s="1"/>
  <c r="H7245" i="1"/>
  <c r="I7245" i="1" s="1"/>
  <c r="H7246" i="1"/>
  <c r="I7246" i="1" s="1"/>
  <c r="H7247" i="1"/>
  <c r="I7247" i="1" s="1"/>
  <c r="H7248" i="1"/>
  <c r="I7248" i="1" s="1"/>
  <c r="H7249" i="1"/>
  <c r="I7249" i="1" s="1"/>
  <c r="H7250" i="1"/>
  <c r="I7250" i="1" s="1"/>
  <c r="H7251" i="1"/>
  <c r="I7251" i="1" s="1"/>
  <c r="H7252" i="1"/>
  <c r="I7252" i="1" s="1"/>
  <c r="H7253" i="1"/>
  <c r="I7253" i="1" s="1"/>
  <c r="H7254" i="1"/>
  <c r="I7254" i="1" s="1"/>
  <c r="H7255" i="1"/>
  <c r="I7255" i="1" s="1"/>
  <c r="H7256" i="1"/>
  <c r="I7256" i="1" s="1"/>
  <c r="H7257" i="1"/>
  <c r="I7257" i="1" s="1"/>
  <c r="H7258" i="1"/>
  <c r="I7258" i="1" s="1"/>
  <c r="H7259" i="1"/>
  <c r="I7259" i="1" s="1"/>
  <c r="H7260" i="1"/>
  <c r="I7260" i="1" s="1"/>
  <c r="H7261" i="1"/>
  <c r="I7261" i="1" s="1"/>
  <c r="H7262" i="1"/>
  <c r="I7262" i="1" s="1"/>
  <c r="H7263" i="1"/>
  <c r="I7263" i="1" s="1"/>
  <c r="H7264" i="1"/>
  <c r="I7264" i="1" s="1"/>
  <c r="H7265" i="1"/>
  <c r="I7265" i="1" s="1"/>
  <c r="H7266" i="1"/>
  <c r="I7266" i="1" s="1"/>
  <c r="H7267" i="1"/>
  <c r="I7267" i="1" s="1"/>
  <c r="H7268" i="1"/>
  <c r="I7268" i="1" s="1"/>
  <c r="H7269" i="1"/>
  <c r="I7269" i="1" s="1"/>
  <c r="H7270" i="1"/>
  <c r="I7270" i="1" s="1"/>
  <c r="H7271" i="1"/>
  <c r="I7271" i="1" s="1"/>
  <c r="H7272" i="1"/>
  <c r="I7272" i="1" s="1"/>
  <c r="H7273" i="1"/>
  <c r="I7273" i="1" s="1"/>
  <c r="H7274" i="1"/>
  <c r="I7274" i="1" s="1"/>
  <c r="H7275" i="1"/>
  <c r="I7275" i="1" s="1"/>
  <c r="H7276" i="1"/>
  <c r="I7276" i="1" s="1"/>
  <c r="H7277" i="1"/>
  <c r="I7277" i="1" s="1"/>
  <c r="H7278" i="1"/>
  <c r="I7278" i="1" s="1"/>
  <c r="H7279" i="1"/>
  <c r="I7279" i="1" s="1"/>
  <c r="H7280" i="1"/>
  <c r="I7280" i="1" s="1"/>
  <c r="H7281" i="1"/>
  <c r="I7281" i="1" s="1"/>
  <c r="H7282" i="1"/>
  <c r="I7282" i="1" s="1"/>
  <c r="H7283" i="1"/>
  <c r="I7283" i="1" s="1"/>
  <c r="H7284" i="1"/>
  <c r="I7284" i="1" s="1"/>
  <c r="H7285" i="1"/>
  <c r="I7285" i="1" s="1"/>
  <c r="H7286" i="1"/>
  <c r="I7286" i="1" s="1"/>
  <c r="H7287" i="1"/>
  <c r="I7287" i="1" s="1"/>
  <c r="H7288" i="1"/>
  <c r="I7288" i="1" s="1"/>
  <c r="H7289" i="1"/>
  <c r="I7289" i="1" s="1"/>
  <c r="H7290" i="1"/>
  <c r="I7290" i="1" s="1"/>
  <c r="H7291" i="1"/>
  <c r="I7291" i="1" s="1"/>
  <c r="H7292" i="1"/>
  <c r="I7292" i="1" s="1"/>
  <c r="H7293" i="1"/>
  <c r="I7293" i="1" s="1"/>
  <c r="H7294" i="1"/>
  <c r="I7294" i="1" s="1"/>
  <c r="H7295" i="1"/>
  <c r="I7295" i="1" s="1"/>
  <c r="H7296" i="1"/>
  <c r="I7296" i="1" s="1"/>
  <c r="H7297" i="1"/>
  <c r="I7297" i="1" s="1"/>
  <c r="H7298" i="1"/>
  <c r="I7298" i="1" s="1"/>
  <c r="H7299" i="1"/>
  <c r="I7299" i="1" s="1"/>
  <c r="H7300" i="1"/>
  <c r="I7300" i="1" s="1"/>
  <c r="H7301" i="1"/>
  <c r="I7301" i="1" s="1"/>
  <c r="H7302" i="1"/>
  <c r="I7302" i="1" s="1"/>
  <c r="H7303" i="1"/>
  <c r="I7303" i="1" s="1"/>
  <c r="H7304" i="1"/>
  <c r="I7304" i="1" s="1"/>
  <c r="H7305" i="1"/>
  <c r="I7305" i="1" s="1"/>
  <c r="H7306" i="1"/>
  <c r="I7306" i="1" s="1"/>
  <c r="H7307" i="1"/>
  <c r="I7307" i="1" s="1"/>
  <c r="H7308" i="1"/>
  <c r="I7308" i="1" s="1"/>
  <c r="H7309" i="1"/>
  <c r="I7309" i="1" s="1"/>
  <c r="H7310" i="1"/>
  <c r="I7310" i="1" s="1"/>
  <c r="H7311" i="1"/>
  <c r="I7311" i="1" s="1"/>
  <c r="H7312" i="1"/>
  <c r="I7312" i="1" s="1"/>
  <c r="H7313" i="1"/>
  <c r="I7313" i="1" s="1"/>
  <c r="H7314" i="1"/>
  <c r="I7314" i="1" s="1"/>
  <c r="H7315" i="1"/>
  <c r="I7315" i="1" s="1"/>
  <c r="H7316" i="1"/>
  <c r="I7316" i="1" s="1"/>
  <c r="H7317" i="1"/>
  <c r="I7317" i="1" s="1"/>
  <c r="H7318" i="1"/>
  <c r="I7318" i="1" s="1"/>
  <c r="H7319" i="1"/>
  <c r="I7319" i="1" s="1"/>
  <c r="H7320" i="1"/>
  <c r="I7320" i="1" s="1"/>
  <c r="H7321" i="1"/>
  <c r="I7321" i="1" s="1"/>
  <c r="H7322" i="1"/>
  <c r="I7322" i="1" s="1"/>
  <c r="H7323" i="1"/>
  <c r="I7323" i="1" s="1"/>
  <c r="H7324" i="1"/>
  <c r="I7324" i="1" s="1"/>
  <c r="H7325" i="1"/>
  <c r="I7325" i="1" s="1"/>
  <c r="H7326" i="1"/>
  <c r="I7326" i="1" s="1"/>
  <c r="H7327" i="1"/>
  <c r="I7327" i="1" s="1"/>
  <c r="H7328" i="1"/>
  <c r="I7328" i="1" s="1"/>
  <c r="H7329" i="1"/>
  <c r="I7329" i="1" s="1"/>
  <c r="H7330" i="1"/>
  <c r="I7330" i="1" s="1"/>
  <c r="H7331" i="1"/>
  <c r="I7331" i="1" s="1"/>
  <c r="H7332" i="1"/>
  <c r="I7332" i="1" s="1"/>
  <c r="H7333" i="1"/>
  <c r="I7333" i="1" s="1"/>
  <c r="H7334" i="1"/>
  <c r="I7334" i="1" s="1"/>
  <c r="H7335" i="1"/>
  <c r="I7335" i="1" s="1"/>
  <c r="H7336" i="1"/>
  <c r="I7336" i="1" s="1"/>
  <c r="H7337" i="1"/>
  <c r="I7337" i="1" s="1"/>
  <c r="H7338" i="1"/>
  <c r="I7338" i="1" s="1"/>
  <c r="H7339" i="1"/>
  <c r="I7339" i="1" s="1"/>
  <c r="H7340" i="1"/>
  <c r="I7340" i="1" s="1"/>
  <c r="H7341" i="1"/>
  <c r="I7341" i="1" s="1"/>
  <c r="H7342" i="1"/>
  <c r="I7342" i="1" s="1"/>
  <c r="H7343" i="1"/>
  <c r="I7343" i="1" s="1"/>
  <c r="H7344" i="1"/>
  <c r="I7344" i="1" s="1"/>
  <c r="H7345" i="1"/>
  <c r="I7345" i="1" s="1"/>
  <c r="H7346" i="1"/>
  <c r="I7346" i="1" s="1"/>
  <c r="H7347" i="1"/>
  <c r="I7347" i="1" s="1"/>
  <c r="H7348" i="1"/>
  <c r="I7348" i="1" s="1"/>
  <c r="H7349" i="1"/>
  <c r="I7349" i="1" s="1"/>
  <c r="H7350" i="1"/>
  <c r="I7350" i="1" s="1"/>
  <c r="H7351" i="1"/>
  <c r="I7351" i="1" s="1"/>
  <c r="H7352" i="1"/>
  <c r="I7352" i="1" s="1"/>
  <c r="H7353" i="1"/>
  <c r="I7353" i="1" s="1"/>
  <c r="H7354" i="1"/>
  <c r="I7354" i="1" s="1"/>
  <c r="H7355" i="1"/>
  <c r="I7355" i="1" s="1"/>
  <c r="H7356" i="1"/>
  <c r="I7356" i="1" s="1"/>
  <c r="H7357" i="1"/>
  <c r="I7357" i="1" s="1"/>
  <c r="H7358" i="1"/>
  <c r="I7358" i="1" s="1"/>
  <c r="H7359" i="1"/>
  <c r="I7359" i="1" s="1"/>
  <c r="H7360" i="1"/>
  <c r="I7360" i="1" s="1"/>
  <c r="H7361" i="1"/>
  <c r="I7361" i="1" s="1"/>
  <c r="H7362" i="1"/>
  <c r="I7362" i="1" s="1"/>
  <c r="H7363" i="1"/>
  <c r="I7363" i="1" s="1"/>
  <c r="H7364" i="1"/>
  <c r="I7364" i="1" s="1"/>
  <c r="H7365" i="1"/>
  <c r="I7365" i="1" s="1"/>
  <c r="H7366" i="1"/>
  <c r="I7366" i="1" s="1"/>
  <c r="H7367" i="1"/>
  <c r="I7367" i="1" s="1"/>
  <c r="H7368" i="1"/>
  <c r="I7368" i="1" s="1"/>
  <c r="H7369" i="1"/>
  <c r="I7369" i="1" s="1"/>
  <c r="H7370" i="1"/>
  <c r="I7370" i="1" s="1"/>
  <c r="H7371" i="1"/>
  <c r="I7371" i="1" s="1"/>
  <c r="H7372" i="1"/>
  <c r="I7372" i="1" s="1"/>
  <c r="H7373" i="1"/>
  <c r="I7373" i="1" s="1"/>
  <c r="H7374" i="1"/>
  <c r="I7374" i="1" s="1"/>
  <c r="H7375" i="1"/>
  <c r="I7375" i="1" s="1"/>
  <c r="H7376" i="1"/>
  <c r="I7376" i="1" s="1"/>
  <c r="H7377" i="1"/>
  <c r="I7377" i="1" s="1"/>
  <c r="H7378" i="1"/>
  <c r="I7378" i="1" s="1"/>
  <c r="H7379" i="1"/>
  <c r="I7379" i="1" s="1"/>
  <c r="H7380" i="1"/>
  <c r="I7380" i="1" s="1"/>
  <c r="H7381" i="1"/>
  <c r="I7381" i="1" s="1"/>
  <c r="H7382" i="1"/>
  <c r="I7382" i="1" s="1"/>
  <c r="H7383" i="1"/>
  <c r="I7383" i="1" s="1"/>
  <c r="H7384" i="1"/>
  <c r="I7384" i="1" s="1"/>
  <c r="H7385" i="1"/>
  <c r="I7385" i="1" s="1"/>
  <c r="H7386" i="1"/>
  <c r="I7386" i="1" s="1"/>
  <c r="H7387" i="1"/>
  <c r="I7387" i="1" s="1"/>
  <c r="H7388" i="1"/>
  <c r="I7388" i="1" s="1"/>
  <c r="H7389" i="1"/>
  <c r="I7389" i="1" s="1"/>
  <c r="H7390" i="1"/>
  <c r="I7390" i="1" s="1"/>
  <c r="H7391" i="1"/>
  <c r="I7391" i="1" s="1"/>
  <c r="H7392" i="1"/>
  <c r="I7392" i="1" s="1"/>
  <c r="H7393" i="1"/>
  <c r="I7393" i="1" s="1"/>
  <c r="H7394" i="1"/>
  <c r="I7394" i="1" s="1"/>
  <c r="H7395" i="1"/>
  <c r="I7395" i="1" s="1"/>
  <c r="H7396" i="1"/>
  <c r="I7396" i="1" s="1"/>
  <c r="H7397" i="1"/>
  <c r="I7397" i="1" s="1"/>
  <c r="H7398" i="1"/>
  <c r="I7398" i="1" s="1"/>
  <c r="H7399" i="1"/>
  <c r="I7399" i="1" s="1"/>
  <c r="H7400" i="1"/>
  <c r="I7400" i="1" s="1"/>
  <c r="H7401" i="1"/>
  <c r="I7401" i="1" s="1"/>
  <c r="H7402" i="1"/>
  <c r="I7402" i="1" s="1"/>
  <c r="H7403" i="1"/>
  <c r="I7403" i="1" s="1"/>
  <c r="H7404" i="1"/>
  <c r="I7404" i="1" s="1"/>
  <c r="H7405" i="1"/>
  <c r="I7405" i="1" s="1"/>
  <c r="H7406" i="1"/>
  <c r="I7406" i="1" s="1"/>
  <c r="H7407" i="1"/>
  <c r="I7407" i="1" s="1"/>
  <c r="H7408" i="1"/>
  <c r="I7408" i="1" s="1"/>
  <c r="H7409" i="1"/>
  <c r="I7409" i="1" s="1"/>
  <c r="H7410" i="1"/>
  <c r="I7410" i="1" s="1"/>
  <c r="H7411" i="1"/>
  <c r="I7411" i="1" s="1"/>
  <c r="H7412" i="1"/>
  <c r="I7412" i="1" s="1"/>
  <c r="H7413" i="1"/>
  <c r="I7413" i="1" s="1"/>
  <c r="H7414" i="1"/>
  <c r="I7414" i="1" s="1"/>
  <c r="H7415" i="1"/>
  <c r="I7415" i="1" s="1"/>
  <c r="H7416" i="1"/>
  <c r="I7416" i="1" s="1"/>
  <c r="H7417" i="1"/>
  <c r="I7417" i="1" s="1"/>
  <c r="H7418" i="1"/>
  <c r="I7418" i="1" s="1"/>
  <c r="H7419" i="1"/>
  <c r="I7419" i="1" s="1"/>
  <c r="H7420" i="1"/>
  <c r="I7420" i="1" s="1"/>
  <c r="H7421" i="1"/>
  <c r="I7421" i="1" s="1"/>
  <c r="H7422" i="1"/>
  <c r="I7422" i="1" s="1"/>
  <c r="H7423" i="1"/>
  <c r="I7423" i="1" s="1"/>
  <c r="H7424" i="1"/>
  <c r="I7424" i="1" s="1"/>
  <c r="H7425" i="1"/>
  <c r="I7425" i="1" s="1"/>
  <c r="H7426" i="1"/>
  <c r="I7426" i="1" s="1"/>
  <c r="H7427" i="1"/>
  <c r="I7427" i="1" s="1"/>
  <c r="H7428" i="1"/>
  <c r="I7428" i="1" s="1"/>
  <c r="H7429" i="1"/>
  <c r="I7429" i="1" s="1"/>
  <c r="H7430" i="1"/>
  <c r="I7430" i="1" s="1"/>
  <c r="H7431" i="1"/>
  <c r="I7431" i="1" s="1"/>
  <c r="H7432" i="1"/>
  <c r="I7432" i="1" s="1"/>
  <c r="H7433" i="1"/>
  <c r="I7433" i="1" s="1"/>
  <c r="H7434" i="1"/>
  <c r="I7434" i="1" s="1"/>
  <c r="H7435" i="1"/>
  <c r="I7435" i="1" s="1"/>
  <c r="H7436" i="1"/>
  <c r="I7436" i="1" s="1"/>
  <c r="H7437" i="1"/>
  <c r="I7437" i="1" s="1"/>
  <c r="H7438" i="1"/>
  <c r="I7438" i="1" s="1"/>
  <c r="H7439" i="1"/>
  <c r="I7439" i="1" s="1"/>
  <c r="H7440" i="1"/>
  <c r="I7440" i="1" s="1"/>
  <c r="H7441" i="1"/>
  <c r="I7441" i="1" s="1"/>
  <c r="H7442" i="1"/>
  <c r="I7442" i="1" s="1"/>
  <c r="H7443" i="1"/>
  <c r="I7443" i="1" s="1"/>
  <c r="H7444" i="1"/>
  <c r="I7444" i="1" s="1"/>
  <c r="H7445" i="1"/>
  <c r="I7445" i="1" s="1"/>
  <c r="H7446" i="1"/>
  <c r="I7446" i="1" s="1"/>
  <c r="H7447" i="1"/>
  <c r="I7447" i="1" s="1"/>
  <c r="H7448" i="1"/>
  <c r="I7448" i="1" s="1"/>
  <c r="H7449" i="1"/>
  <c r="I7449" i="1" s="1"/>
  <c r="H7450" i="1"/>
  <c r="I7450" i="1" s="1"/>
  <c r="H7451" i="1"/>
  <c r="I7451" i="1" s="1"/>
  <c r="H7452" i="1"/>
  <c r="I7452" i="1" s="1"/>
  <c r="H7453" i="1"/>
  <c r="I7453" i="1" s="1"/>
  <c r="H7454" i="1"/>
  <c r="I7454" i="1" s="1"/>
  <c r="H7455" i="1"/>
  <c r="I7455" i="1" s="1"/>
  <c r="H7456" i="1"/>
  <c r="I7456" i="1" s="1"/>
  <c r="H7457" i="1"/>
  <c r="I7457" i="1" s="1"/>
  <c r="H7458" i="1"/>
  <c r="I7458" i="1" s="1"/>
  <c r="H7459" i="1"/>
  <c r="I7459" i="1" s="1"/>
  <c r="H7460" i="1"/>
  <c r="I7460" i="1" s="1"/>
  <c r="H7461" i="1"/>
  <c r="I7461" i="1" s="1"/>
  <c r="H7462" i="1"/>
  <c r="I7462" i="1" s="1"/>
  <c r="H7463" i="1"/>
  <c r="I7463" i="1" s="1"/>
  <c r="H7464" i="1"/>
  <c r="I7464" i="1" s="1"/>
  <c r="H7465" i="1"/>
  <c r="I7465" i="1" s="1"/>
  <c r="H7466" i="1"/>
  <c r="I7466" i="1" s="1"/>
  <c r="H7467" i="1"/>
  <c r="I7467" i="1" s="1"/>
  <c r="H7468" i="1"/>
  <c r="I7468" i="1" s="1"/>
  <c r="H7469" i="1"/>
  <c r="I7469" i="1" s="1"/>
  <c r="H7470" i="1"/>
  <c r="I7470" i="1" s="1"/>
  <c r="H7471" i="1"/>
  <c r="I7471" i="1" s="1"/>
  <c r="H7472" i="1"/>
  <c r="I7472" i="1" s="1"/>
  <c r="H7473" i="1"/>
  <c r="I7473" i="1" s="1"/>
  <c r="H7474" i="1"/>
  <c r="I7474" i="1" s="1"/>
  <c r="H7475" i="1"/>
  <c r="I7475" i="1" s="1"/>
  <c r="H7476" i="1"/>
  <c r="I7476" i="1" s="1"/>
  <c r="H7477" i="1"/>
  <c r="I7477" i="1" s="1"/>
  <c r="H7478" i="1"/>
  <c r="I7478" i="1" s="1"/>
  <c r="H7479" i="1"/>
  <c r="I7479" i="1" s="1"/>
  <c r="H7480" i="1"/>
  <c r="I7480" i="1" s="1"/>
  <c r="H7481" i="1"/>
  <c r="I7481" i="1" s="1"/>
  <c r="H7482" i="1"/>
  <c r="I7482" i="1" s="1"/>
  <c r="H7483" i="1"/>
  <c r="I7483" i="1" s="1"/>
  <c r="H7484" i="1"/>
  <c r="I7484" i="1" s="1"/>
  <c r="H7485" i="1"/>
  <c r="I7485" i="1" s="1"/>
  <c r="H7486" i="1"/>
  <c r="I7486" i="1" s="1"/>
  <c r="H7487" i="1"/>
  <c r="I7487" i="1" s="1"/>
  <c r="H7488" i="1"/>
  <c r="I7488" i="1" s="1"/>
  <c r="H7489" i="1"/>
  <c r="I7489" i="1" s="1"/>
  <c r="H7490" i="1"/>
  <c r="I7490" i="1" s="1"/>
  <c r="H7491" i="1"/>
  <c r="I7491" i="1" s="1"/>
  <c r="H7492" i="1"/>
  <c r="I7492" i="1" s="1"/>
  <c r="H7493" i="1"/>
  <c r="I7493" i="1" s="1"/>
  <c r="H7494" i="1"/>
  <c r="I7494" i="1" s="1"/>
  <c r="H7495" i="1"/>
  <c r="I7495" i="1" s="1"/>
  <c r="H7496" i="1"/>
  <c r="I7496" i="1" s="1"/>
  <c r="H7497" i="1"/>
  <c r="I7497" i="1" s="1"/>
  <c r="H7498" i="1"/>
  <c r="I7498" i="1" s="1"/>
  <c r="H7499" i="1"/>
  <c r="I7499" i="1" s="1"/>
  <c r="H7500" i="1"/>
  <c r="I7500" i="1" s="1"/>
  <c r="H7501" i="1"/>
  <c r="I7501" i="1" s="1"/>
  <c r="H7502" i="1"/>
  <c r="I7502" i="1" s="1"/>
  <c r="H7503" i="1"/>
  <c r="I7503" i="1" s="1"/>
  <c r="H7504" i="1"/>
  <c r="I7504" i="1" s="1"/>
  <c r="H7505" i="1"/>
  <c r="I7505" i="1" s="1"/>
  <c r="H7506" i="1"/>
  <c r="I7506" i="1" s="1"/>
  <c r="H7507" i="1"/>
  <c r="I7507" i="1" s="1"/>
  <c r="H7508" i="1"/>
  <c r="I7508" i="1" s="1"/>
  <c r="H7509" i="1"/>
  <c r="I7509" i="1" s="1"/>
  <c r="H7510" i="1"/>
  <c r="I7510" i="1" s="1"/>
  <c r="H7511" i="1"/>
  <c r="I7511" i="1" s="1"/>
  <c r="H7512" i="1"/>
  <c r="I7512" i="1" s="1"/>
  <c r="H7513" i="1"/>
  <c r="I7513" i="1" s="1"/>
  <c r="H7514" i="1"/>
  <c r="I7514" i="1" s="1"/>
  <c r="H7515" i="1"/>
  <c r="I7515" i="1" s="1"/>
  <c r="H7516" i="1"/>
  <c r="I7516" i="1" s="1"/>
  <c r="H7517" i="1"/>
  <c r="I7517" i="1" s="1"/>
  <c r="H7518" i="1"/>
  <c r="I7518" i="1" s="1"/>
  <c r="H7519" i="1"/>
  <c r="I7519" i="1" s="1"/>
  <c r="H7520" i="1"/>
  <c r="I7520" i="1" s="1"/>
  <c r="H7521" i="1"/>
  <c r="I7521" i="1" s="1"/>
  <c r="H7522" i="1"/>
  <c r="I7522" i="1" s="1"/>
  <c r="H7523" i="1"/>
  <c r="I7523" i="1" s="1"/>
  <c r="H7524" i="1"/>
  <c r="I7524" i="1" s="1"/>
  <c r="H7525" i="1"/>
  <c r="I7525" i="1" s="1"/>
  <c r="H7526" i="1"/>
  <c r="I7526" i="1" s="1"/>
  <c r="H7527" i="1"/>
  <c r="I7527" i="1" s="1"/>
  <c r="H7528" i="1"/>
  <c r="I7528" i="1" s="1"/>
  <c r="H7529" i="1"/>
  <c r="I7529" i="1" s="1"/>
  <c r="H7530" i="1"/>
  <c r="I7530" i="1" s="1"/>
  <c r="H7531" i="1"/>
  <c r="I7531" i="1" s="1"/>
  <c r="H7532" i="1"/>
  <c r="I7532" i="1" s="1"/>
  <c r="H7533" i="1"/>
  <c r="I7533" i="1" s="1"/>
  <c r="H7534" i="1"/>
  <c r="I7534" i="1" s="1"/>
  <c r="H7535" i="1"/>
  <c r="I7535" i="1" s="1"/>
  <c r="H7536" i="1"/>
  <c r="I7536" i="1" s="1"/>
  <c r="H7537" i="1"/>
  <c r="I7537" i="1" s="1"/>
  <c r="H7538" i="1"/>
  <c r="I7538" i="1" s="1"/>
  <c r="H7539" i="1"/>
  <c r="I7539" i="1" s="1"/>
  <c r="H7540" i="1"/>
  <c r="I7540" i="1" s="1"/>
  <c r="H7541" i="1"/>
  <c r="I7541" i="1" s="1"/>
  <c r="H7542" i="1"/>
  <c r="I7542" i="1" s="1"/>
  <c r="H7543" i="1"/>
  <c r="I7543" i="1" s="1"/>
  <c r="H7544" i="1"/>
  <c r="I7544" i="1" s="1"/>
  <c r="H7545" i="1"/>
  <c r="I7545" i="1" s="1"/>
  <c r="H7546" i="1"/>
  <c r="I7546" i="1" s="1"/>
  <c r="H7547" i="1"/>
  <c r="I7547" i="1" s="1"/>
  <c r="H7548" i="1"/>
  <c r="I7548" i="1" s="1"/>
  <c r="H7549" i="1"/>
  <c r="I7549" i="1" s="1"/>
  <c r="H7550" i="1"/>
  <c r="I7550" i="1" s="1"/>
  <c r="H7551" i="1"/>
  <c r="I7551" i="1" s="1"/>
  <c r="H7552" i="1"/>
  <c r="I7552" i="1" s="1"/>
  <c r="H7553" i="1"/>
  <c r="I7553" i="1" s="1"/>
  <c r="H7554" i="1"/>
  <c r="I7554" i="1" s="1"/>
  <c r="H7555" i="1"/>
  <c r="I7555" i="1" s="1"/>
  <c r="H4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6" i="1"/>
  <c r="M29" i="1" s="1"/>
  <c r="G5" i="1"/>
  <c r="M49" i="1" l="1"/>
  <c r="M48" i="1"/>
  <c r="M51" i="1" s="1"/>
  <c r="M44" i="1"/>
  <c r="M43" i="1"/>
  <c r="M39" i="1"/>
  <c r="M35" i="1"/>
  <c r="M28" i="1"/>
  <c r="M27" i="1"/>
  <c r="M23" i="1"/>
  <c r="M22" i="1"/>
  <c r="M18" i="1"/>
  <c r="M14" i="1"/>
  <c r="M10" i="1"/>
  <c r="M6" i="1"/>
  <c r="M62" i="1"/>
  <c r="M61" i="1"/>
  <c r="M57" i="1"/>
</calcChain>
</file>

<file path=xl/sharedStrings.xml><?xml version="1.0" encoding="utf-8"?>
<sst xmlns="http://schemas.openxmlformats.org/spreadsheetml/2006/main" count="65" uniqueCount="56">
  <si>
    <t xml:space="preserve">Nifty 50 Raw Data - Since inception to 31 Aug 2026 </t>
  </si>
  <si>
    <t>Date</t>
  </si>
  <si>
    <t>Closing Price</t>
  </si>
  <si>
    <t>Open</t>
  </si>
  <si>
    <t>High</t>
  </si>
  <si>
    <t>Low</t>
  </si>
  <si>
    <t>Daily Return</t>
  </si>
  <si>
    <t>Daily Range</t>
  </si>
  <si>
    <t>Daily Range % opening</t>
  </si>
  <si>
    <t>Mean: =Average(Returns)</t>
  </si>
  <si>
    <t xml:space="preserve"> </t>
  </si>
  <si>
    <t xml:space="preserve">Mean </t>
  </si>
  <si>
    <t>Median: =Median(Returns)</t>
  </si>
  <si>
    <t>Median</t>
  </si>
  <si>
    <t>Mode: =Mode(Returns)</t>
  </si>
  <si>
    <t>Mode</t>
  </si>
  <si>
    <t>Trim Mean: =Trim Mean(Returns, %outlier Total)</t>
  </si>
  <si>
    <t>5% outlier in each tail</t>
  </si>
  <si>
    <t>Highest and Lowest Daily Return</t>
  </si>
  <si>
    <t>Max Return</t>
  </si>
  <si>
    <t>Min Return</t>
  </si>
  <si>
    <t xml:space="preserve">  </t>
  </si>
  <si>
    <t>Percentile: =percentile(Ret, kth) - 5th percentile = k = 0.05</t>
  </si>
  <si>
    <t>100th percentile</t>
  </si>
  <si>
    <t>99th percentile</t>
  </si>
  <si>
    <t>50th percentile</t>
  </si>
  <si>
    <t>Dispersion Measures</t>
  </si>
  <si>
    <t>Range</t>
  </si>
  <si>
    <t>Mean Absolute Deviation</t>
  </si>
  <si>
    <t>MAD</t>
  </si>
  <si>
    <t>Population Variance</t>
  </si>
  <si>
    <t>Variance (Population)</t>
  </si>
  <si>
    <t>Variance (Sample)</t>
  </si>
  <si>
    <t>Standard Deviation</t>
  </si>
  <si>
    <t>Std Deviation (Population)</t>
  </si>
  <si>
    <t>Daily</t>
  </si>
  <si>
    <t>Std Deviation (Sample)</t>
  </si>
  <si>
    <t>Annual SD</t>
  </si>
  <si>
    <t>Shape of Data</t>
  </si>
  <si>
    <t>Skewness</t>
  </si>
  <si>
    <t>Kurstosis ( Excel calculates Excess Kurstosis by default)</t>
  </si>
  <si>
    <t>Kurtosis</t>
  </si>
  <si>
    <t>Excess Kurtosis</t>
  </si>
  <si>
    <t>Nifty Daily Return</t>
  </si>
  <si>
    <t>Nifty Closing Price</t>
  </si>
  <si>
    <t>Suzlon Price</t>
  </si>
  <si>
    <t>Covariance</t>
  </si>
  <si>
    <t>Cov (P)</t>
  </si>
  <si>
    <t>Cov (S)</t>
  </si>
  <si>
    <t>X</t>
  </si>
  <si>
    <t>Y</t>
  </si>
  <si>
    <t>Correlation</t>
  </si>
  <si>
    <t>Suzlon Daily Return</t>
  </si>
  <si>
    <t>=SD/Mean</t>
  </si>
  <si>
    <t>Coefficient of Variation</t>
  </si>
  <si>
    <t>Risky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</si>
</sst>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9" fontId="2" fillId="0" borderId="0" xfId="1" applyFont="1"/>
    <xf numFmtId="2" fontId="0" fillId="0" borderId="0" xfId="0" applyNumberFormat="1"/>
    <xf numFmtId="164" fontId="0" fillId="0" borderId="0" xfId="0" applyNumberFormat="1"/>
    <xf numFmtId="9" fontId="2" fillId="4" borderId="0" xfId="1" applyFont="1" applyFill="1"/>
    <xf numFmtId="15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quotePrefix="1" applyAlignment="1">
      <alignment horizontal="right"/>
    </xf>
    <xf numFmtId="164" fontId="4" fillId="0" borderId="0" xfId="0" applyNumberFormat="1" applyFont="1"/>
    <xf numFmtId="0" fontId="4" fillId="0" borderId="0" xfId="0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S7555"/>
  <sheetViews>
    <sheetView showGridLines="0" tabSelected="1" workbookViewId="0">
      <selection activeCell="N2" sqref="N2"/>
    </sheetView>
  </sheetViews>
  <sheetFormatPr defaultRowHeight="15" x14ac:dyDescent="0.25"/>
  <cols>
    <col min="1" max="1" width="1.85546875" customWidth="1"/>
    <col min="2" max="2" width="10.42578125" bestFit="1" customWidth="1"/>
    <col min="3" max="3" width="12.28515625" bestFit="1" customWidth="1"/>
    <col min="4" max="6" width="9.140625" bestFit="1" customWidth="1"/>
    <col min="7" max="7" width="11.85546875" bestFit="1" customWidth="1"/>
    <col min="8" max="8" width="11.28515625" hidden="1" customWidth="1"/>
    <col min="9" max="9" width="21.42578125" hidden="1" customWidth="1"/>
    <col min="12" max="12" width="24.85546875" bestFit="1" customWidth="1"/>
    <col min="13" max="13" width="20.42578125" bestFit="1" customWidth="1"/>
  </cols>
  <sheetData>
    <row r="2" spans="2:19" x14ac:dyDescent="0.25">
      <c r="B2" s="12" t="s">
        <v>0</v>
      </c>
      <c r="C2" s="12"/>
      <c r="D2" s="12"/>
      <c r="E2" s="12"/>
      <c r="F2" s="12"/>
      <c r="G2" s="12"/>
      <c r="H2" s="12"/>
      <c r="I2" s="12"/>
    </row>
    <row r="3" spans="2:19" x14ac:dyDescent="0.25"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4" t="s">
        <v>7</v>
      </c>
      <c r="I3" s="4" t="s">
        <v>8</v>
      </c>
    </row>
    <row r="4" spans="2:19" x14ac:dyDescent="0.25">
      <c r="B4" s="1">
        <v>35177</v>
      </c>
      <c r="C4" s="2">
        <v>1106.93</v>
      </c>
      <c r="D4" s="2">
        <v>1136.28</v>
      </c>
      <c r="E4" s="2">
        <v>1136.28</v>
      </c>
      <c r="F4" s="2">
        <v>1102.83</v>
      </c>
      <c r="G4" s="3">
        <v>-2.58E-2</v>
      </c>
      <c r="H4" s="2">
        <f>E4-F4</f>
        <v>33.450000000000045</v>
      </c>
      <c r="I4" s="3">
        <f>H4/D4</f>
        <v>2.9438166649065411E-2</v>
      </c>
      <c r="L4" s="11" t="s">
        <v>9</v>
      </c>
      <c r="M4" s="11"/>
      <c r="N4" s="11"/>
      <c r="O4" s="11"/>
      <c r="P4" s="11"/>
      <c r="Q4" s="11"/>
      <c r="R4" s="11"/>
      <c r="S4" s="11"/>
    </row>
    <row r="5" spans="2:19" x14ac:dyDescent="0.25">
      <c r="B5" s="1">
        <v>35178</v>
      </c>
      <c r="C5" s="2">
        <v>1095.82</v>
      </c>
      <c r="D5" s="2">
        <v>1090.04</v>
      </c>
      <c r="E5" s="2">
        <v>1100.51</v>
      </c>
      <c r="F5" s="2">
        <v>1090.04</v>
      </c>
      <c r="G5" s="3">
        <f>C5/C4-1</f>
        <v>-1.0036768359336312E-2</v>
      </c>
      <c r="H5" s="2">
        <f t="shared" ref="H5:H68" si="0">E5-F5</f>
        <v>10.470000000000027</v>
      </c>
      <c r="I5" s="3">
        <f>H5/D5</f>
        <v>9.6051521045099515E-3</v>
      </c>
      <c r="M5" t="s">
        <v>10</v>
      </c>
    </row>
    <row r="6" spans="2:19" x14ac:dyDescent="0.25">
      <c r="B6" s="1">
        <v>35179</v>
      </c>
      <c r="C6" s="2">
        <v>1145.1099999999999</v>
      </c>
      <c r="D6" s="2">
        <v>1136.97</v>
      </c>
      <c r="E6" s="2">
        <v>1145.1099999999999</v>
      </c>
      <c r="F6" s="2">
        <v>1126.77</v>
      </c>
      <c r="G6" s="3">
        <f>C6/C5-1</f>
        <v>4.4980014965961601E-2</v>
      </c>
      <c r="H6" s="2">
        <f t="shared" si="0"/>
        <v>18.339999999999918</v>
      </c>
      <c r="I6" s="3">
        <f t="shared" ref="I6:I69" si="1">H6/D6</f>
        <v>1.6130592715726817E-2</v>
      </c>
      <c r="L6" t="s">
        <v>11</v>
      </c>
      <c r="M6" s="3">
        <f>AVERAGE(G4:G7555)</f>
        <v>5.0403088288198197E-4</v>
      </c>
    </row>
    <row r="7" spans="2:19" x14ac:dyDescent="0.25">
      <c r="B7" s="1">
        <v>35180</v>
      </c>
      <c r="C7" s="2">
        <v>1120.82</v>
      </c>
      <c r="D7" s="2">
        <v>1157.94</v>
      </c>
      <c r="E7" s="2">
        <v>1160.1600000000001</v>
      </c>
      <c r="F7" s="2">
        <v>1110.6099999999999</v>
      </c>
      <c r="G7" s="3">
        <f t="shared" ref="G7:G70" si="2">C7/C6-1</f>
        <v>-2.1211935971216733E-2</v>
      </c>
      <c r="H7" s="2">
        <f t="shared" si="0"/>
        <v>49.550000000000182</v>
      </c>
      <c r="I7" s="3">
        <f t="shared" si="1"/>
        <v>4.2791509059191477E-2</v>
      </c>
    </row>
    <row r="8" spans="2:19" x14ac:dyDescent="0.25">
      <c r="B8" s="1">
        <v>35181</v>
      </c>
      <c r="C8" s="2">
        <v>1123.6300000000001</v>
      </c>
      <c r="D8" s="2">
        <v>1133.17</v>
      </c>
      <c r="E8" s="2">
        <v>1133.17</v>
      </c>
      <c r="F8" s="2">
        <v>1106.29</v>
      </c>
      <c r="G8" s="3">
        <f t="shared" si="2"/>
        <v>2.5070930211810172E-3</v>
      </c>
      <c r="H8" s="2">
        <f t="shared" si="0"/>
        <v>26.880000000000109</v>
      </c>
      <c r="I8" s="3">
        <f t="shared" si="1"/>
        <v>2.3721065682995587E-2</v>
      </c>
      <c r="L8" s="11" t="s">
        <v>12</v>
      </c>
      <c r="M8" s="11"/>
      <c r="N8" s="11"/>
      <c r="O8" s="11"/>
      <c r="P8" s="11"/>
      <c r="Q8" s="11"/>
      <c r="R8" s="11"/>
      <c r="S8" s="11"/>
    </row>
    <row r="9" spans="2:19" x14ac:dyDescent="0.25">
      <c r="B9" s="1">
        <v>35184</v>
      </c>
      <c r="C9" s="2">
        <v>1118.3699999999999</v>
      </c>
      <c r="D9" s="2">
        <v>1112.7</v>
      </c>
      <c r="E9" s="2">
        <v>1118.69</v>
      </c>
      <c r="F9" s="2">
        <v>1107.51</v>
      </c>
      <c r="G9" s="3">
        <f t="shared" si="2"/>
        <v>-4.6812562854322559E-3</v>
      </c>
      <c r="H9" s="2">
        <f t="shared" si="0"/>
        <v>11.180000000000064</v>
      </c>
      <c r="I9" s="3">
        <f t="shared" si="1"/>
        <v>1.0047631886402501E-2</v>
      </c>
    </row>
    <row r="10" spans="2:19" x14ac:dyDescent="0.25">
      <c r="B10" s="1">
        <v>35185</v>
      </c>
      <c r="C10" s="2">
        <v>1114.3599999999999</v>
      </c>
      <c r="D10" s="2">
        <v>1118.0999999999999</v>
      </c>
      <c r="E10" s="2">
        <v>1118.23</v>
      </c>
      <c r="F10" s="2">
        <v>1112.44</v>
      </c>
      <c r="G10" s="3">
        <f t="shared" si="2"/>
        <v>-3.5855754356787228E-3</v>
      </c>
      <c r="H10" s="2">
        <f t="shared" si="0"/>
        <v>5.7899999999999636</v>
      </c>
      <c r="I10" s="3">
        <f t="shared" si="1"/>
        <v>5.1784276898309313E-3</v>
      </c>
      <c r="L10" t="s">
        <v>13</v>
      </c>
      <c r="M10" s="3">
        <f>MEDIAN(G4:G7555)</f>
        <v>7.6283516690167641E-4</v>
      </c>
    </row>
    <row r="11" spans="2:19" x14ac:dyDescent="0.25">
      <c r="B11" s="1">
        <v>35186</v>
      </c>
      <c r="C11" s="2">
        <v>1137.8599999999999</v>
      </c>
      <c r="D11" s="2">
        <v>1141.6500000000001</v>
      </c>
      <c r="E11" s="2">
        <v>1141.6500000000001</v>
      </c>
      <c r="F11" s="2">
        <v>1133.92</v>
      </c>
      <c r="G11" s="3">
        <f t="shared" si="2"/>
        <v>2.1088337700563509E-2</v>
      </c>
      <c r="H11" s="2">
        <f t="shared" si="0"/>
        <v>7.7300000000000182</v>
      </c>
      <c r="I11" s="3">
        <f t="shared" si="1"/>
        <v>6.7709017649892856E-3</v>
      </c>
    </row>
    <row r="12" spans="2:19" x14ac:dyDescent="0.25">
      <c r="B12" s="1">
        <v>35187</v>
      </c>
      <c r="C12" s="2">
        <v>1132.05</v>
      </c>
      <c r="D12" s="2">
        <v>1131.96</v>
      </c>
      <c r="E12" s="2">
        <v>1132.05</v>
      </c>
      <c r="F12" s="2">
        <v>1123.1500000000001</v>
      </c>
      <c r="G12" s="3">
        <f t="shared" si="2"/>
        <v>-5.106076318703523E-3</v>
      </c>
      <c r="H12" s="2">
        <f t="shared" si="0"/>
        <v>8.8999999999998636</v>
      </c>
      <c r="I12" s="3">
        <f t="shared" si="1"/>
        <v>7.8624686384676703E-3</v>
      </c>
      <c r="L12" s="11" t="s">
        <v>14</v>
      </c>
      <c r="M12" s="11"/>
      <c r="N12" s="11"/>
      <c r="O12" s="11"/>
      <c r="P12" s="11"/>
      <c r="Q12" s="11"/>
      <c r="R12" s="11"/>
      <c r="S12" s="11"/>
    </row>
    <row r="13" spans="2:19" x14ac:dyDescent="0.25">
      <c r="B13" s="1">
        <v>35188</v>
      </c>
      <c r="C13" s="2">
        <v>1119.48</v>
      </c>
      <c r="D13" s="2">
        <v>1126.08</v>
      </c>
      <c r="E13" s="2">
        <v>1127.99</v>
      </c>
      <c r="F13" s="2">
        <v>1119.3399999999999</v>
      </c>
      <c r="G13" s="3">
        <f t="shared" si="2"/>
        <v>-1.1103749834371235E-2</v>
      </c>
      <c r="H13" s="2">
        <f t="shared" si="0"/>
        <v>8.6500000000000909</v>
      </c>
      <c r="I13" s="3">
        <f t="shared" si="1"/>
        <v>7.6815146348395242E-3</v>
      </c>
    </row>
    <row r="14" spans="2:19" x14ac:dyDescent="0.25">
      <c r="B14" s="1">
        <v>35191</v>
      </c>
      <c r="C14" s="2">
        <v>1088.22</v>
      </c>
      <c r="D14" s="2">
        <v>1108</v>
      </c>
      <c r="E14" s="2">
        <v>1108</v>
      </c>
      <c r="F14" s="2">
        <v>1087.8599999999999</v>
      </c>
      <c r="G14" s="3">
        <f t="shared" si="2"/>
        <v>-2.7923678850895084E-2</v>
      </c>
      <c r="H14" s="2">
        <f t="shared" si="0"/>
        <v>20.1400000000001</v>
      </c>
      <c r="I14" s="3">
        <f t="shared" si="1"/>
        <v>1.8176895306859297E-2</v>
      </c>
      <c r="L14" t="s">
        <v>15</v>
      </c>
      <c r="M14" s="3">
        <f>MODE(G4:G7555)</f>
        <v>0</v>
      </c>
    </row>
    <row r="15" spans="2:19" x14ac:dyDescent="0.25">
      <c r="B15" s="1">
        <v>35192</v>
      </c>
      <c r="C15" s="2">
        <v>1093.0899999999999</v>
      </c>
      <c r="D15" s="2">
        <v>1086.6600000000001</v>
      </c>
      <c r="E15" s="2">
        <v>1094.97</v>
      </c>
      <c r="F15" s="2">
        <v>1086.6600000000001</v>
      </c>
      <c r="G15" s="3">
        <f t="shared" si="2"/>
        <v>4.4751980298101124E-3</v>
      </c>
      <c r="H15" s="2">
        <f t="shared" si="0"/>
        <v>8.3099999999999454</v>
      </c>
      <c r="I15" s="3">
        <f t="shared" si="1"/>
        <v>7.6472861796697631E-3</v>
      </c>
    </row>
    <row r="16" spans="2:19" x14ac:dyDescent="0.25">
      <c r="B16" s="1">
        <v>35193</v>
      </c>
      <c r="C16" s="2">
        <v>1108.53</v>
      </c>
      <c r="D16" s="2">
        <v>1082.78</v>
      </c>
      <c r="E16" s="2">
        <v>1113.6199999999999</v>
      </c>
      <c r="F16" s="2">
        <v>1075.94</v>
      </c>
      <c r="G16" s="3">
        <f t="shared" si="2"/>
        <v>1.4125094914416936E-2</v>
      </c>
      <c r="H16" s="2">
        <f t="shared" si="0"/>
        <v>37.679999999999836</v>
      </c>
      <c r="I16" s="3">
        <f t="shared" si="1"/>
        <v>3.4799312879809231E-2</v>
      </c>
      <c r="L16" s="11" t="s">
        <v>16</v>
      </c>
      <c r="M16" s="11"/>
      <c r="N16" s="11"/>
      <c r="O16" s="11"/>
      <c r="P16" s="11"/>
      <c r="Q16" s="11"/>
      <c r="R16" s="11"/>
      <c r="S16" s="11"/>
    </row>
    <row r="17" spans="2:19" x14ac:dyDescent="0.25">
      <c r="B17" s="1">
        <v>35194</v>
      </c>
      <c r="C17" s="2">
        <v>1090.53</v>
      </c>
      <c r="D17" s="2">
        <v>1101.4100000000001</v>
      </c>
      <c r="E17" s="2">
        <v>1107.4100000000001</v>
      </c>
      <c r="F17" s="2">
        <v>1089.8699999999999</v>
      </c>
      <c r="G17" s="3">
        <f t="shared" si="2"/>
        <v>-1.6237720224080543E-2</v>
      </c>
      <c r="H17" s="2">
        <f t="shared" si="0"/>
        <v>17.540000000000191</v>
      </c>
      <c r="I17" s="3">
        <f t="shared" si="1"/>
        <v>1.5925041537665528E-2</v>
      </c>
    </row>
    <row r="18" spans="2:19" x14ac:dyDescent="0.25">
      <c r="B18" s="1">
        <v>35195</v>
      </c>
      <c r="C18" s="2">
        <v>1078.6300000000001</v>
      </c>
      <c r="D18" s="2">
        <v>1076.97</v>
      </c>
      <c r="E18" s="2">
        <v>1080.9100000000001</v>
      </c>
      <c r="F18" s="2">
        <v>1063.75</v>
      </c>
      <c r="G18" s="3">
        <f t="shared" si="2"/>
        <v>-1.0912125296873909E-2</v>
      </c>
      <c r="H18" s="2">
        <f t="shared" si="0"/>
        <v>17.160000000000082</v>
      </c>
      <c r="I18" s="3">
        <f t="shared" si="1"/>
        <v>1.593359146494339E-2</v>
      </c>
      <c r="L18" t="s">
        <v>17</v>
      </c>
      <c r="M18" s="3">
        <f>TRIMMEAN(G4:G7555,0.1)</f>
        <v>6.0538797361515647E-4</v>
      </c>
    </row>
    <row r="19" spans="2:19" x14ac:dyDescent="0.25">
      <c r="B19" s="1">
        <v>35198</v>
      </c>
      <c r="C19" s="2">
        <v>1088.0999999999999</v>
      </c>
      <c r="D19" s="2">
        <v>1081.68</v>
      </c>
      <c r="E19" s="2">
        <v>1090.1600000000001</v>
      </c>
      <c r="F19" s="2">
        <v>1080.68</v>
      </c>
      <c r="G19" s="3">
        <f t="shared" si="2"/>
        <v>8.779655674327369E-3</v>
      </c>
      <c r="H19" s="2">
        <f t="shared" si="0"/>
        <v>9.4800000000000182</v>
      </c>
      <c r="I19" s="3">
        <f t="shared" si="1"/>
        <v>8.7641446638562406E-3</v>
      </c>
    </row>
    <row r="20" spans="2:19" x14ac:dyDescent="0.25">
      <c r="B20" s="1">
        <v>35199</v>
      </c>
      <c r="C20" s="2">
        <v>1105.47</v>
      </c>
      <c r="D20" s="2">
        <v>1087.94</v>
      </c>
      <c r="E20" s="2">
        <v>1107.44</v>
      </c>
      <c r="F20" s="2">
        <v>1085.8499999999999</v>
      </c>
      <c r="G20" s="3">
        <f t="shared" si="2"/>
        <v>1.5963606286186982E-2</v>
      </c>
      <c r="H20" s="2">
        <f t="shared" si="0"/>
        <v>21.590000000000146</v>
      </c>
      <c r="I20" s="3">
        <f t="shared" si="1"/>
        <v>1.9844844384800765E-2</v>
      </c>
      <c r="L20" s="11" t="s">
        <v>18</v>
      </c>
      <c r="M20" s="11"/>
      <c r="N20" s="11"/>
      <c r="O20" s="11"/>
      <c r="P20" s="11"/>
      <c r="Q20" s="11"/>
      <c r="R20" s="11"/>
      <c r="S20" s="11"/>
    </row>
    <row r="21" spans="2:19" x14ac:dyDescent="0.25">
      <c r="B21" s="1">
        <v>35200</v>
      </c>
      <c r="C21" s="2">
        <v>1115.97</v>
      </c>
      <c r="D21" s="2">
        <v>1107</v>
      </c>
      <c r="E21" s="2">
        <v>1117.4100000000001</v>
      </c>
      <c r="F21" s="2">
        <v>1095.67</v>
      </c>
      <c r="G21" s="3">
        <f t="shared" si="2"/>
        <v>9.4982224755082445E-3</v>
      </c>
      <c r="H21" s="2">
        <f t="shared" si="0"/>
        <v>21.740000000000009</v>
      </c>
      <c r="I21" s="3">
        <f t="shared" si="1"/>
        <v>1.9638663053297208E-2</v>
      </c>
      <c r="L21" t="s">
        <v>10</v>
      </c>
    </row>
    <row r="22" spans="2:19" x14ac:dyDescent="0.25">
      <c r="B22" s="1">
        <v>35201</v>
      </c>
      <c r="C22" s="2">
        <v>1128.5899999999999</v>
      </c>
      <c r="D22" s="2">
        <v>1128.45</v>
      </c>
      <c r="E22" s="2">
        <v>1141.6400000000001</v>
      </c>
      <c r="F22" s="2">
        <v>1126.29</v>
      </c>
      <c r="G22" s="3">
        <f t="shared" si="2"/>
        <v>1.1308547720816797E-2</v>
      </c>
      <c r="H22" s="2">
        <f t="shared" si="0"/>
        <v>15.350000000000136</v>
      </c>
      <c r="I22" s="3">
        <f t="shared" si="1"/>
        <v>1.3602729407594608E-2</v>
      </c>
      <c r="L22" t="s">
        <v>19</v>
      </c>
      <c r="M22" s="3">
        <f>MAX(G4:G7555)</f>
        <v>0.17744066019364579</v>
      </c>
    </row>
    <row r="23" spans="2:19" x14ac:dyDescent="0.25">
      <c r="B23" s="1">
        <v>35202</v>
      </c>
      <c r="C23" s="2">
        <v>1115.54</v>
      </c>
      <c r="D23" s="2">
        <v>1122.42</v>
      </c>
      <c r="E23" s="2">
        <v>1122.42</v>
      </c>
      <c r="F23" s="2">
        <v>1113.5899999999999</v>
      </c>
      <c r="G23" s="3">
        <f t="shared" si="2"/>
        <v>-1.1563100860365605E-2</v>
      </c>
      <c r="H23" s="2">
        <f t="shared" si="0"/>
        <v>8.8300000000001546</v>
      </c>
      <c r="I23" s="3">
        <f t="shared" si="1"/>
        <v>7.8669303825663773E-3</v>
      </c>
      <c r="L23" t="s">
        <v>20</v>
      </c>
      <c r="M23" s="3">
        <f>MIN(G4:G7555)</f>
        <v>-0.12980464127060365</v>
      </c>
      <c r="O23" t="s">
        <v>21</v>
      </c>
    </row>
    <row r="24" spans="2:19" x14ac:dyDescent="0.25">
      <c r="B24" s="1">
        <v>35205</v>
      </c>
      <c r="C24" s="2">
        <v>1083.67</v>
      </c>
      <c r="D24" s="2">
        <v>1094.5999999999999</v>
      </c>
      <c r="E24" s="2">
        <v>1094.5999999999999</v>
      </c>
      <c r="F24" s="2">
        <v>1083.56</v>
      </c>
      <c r="G24" s="3">
        <f t="shared" si="2"/>
        <v>-2.8569123473833224E-2</v>
      </c>
      <c r="H24" s="2">
        <f t="shared" si="0"/>
        <v>11.039999999999964</v>
      </c>
      <c r="I24" s="3">
        <f t="shared" si="1"/>
        <v>1.0085876119130243E-2</v>
      </c>
    </row>
    <row r="25" spans="2:19" x14ac:dyDescent="0.25">
      <c r="B25" s="1">
        <v>35206</v>
      </c>
      <c r="C25" s="2">
        <v>1074.8599999999999</v>
      </c>
      <c r="D25" s="2">
        <v>1077.18</v>
      </c>
      <c r="E25" s="2">
        <v>1082.52</v>
      </c>
      <c r="F25" s="2">
        <v>1074.19</v>
      </c>
      <c r="G25" s="3">
        <f t="shared" si="2"/>
        <v>-8.1297812064560215E-3</v>
      </c>
      <c r="H25" s="2">
        <f t="shared" si="0"/>
        <v>8.3299999999999272</v>
      </c>
      <c r="I25" s="3">
        <f t="shared" si="1"/>
        <v>7.7331550901427121E-3</v>
      </c>
      <c r="L25" s="11" t="s">
        <v>22</v>
      </c>
      <c r="M25" s="11"/>
      <c r="N25" s="11"/>
      <c r="O25" s="11"/>
      <c r="P25" s="11"/>
      <c r="Q25" s="11"/>
      <c r="R25" s="11"/>
      <c r="S25" s="11"/>
    </row>
    <row r="26" spans="2:19" x14ac:dyDescent="0.25">
      <c r="B26" s="1">
        <v>35207</v>
      </c>
      <c r="C26" s="2">
        <v>1081.1300000000001</v>
      </c>
      <c r="D26" s="2">
        <v>1082.25</v>
      </c>
      <c r="E26" s="2">
        <v>1086.07</v>
      </c>
      <c r="F26" s="2">
        <v>1079.6099999999999</v>
      </c>
      <c r="G26" s="3">
        <f t="shared" si="2"/>
        <v>5.8333178274381225E-3</v>
      </c>
      <c r="H26" s="2">
        <f t="shared" si="0"/>
        <v>6.4600000000000364</v>
      </c>
      <c r="I26" s="3">
        <f t="shared" si="1"/>
        <v>5.9690459690460024E-3</v>
      </c>
    </row>
    <row r="27" spans="2:19" x14ac:dyDescent="0.25">
      <c r="B27" s="1">
        <v>35208</v>
      </c>
      <c r="C27" s="2">
        <v>1076.71</v>
      </c>
      <c r="D27" s="2">
        <v>1079.8900000000001</v>
      </c>
      <c r="E27" s="2">
        <v>1079.8900000000001</v>
      </c>
      <c r="F27" s="2">
        <v>1073.76</v>
      </c>
      <c r="G27" s="3">
        <f t="shared" si="2"/>
        <v>-4.0883150037461791E-3</v>
      </c>
      <c r="H27" s="2">
        <f t="shared" si="0"/>
        <v>6.1300000000001091</v>
      </c>
      <c r="I27" s="3">
        <f t="shared" si="1"/>
        <v>5.6765040883794728E-3</v>
      </c>
      <c r="L27" t="s">
        <v>23</v>
      </c>
      <c r="M27" s="3">
        <f>_xlfn.PERCENTILE.INC(G4:G7555,1)</f>
        <v>0.17744066019364579</v>
      </c>
    </row>
    <row r="28" spans="2:19" x14ac:dyDescent="0.25">
      <c r="B28" s="1">
        <v>35209</v>
      </c>
      <c r="C28" s="2">
        <v>1085.03</v>
      </c>
      <c r="D28" s="2">
        <v>1079.77</v>
      </c>
      <c r="E28" s="2">
        <v>1087.77</v>
      </c>
      <c r="F28" s="2">
        <v>1077.8699999999999</v>
      </c>
      <c r="G28" s="3">
        <f t="shared" si="2"/>
        <v>7.7272431759711768E-3</v>
      </c>
      <c r="H28" s="2">
        <f t="shared" si="0"/>
        <v>9.9000000000000909</v>
      </c>
      <c r="I28" s="3">
        <f t="shared" si="1"/>
        <v>9.168619242987017E-3</v>
      </c>
      <c r="L28" t="s">
        <v>24</v>
      </c>
      <c r="M28" s="3">
        <f>_xlfn.PERCENTILE.INC(G5:G7556,0.99)</f>
        <v>3.7185214464024563E-2</v>
      </c>
    </row>
    <row r="29" spans="2:19" x14ac:dyDescent="0.25">
      <c r="B29" s="1">
        <v>35212</v>
      </c>
      <c r="C29" s="2">
        <v>1065.29</v>
      </c>
      <c r="D29" s="2">
        <v>1080.55</v>
      </c>
      <c r="E29" s="2">
        <v>1080.55</v>
      </c>
      <c r="F29" s="2">
        <v>1065.29</v>
      </c>
      <c r="G29" s="3">
        <f t="shared" si="2"/>
        <v>-1.819304535358468E-2</v>
      </c>
      <c r="H29" s="2">
        <f t="shared" si="0"/>
        <v>15.259999999999991</v>
      </c>
      <c r="I29" s="3">
        <f t="shared" si="1"/>
        <v>1.4122437647494324E-2</v>
      </c>
      <c r="L29" t="s">
        <v>25</v>
      </c>
      <c r="M29" s="3">
        <f>_xlfn.PERCENTILE.INC(G6:G7557,0.5)</f>
        <v>7.6577156779567002E-4</v>
      </c>
    </row>
    <row r="30" spans="2:19" x14ac:dyDescent="0.25">
      <c r="B30" s="1">
        <v>35213</v>
      </c>
      <c r="C30" s="2">
        <v>1063.3599999999999</v>
      </c>
      <c r="D30" s="2">
        <v>1054.6199999999999</v>
      </c>
      <c r="E30" s="2">
        <v>1065.6099999999999</v>
      </c>
      <c r="F30" s="2">
        <v>1046.95</v>
      </c>
      <c r="G30" s="3">
        <f t="shared" si="2"/>
        <v>-1.8117132424035898E-3</v>
      </c>
      <c r="H30" s="2">
        <f t="shared" si="0"/>
        <v>18.659999999999854</v>
      </c>
      <c r="I30" s="3">
        <f t="shared" si="1"/>
        <v>1.7693576833361643E-2</v>
      </c>
    </row>
    <row r="31" spans="2:19" x14ac:dyDescent="0.25">
      <c r="B31" s="1">
        <v>35214</v>
      </c>
      <c r="C31" s="2">
        <v>1096.76</v>
      </c>
      <c r="D31" s="2">
        <v>1074.23</v>
      </c>
      <c r="E31" s="2">
        <v>1100.5899999999999</v>
      </c>
      <c r="F31" s="2">
        <v>1074.23</v>
      </c>
      <c r="G31" s="3">
        <f t="shared" si="2"/>
        <v>3.1409870598856582E-2</v>
      </c>
      <c r="H31" s="2">
        <f t="shared" si="0"/>
        <v>26.3599999999999</v>
      </c>
      <c r="I31" s="3">
        <f t="shared" si="1"/>
        <v>2.4538506651275705E-2</v>
      </c>
      <c r="L31" s="13" t="s">
        <v>26</v>
      </c>
      <c r="M31" s="13"/>
      <c r="N31" s="13"/>
      <c r="O31" s="13"/>
      <c r="P31" s="13"/>
      <c r="Q31" s="13"/>
      <c r="R31" s="13"/>
      <c r="S31" s="13"/>
    </row>
    <row r="32" spans="2:19" x14ac:dyDescent="0.25">
      <c r="B32" s="1">
        <v>35215</v>
      </c>
      <c r="C32" s="2">
        <v>1082.8399999999999</v>
      </c>
      <c r="D32" s="2">
        <v>1095.8599999999999</v>
      </c>
      <c r="E32" s="2">
        <v>1095.8599999999999</v>
      </c>
      <c r="F32" s="2">
        <v>1082.58</v>
      </c>
      <c r="G32" s="3">
        <f t="shared" si="2"/>
        <v>-1.2691928954374765E-2</v>
      </c>
      <c r="H32" s="2">
        <f t="shared" si="0"/>
        <v>13.279999999999973</v>
      </c>
      <c r="I32" s="3">
        <f t="shared" si="1"/>
        <v>1.2118336283831853E-2</v>
      </c>
    </row>
    <row r="33" spans="2:19" x14ac:dyDescent="0.25">
      <c r="B33" s="1">
        <v>35216</v>
      </c>
      <c r="C33" s="2">
        <v>1089.92</v>
      </c>
      <c r="D33" s="2">
        <v>1086.46</v>
      </c>
      <c r="E33" s="2">
        <v>1089.92</v>
      </c>
      <c r="F33" s="2">
        <v>1083.73</v>
      </c>
      <c r="G33" s="3">
        <f t="shared" si="2"/>
        <v>6.5383620848880053E-3</v>
      </c>
      <c r="H33" s="2">
        <f t="shared" si="0"/>
        <v>6.1900000000000546</v>
      </c>
      <c r="I33" s="3">
        <f t="shared" si="1"/>
        <v>5.6974025734956232E-3</v>
      </c>
      <c r="L33" s="11" t="s">
        <v>27</v>
      </c>
      <c r="M33" s="11"/>
      <c r="N33" s="11"/>
      <c r="O33" s="11"/>
      <c r="P33" s="11"/>
      <c r="Q33" s="11"/>
      <c r="R33" s="11"/>
      <c r="S33" s="11"/>
    </row>
    <row r="34" spans="2:19" x14ac:dyDescent="0.25">
      <c r="B34" s="1">
        <v>35219</v>
      </c>
      <c r="C34" s="2">
        <v>1108.8699999999999</v>
      </c>
      <c r="D34" s="2">
        <v>1098.18</v>
      </c>
      <c r="E34" s="2">
        <v>1109.99</v>
      </c>
      <c r="F34" s="2">
        <v>1098.18</v>
      </c>
      <c r="G34" s="3">
        <f t="shared" si="2"/>
        <v>1.7386597181444419E-2</v>
      </c>
      <c r="H34" s="2">
        <f t="shared" si="0"/>
        <v>11.809999999999945</v>
      </c>
      <c r="I34" s="3">
        <f t="shared" si="1"/>
        <v>1.0754156877743126E-2</v>
      </c>
    </row>
    <row r="35" spans="2:19" x14ac:dyDescent="0.25">
      <c r="B35" s="1">
        <v>35220</v>
      </c>
      <c r="C35" s="2">
        <v>1105.6400000000001</v>
      </c>
      <c r="D35" s="2">
        <v>1114.55</v>
      </c>
      <c r="E35" s="2">
        <v>1118.1300000000001</v>
      </c>
      <c r="F35" s="2">
        <v>1104.32</v>
      </c>
      <c r="G35" s="3">
        <f t="shared" si="2"/>
        <v>-2.9128752694181914E-3</v>
      </c>
      <c r="H35" s="2">
        <f t="shared" si="0"/>
        <v>13.810000000000173</v>
      </c>
      <c r="I35" s="3">
        <f t="shared" si="1"/>
        <v>1.2390650935355232E-2</v>
      </c>
      <c r="L35" t="s">
        <v>27</v>
      </c>
      <c r="M35" s="3">
        <f>MAX(G4:G7555)-MIN(G4:G7555)</f>
        <v>0.30724530146424944</v>
      </c>
    </row>
    <row r="36" spans="2:19" x14ac:dyDescent="0.25">
      <c r="B36" s="1">
        <v>35221</v>
      </c>
      <c r="C36" s="2">
        <v>1113.1400000000001</v>
      </c>
      <c r="D36" s="2">
        <v>1108.78</v>
      </c>
      <c r="E36" s="2">
        <v>1115.06</v>
      </c>
      <c r="F36" s="2">
        <v>1104.45</v>
      </c>
      <c r="G36" s="3">
        <f t="shared" si="2"/>
        <v>6.7834014688326061E-3</v>
      </c>
      <c r="H36" s="2">
        <f t="shared" si="0"/>
        <v>10.6099999999999</v>
      </c>
      <c r="I36" s="3">
        <f t="shared" si="1"/>
        <v>9.5690759212827617E-3</v>
      </c>
    </row>
    <row r="37" spans="2:19" x14ac:dyDescent="0.25">
      <c r="B37" s="1">
        <v>35222</v>
      </c>
      <c r="C37" s="2">
        <v>1129.82</v>
      </c>
      <c r="D37" s="2">
        <v>1129.17</v>
      </c>
      <c r="E37" s="2">
        <v>1132.6199999999999</v>
      </c>
      <c r="F37" s="2">
        <v>1127.52</v>
      </c>
      <c r="G37" s="3">
        <f t="shared" si="2"/>
        <v>1.4984638050918875E-2</v>
      </c>
      <c r="H37" s="2">
        <f t="shared" si="0"/>
        <v>5.0999999999999091</v>
      </c>
      <c r="I37" s="3">
        <f t="shared" si="1"/>
        <v>4.5165918329391581E-3</v>
      </c>
      <c r="L37" s="11" t="s">
        <v>28</v>
      </c>
      <c r="M37" s="11"/>
      <c r="N37" s="11"/>
      <c r="O37" s="11"/>
      <c r="P37" s="11"/>
      <c r="Q37" s="11"/>
      <c r="R37" s="11"/>
      <c r="S37" s="11"/>
    </row>
    <row r="38" spans="2:19" x14ac:dyDescent="0.25">
      <c r="B38" s="1">
        <v>35223</v>
      </c>
      <c r="C38" s="2">
        <v>1133.44</v>
      </c>
      <c r="D38" s="2">
        <v>1126.3900000000001</v>
      </c>
      <c r="E38" s="2">
        <v>1134.8599999999999</v>
      </c>
      <c r="F38" s="2">
        <v>1126.3900000000001</v>
      </c>
      <c r="G38" s="3">
        <f t="shared" si="2"/>
        <v>3.2040502026873252E-3</v>
      </c>
      <c r="H38" s="2">
        <f t="shared" si="0"/>
        <v>8.4699999999997999</v>
      </c>
      <c r="I38" s="3">
        <f t="shared" si="1"/>
        <v>7.5195980077946353E-3</v>
      </c>
    </row>
    <row r="39" spans="2:19" x14ac:dyDescent="0.25">
      <c r="B39" s="1">
        <v>35226</v>
      </c>
      <c r="C39" s="2">
        <v>1141.3499999999999</v>
      </c>
      <c r="D39" s="2">
        <v>1136.8599999999999</v>
      </c>
      <c r="E39" s="2">
        <v>1144.1500000000001</v>
      </c>
      <c r="F39" s="2">
        <v>1136.8599999999999</v>
      </c>
      <c r="G39" s="3">
        <f t="shared" si="2"/>
        <v>6.9787549407114291E-3</v>
      </c>
      <c r="H39" s="2">
        <f t="shared" si="0"/>
        <v>7.290000000000191</v>
      </c>
      <c r="I39" s="3">
        <f t="shared" si="1"/>
        <v>6.4123990640889746E-3</v>
      </c>
      <c r="L39" t="s">
        <v>29</v>
      </c>
      <c r="M39" s="3">
        <f>AVEDEV(G4:G7555)</f>
        <v>9.6443347777813871E-3</v>
      </c>
    </row>
    <row r="40" spans="2:19" x14ac:dyDescent="0.25">
      <c r="B40" s="1">
        <v>35227</v>
      </c>
      <c r="C40" s="2">
        <v>1143.06</v>
      </c>
      <c r="D40" s="2">
        <v>1137.74</v>
      </c>
      <c r="E40" s="2">
        <v>1145.68</v>
      </c>
      <c r="F40" s="2">
        <v>1136.77</v>
      </c>
      <c r="G40" s="3">
        <f t="shared" si="2"/>
        <v>1.4982257852542702E-3</v>
      </c>
      <c r="H40" s="2">
        <f t="shared" si="0"/>
        <v>8.9100000000000819</v>
      </c>
      <c r="I40" s="3">
        <f t="shared" si="1"/>
        <v>7.8313147116213563E-3</v>
      </c>
    </row>
    <row r="41" spans="2:19" x14ac:dyDescent="0.25">
      <c r="B41" s="1">
        <v>35228</v>
      </c>
      <c r="C41" s="2">
        <v>1163.8699999999999</v>
      </c>
      <c r="D41" s="2">
        <v>1164.83</v>
      </c>
      <c r="E41" s="2">
        <v>1171.01</v>
      </c>
      <c r="F41" s="2">
        <v>1163.58</v>
      </c>
      <c r="G41" s="3">
        <f t="shared" si="2"/>
        <v>1.8205518520462594E-2</v>
      </c>
      <c r="H41" s="2">
        <f t="shared" si="0"/>
        <v>7.4300000000000637</v>
      </c>
      <c r="I41" s="3">
        <f t="shared" si="1"/>
        <v>6.3786131881906063E-3</v>
      </c>
      <c r="L41" s="11" t="s">
        <v>30</v>
      </c>
      <c r="M41" s="11"/>
      <c r="N41" s="11"/>
      <c r="O41" s="11"/>
      <c r="P41" s="11"/>
      <c r="Q41" s="11"/>
      <c r="R41" s="11"/>
      <c r="S41" s="11"/>
    </row>
    <row r="42" spans="2:19" x14ac:dyDescent="0.25">
      <c r="B42" s="1">
        <v>35229</v>
      </c>
      <c r="C42" s="2">
        <v>1168.4000000000001</v>
      </c>
      <c r="D42" s="2">
        <v>1166.3699999999999</v>
      </c>
      <c r="E42" s="2">
        <v>1172.3399999999999</v>
      </c>
      <c r="F42" s="2">
        <v>1164.6600000000001</v>
      </c>
      <c r="G42" s="3">
        <f t="shared" si="2"/>
        <v>3.8921872717745387E-3</v>
      </c>
      <c r="H42" s="2">
        <f t="shared" si="0"/>
        <v>7.6799999999998363</v>
      </c>
      <c r="I42" s="3">
        <f t="shared" si="1"/>
        <v>6.5845314951514843E-3</v>
      </c>
    </row>
    <row r="43" spans="2:19" x14ac:dyDescent="0.25">
      <c r="B43" s="1">
        <v>35230</v>
      </c>
      <c r="C43" s="2">
        <v>1196.06</v>
      </c>
      <c r="D43" s="2">
        <v>1169.26</v>
      </c>
      <c r="E43" s="2">
        <v>1198.3499999999999</v>
      </c>
      <c r="F43" s="2">
        <v>1169.26</v>
      </c>
      <c r="G43" s="3">
        <f t="shared" si="2"/>
        <v>2.3673399520711902E-2</v>
      </c>
      <c r="H43" s="2">
        <f t="shared" si="0"/>
        <v>29.089999999999918</v>
      </c>
      <c r="I43" s="3">
        <f t="shared" si="1"/>
        <v>2.4878983288575612E-2</v>
      </c>
      <c r="L43" t="s">
        <v>31</v>
      </c>
      <c r="M43" s="3">
        <f>_xlfn.VAR.P(G4:G7555)</f>
        <v>1.9885842350440697E-4</v>
      </c>
    </row>
    <row r="44" spans="2:19" x14ac:dyDescent="0.25">
      <c r="B44" s="1">
        <v>35233</v>
      </c>
      <c r="C44" s="2">
        <v>1185.3699999999999</v>
      </c>
      <c r="D44" s="2">
        <v>1202.58</v>
      </c>
      <c r="E44" s="2">
        <v>1203.1099999999999</v>
      </c>
      <c r="F44" s="2">
        <v>1184.3599999999999</v>
      </c>
      <c r="G44" s="3">
        <f t="shared" si="2"/>
        <v>-8.9376787117703138E-3</v>
      </c>
      <c r="H44" s="2">
        <f t="shared" si="0"/>
        <v>18.75</v>
      </c>
      <c r="I44" s="3">
        <f t="shared" si="1"/>
        <v>1.5591478321608543E-2</v>
      </c>
      <c r="L44" t="s">
        <v>32</v>
      </c>
      <c r="M44" s="3">
        <f>_xlfn.VAR.S(G5:G7556)</f>
        <v>1.9881944644159946E-4</v>
      </c>
    </row>
    <row r="45" spans="2:19" x14ac:dyDescent="0.25">
      <c r="B45" s="1">
        <v>35234</v>
      </c>
      <c r="C45" s="2">
        <v>1181.95</v>
      </c>
      <c r="D45" s="2">
        <v>1176.48</v>
      </c>
      <c r="E45" s="2">
        <v>1184.18</v>
      </c>
      <c r="F45" s="2">
        <v>1173.6600000000001</v>
      </c>
      <c r="G45" s="3">
        <f t="shared" si="2"/>
        <v>-2.8851750930087849E-3</v>
      </c>
      <c r="H45" s="2">
        <f t="shared" si="0"/>
        <v>10.519999999999982</v>
      </c>
      <c r="I45" s="3">
        <f t="shared" si="1"/>
        <v>8.9419284645722678E-3</v>
      </c>
    </row>
    <row r="46" spans="2:19" x14ac:dyDescent="0.25">
      <c r="B46" s="1">
        <v>35235</v>
      </c>
      <c r="C46" s="2">
        <v>1168.03</v>
      </c>
      <c r="D46" s="2">
        <v>1180.78</v>
      </c>
      <c r="E46" s="2">
        <v>1190.03</v>
      </c>
      <c r="F46" s="2">
        <v>1163.46</v>
      </c>
      <c r="G46" s="3">
        <f t="shared" si="2"/>
        <v>-1.1777147933499821E-2</v>
      </c>
      <c r="H46" s="2">
        <f t="shared" si="0"/>
        <v>26.569999999999936</v>
      </c>
      <c r="I46" s="3">
        <f t="shared" si="1"/>
        <v>2.2502074899642555E-2</v>
      </c>
      <c r="L46" s="11" t="s">
        <v>33</v>
      </c>
      <c r="M46" s="11"/>
      <c r="N46" s="11"/>
      <c r="O46" s="11"/>
      <c r="P46" s="11"/>
      <c r="Q46" s="11"/>
      <c r="R46" s="11"/>
      <c r="S46" s="11"/>
    </row>
    <row r="47" spans="2:19" x14ac:dyDescent="0.25">
      <c r="B47" s="1">
        <v>35236</v>
      </c>
      <c r="C47" s="2">
        <v>1169.48</v>
      </c>
      <c r="D47" s="2">
        <v>1163.68</v>
      </c>
      <c r="E47" s="2">
        <v>1170.54</v>
      </c>
      <c r="F47" s="2">
        <v>1150.4000000000001</v>
      </c>
      <c r="G47" s="3">
        <f t="shared" si="2"/>
        <v>1.2414064707242378E-3</v>
      </c>
      <c r="H47" s="2">
        <f t="shared" si="0"/>
        <v>20.139999999999873</v>
      </c>
      <c r="I47" s="3">
        <f t="shared" si="1"/>
        <v>1.7307163481369337E-2</v>
      </c>
    </row>
    <row r="48" spans="2:19" x14ac:dyDescent="0.25">
      <c r="B48" s="1">
        <v>35237</v>
      </c>
      <c r="C48" s="2">
        <v>1157.42</v>
      </c>
      <c r="D48" s="2">
        <v>1168.72</v>
      </c>
      <c r="E48" s="2">
        <v>1170.01</v>
      </c>
      <c r="F48" s="2">
        <v>1155.56</v>
      </c>
      <c r="G48" s="3">
        <f t="shared" si="2"/>
        <v>-1.0312275541266125E-2</v>
      </c>
      <c r="H48" s="2">
        <f t="shared" si="0"/>
        <v>14.450000000000045</v>
      </c>
      <c r="I48" s="3">
        <f t="shared" si="1"/>
        <v>1.2363953727154533E-2</v>
      </c>
      <c r="L48" t="s">
        <v>34</v>
      </c>
      <c r="M48" s="3">
        <f>_xlfn.STDEV.P(G4:G7555)</f>
        <v>1.410171704099919E-2</v>
      </c>
      <c r="N48" t="s">
        <v>35</v>
      </c>
    </row>
    <row r="49" spans="2:19" x14ac:dyDescent="0.25">
      <c r="B49" s="1">
        <v>35240</v>
      </c>
      <c r="C49" s="2">
        <v>1146.78</v>
      </c>
      <c r="D49" s="2">
        <v>1157.92</v>
      </c>
      <c r="E49" s="2">
        <v>1159.92</v>
      </c>
      <c r="F49" s="2">
        <v>1138.8800000000001</v>
      </c>
      <c r="G49" s="3">
        <f t="shared" si="2"/>
        <v>-9.1928599816835099E-3</v>
      </c>
      <c r="H49" s="2">
        <f t="shared" si="0"/>
        <v>21.039999999999964</v>
      </c>
      <c r="I49" s="3">
        <f t="shared" si="1"/>
        <v>1.8170512643360476E-2</v>
      </c>
      <c r="L49" t="s">
        <v>36</v>
      </c>
      <c r="M49" s="3">
        <f>_xlfn.STDEV.S(G5:G7556)</f>
        <v>1.4100334976219518E-2</v>
      </c>
    </row>
    <row r="50" spans="2:19" x14ac:dyDescent="0.25">
      <c r="B50" s="1">
        <v>35241</v>
      </c>
      <c r="C50" s="2">
        <v>1127.78</v>
      </c>
      <c r="D50" s="2">
        <v>1147.28</v>
      </c>
      <c r="E50" s="2">
        <v>1154.22</v>
      </c>
      <c r="F50" s="2">
        <v>1123.79</v>
      </c>
      <c r="G50" s="3">
        <f t="shared" si="2"/>
        <v>-1.6568129894138361E-2</v>
      </c>
      <c r="H50" s="2">
        <f t="shared" si="0"/>
        <v>30.430000000000064</v>
      </c>
      <c r="I50" s="3">
        <f t="shared" si="1"/>
        <v>2.6523603653859619E-2</v>
      </c>
    </row>
    <row r="51" spans="2:19" x14ac:dyDescent="0.25">
      <c r="B51" s="1">
        <v>35242</v>
      </c>
      <c r="C51" s="2">
        <v>1119.8499999999999</v>
      </c>
      <c r="D51" s="2">
        <v>1127.43</v>
      </c>
      <c r="E51" s="2">
        <v>1134.43</v>
      </c>
      <c r="F51" s="2">
        <v>1116.96</v>
      </c>
      <c r="G51" s="3">
        <f t="shared" si="2"/>
        <v>-7.0315132383975687E-3</v>
      </c>
      <c r="H51" s="2">
        <f t="shared" si="0"/>
        <v>17.470000000000027</v>
      </c>
      <c r="I51" s="3">
        <f t="shared" si="1"/>
        <v>1.5495418784314792E-2</v>
      </c>
      <c r="L51" t="s">
        <v>37</v>
      </c>
      <c r="M51" s="3">
        <f>M48*250^(0.5)</f>
        <v>0.2229677238438374</v>
      </c>
    </row>
    <row r="52" spans="2:19" x14ac:dyDescent="0.25">
      <c r="B52" s="1">
        <v>35243</v>
      </c>
      <c r="C52" s="2">
        <v>1127</v>
      </c>
      <c r="D52" s="2">
        <v>1119</v>
      </c>
      <c r="E52" s="2">
        <v>1130</v>
      </c>
      <c r="F52" s="2">
        <v>1107</v>
      </c>
      <c r="G52" s="3">
        <f t="shared" si="2"/>
        <v>6.3847836763852861E-3</v>
      </c>
      <c r="H52" s="2">
        <f t="shared" si="0"/>
        <v>23</v>
      </c>
      <c r="I52" s="3">
        <f t="shared" si="1"/>
        <v>2.0554066130473638E-2</v>
      </c>
    </row>
    <row r="53" spans="2:19" x14ac:dyDescent="0.25">
      <c r="B53" s="1">
        <v>35244</v>
      </c>
      <c r="C53" s="2">
        <v>1122</v>
      </c>
      <c r="D53" s="2">
        <v>1128</v>
      </c>
      <c r="E53" s="2">
        <v>1136</v>
      </c>
      <c r="F53" s="2">
        <v>1119</v>
      </c>
      <c r="G53" s="3">
        <f t="shared" si="2"/>
        <v>-4.4365572315883117E-3</v>
      </c>
      <c r="H53" s="2">
        <f t="shared" si="0"/>
        <v>17</v>
      </c>
      <c r="I53" s="3">
        <f t="shared" si="1"/>
        <v>1.5070921985815602E-2</v>
      </c>
      <c r="L53" s="13" t="s">
        <v>38</v>
      </c>
      <c r="M53" s="13"/>
      <c r="N53" s="13"/>
      <c r="O53" s="13"/>
      <c r="P53" s="13"/>
      <c r="Q53" s="13"/>
      <c r="R53" s="13"/>
      <c r="S53" s="13"/>
    </row>
    <row r="54" spans="2:19" x14ac:dyDescent="0.25">
      <c r="B54" s="1">
        <v>35247</v>
      </c>
      <c r="C54" s="2">
        <v>1109</v>
      </c>
      <c r="D54" s="2">
        <v>1121</v>
      </c>
      <c r="E54" s="2">
        <v>1121</v>
      </c>
      <c r="F54" s="2">
        <v>1105</v>
      </c>
      <c r="G54" s="3">
        <f t="shared" si="2"/>
        <v>-1.158645276292336E-2</v>
      </c>
      <c r="H54" s="2">
        <f t="shared" si="0"/>
        <v>16</v>
      </c>
      <c r="I54" s="3">
        <f t="shared" si="1"/>
        <v>1.4272970561998216E-2</v>
      </c>
    </row>
    <row r="55" spans="2:19" x14ac:dyDescent="0.25">
      <c r="B55" s="1">
        <v>35248</v>
      </c>
      <c r="C55" s="2">
        <v>1100</v>
      </c>
      <c r="D55" s="2">
        <v>1109</v>
      </c>
      <c r="E55" s="2">
        <v>1111</v>
      </c>
      <c r="F55" s="2">
        <v>1098</v>
      </c>
      <c r="G55" s="3">
        <f t="shared" si="2"/>
        <v>-8.1154192966637062E-3</v>
      </c>
      <c r="H55" s="2">
        <f t="shared" si="0"/>
        <v>13</v>
      </c>
      <c r="I55" s="3">
        <f t="shared" si="1"/>
        <v>1.1722272317403066E-2</v>
      </c>
      <c r="L55" s="11" t="s">
        <v>39</v>
      </c>
      <c r="M55" s="11"/>
      <c r="N55" s="11"/>
      <c r="O55" s="11"/>
      <c r="P55" s="11"/>
      <c r="Q55" s="11"/>
      <c r="R55" s="11"/>
      <c r="S55" s="11"/>
    </row>
    <row r="56" spans="2:19" x14ac:dyDescent="0.25">
      <c r="B56" s="1">
        <v>35249</v>
      </c>
      <c r="C56" s="2">
        <v>1080</v>
      </c>
      <c r="D56" s="2">
        <v>1100</v>
      </c>
      <c r="E56" s="2">
        <v>1100</v>
      </c>
      <c r="F56" s="2">
        <v>1076</v>
      </c>
      <c r="G56" s="3">
        <f t="shared" si="2"/>
        <v>-1.8181818181818188E-2</v>
      </c>
      <c r="H56" s="2">
        <f t="shared" si="0"/>
        <v>24</v>
      </c>
      <c r="I56" s="3">
        <f t="shared" si="1"/>
        <v>2.181818181818182E-2</v>
      </c>
    </row>
    <row r="57" spans="2:19" x14ac:dyDescent="0.25">
      <c r="B57" s="1">
        <v>35250</v>
      </c>
      <c r="C57" s="2">
        <v>1088</v>
      </c>
      <c r="D57" s="2">
        <v>1080</v>
      </c>
      <c r="E57" s="2">
        <v>1099</v>
      </c>
      <c r="F57" s="2">
        <v>1056</v>
      </c>
      <c r="G57" s="3">
        <f t="shared" si="2"/>
        <v>7.4074074074073071E-3</v>
      </c>
      <c r="H57" s="2">
        <f t="shared" si="0"/>
        <v>43</v>
      </c>
      <c r="I57" s="3">
        <f t="shared" si="1"/>
        <v>3.9814814814814817E-2</v>
      </c>
      <c r="L57" t="s">
        <v>39</v>
      </c>
      <c r="M57" s="3">
        <f>_xlfn.SKEW.P(G4:G7555)</f>
        <v>-0.10410389552783067</v>
      </c>
    </row>
    <row r="58" spans="2:19" x14ac:dyDescent="0.25">
      <c r="B58" s="1">
        <v>35251</v>
      </c>
      <c r="C58" s="2">
        <v>1093</v>
      </c>
      <c r="D58" s="2">
        <v>1089</v>
      </c>
      <c r="E58" s="2">
        <v>1104</v>
      </c>
      <c r="F58" s="2">
        <v>1088</v>
      </c>
      <c r="G58" s="3">
        <f t="shared" si="2"/>
        <v>4.5955882352941568E-3</v>
      </c>
      <c r="H58" s="2">
        <f t="shared" si="0"/>
        <v>16</v>
      </c>
      <c r="I58" s="3">
        <f t="shared" si="1"/>
        <v>1.4692378328741965E-2</v>
      </c>
    </row>
    <row r="59" spans="2:19" x14ac:dyDescent="0.25">
      <c r="B59" s="1">
        <v>35254</v>
      </c>
      <c r="C59" s="2">
        <v>1103.47</v>
      </c>
      <c r="D59" s="2">
        <v>1095.08</v>
      </c>
      <c r="E59" s="2">
        <v>1106.3599999999999</v>
      </c>
      <c r="F59" s="2">
        <v>1095.08</v>
      </c>
      <c r="G59" s="3">
        <f t="shared" si="2"/>
        <v>9.5791399817017897E-3</v>
      </c>
      <c r="H59" s="2">
        <f t="shared" si="0"/>
        <v>11.279999999999973</v>
      </c>
      <c r="I59" s="3">
        <f t="shared" si="1"/>
        <v>1.030061730649813E-2</v>
      </c>
      <c r="L59" s="11" t="s">
        <v>40</v>
      </c>
      <c r="M59" s="11"/>
      <c r="N59" s="11"/>
      <c r="O59" s="11"/>
      <c r="P59" s="11"/>
      <c r="Q59" s="11"/>
      <c r="R59" s="11"/>
      <c r="S59" s="11"/>
    </row>
    <row r="60" spans="2:19" x14ac:dyDescent="0.25">
      <c r="B60" s="1">
        <v>35255</v>
      </c>
      <c r="C60" s="2">
        <v>1088.76</v>
      </c>
      <c r="D60" s="2">
        <v>1104.01</v>
      </c>
      <c r="E60" s="2">
        <v>1104.1300000000001</v>
      </c>
      <c r="F60" s="2">
        <v>1082.4100000000001</v>
      </c>
      <c r="G60" s="3">
        <f t="shared" si="2"/>
        <v>-1.3330675052334984E-2</v>
      </c>
      <c r="H60" s="2">
        <f t="shared" si="0"/>
        <v>21.720000000000027</v>
      </c>
      <c r="I60" s="3">
        <f t="shared" si="1"/>
        <v>1.9673734839358362E-2</v>
      </c>
    </row>
    <row r="61" spans="2:19" x14ac:dyDescent="0.25">
      <c r="B61" s="1">
        <v>35256</v>
      </c>
      <c r="C61" s="2">
        <v>1086.6199999999999</v>
      </c>
      <c r="D61" s="2">
        <v>1083.49</v>
      </c>
      <c r="E61" s="2">
        <v>1093.27</v>
      </c>
      <c r="F61" s="2">
        <v>1072.48</v>
      </c>
      <c r="G61" s="3">
        <f t="shared" si="2"/>
        <v>-1.9655387780594946E-3</v>
      </c>
      <c r="H61" s="2">
        <f t="shared" si="0"/>
        <v>20.789999999999964</v>
      </c>
      <c r="I61" s="3">
        <f t="shared" si="1"/>
        <v>1.9187994351586045E-2</v>
      </c>
      <c r="L61" t="s">
        <v>41</v>
      </c>
      <c r="M61" s="5">
        <f>KURT(G4:G7555)+3</f>
        <v>12.8165345271058</v>
      </c>
    </row>
    <row r="62" spans="2:19" x14ac:dyDescent="0.25">
      <c r="B62" s="1">
        <v>35257</v>
      </c>
      <c r="C62" s="2">
        <v>1097.44</v>
      </c>
      <c r="D62" s="2">
        <v>1089.45</v>
      </c>
      <c r="E62" s="2">
        <v>1103.19</v>
      </c>
      <c r="F62" s="2">
        <v>1089.45</v>
      </c>
      <c r="G62" s="3">
        <f t="shared" si="2"/>
        <v>9.9574828366864043E-3</v>
      </c>
      <c r="H62" s="2">
        <f t="shared" si="0"/>
        <v>13.740000000000009</v>
      </c>
      <c r="I62" s="3">
        <f t="shared" si="1"/>
        <v>1.2611868373950166E-2</v>
      </c>
      <c r="L62" t="s">
        <v>42</v>
      </c>
      <c r="M62" s="6">
        <f>KURT(G4:G7555)</f>
        <v>9.8165345271057998</v>
      </c>
    </row>
    <row r="63" spans="2:19" x14ac:dyDescent="0.25">
      <c r="B63" s="1">
        <v>35258</v>
      </c>
      <c r="C63" s="2">
        <v>1089.3499999999999</v>
      </c>
      <c r="D63" s="2">
        <v>1096.8499999999999</v>
      </c>
      <c r="E63" s="2">
        <v>1099.2</v>
      </c>
      <c r="F63" s="2">
        <v>1086.07</v>
      </c>
      <c r="G63" s="3">
        <f t="shared" si="2"/>
        <v>-7.3717014142004045E-3</v>
      </c>
      <c r="H63" s="2">
        <f t="shared" si="0"/>
        <v>13.130000000000109</v>
      </c>
      <c r="I63" s="3">
        <f t="shared" si="1"/>
        <v>1.1970643205543247E-2</v>
      </c>
    </row>
    <row r="64" spans="2:19" x14ac:dyDescent="0.25">
      <c r="B64" s="1">
        <v>35261</v>
      </c>
      <c r="C64" s="2">
        <v>1093.3800000000001</v>
      </c>
      <c r="D64" s="2">
        <v>1089</v>
      </c>
      <c r="E64" s="2">
        <v>1098.3499999999999</v>
      </c>
      <c r="F64" s="2">
        <v>1081.22</v>
      </c>
      <c r="G64" s="3">
        <f t="shared" si="2"/>
        <v>3.6994538027266266E-3</v>
      </c>
      <c r="H64" s="2">
        <f t="shared" si="0"/>
        <v>17.129999999999882</v>
      </c>
      <c r="I64" s="3">
        <f t="shared" si="1"/>
        <v>1.5730027548209256E-2</v>
      </c>
      <c r="L64" t="s">
        <v>54</v>
      </c>
      <c r="M64" s="14" t="s">
        <v>53</v>
      </c>
    </row>
    <row r="65" spans="2:14" x14ac:dyDescent="0.25">
      <c r="B65" s="1">
        <v>35262</v>
      </c>
      <c r="C65" s="2">
        <v>1083.47</v>
      </c>
      <c r="D65" s="2">
        <v>1100.1400000000001</v>
      </c>
      <c r="E65" s="2">
        <v>1105.94</v>
      </c>
      <c r="F65" s="2">
        <v>1076.92</v>
      </c>
      <c r="G65" s="3">
        <f t="shared" si="2"/>
        <v>-9.0636375276665904E-3</v>
      </c>
      <c r="H65" s="2">
        <f t="shared" si="0"/>
        <v>29.019999999999982</v>
      </c>
      <c r="I65" s="3">
        <f t="shared" si="1"/>
        <v>2.6378460923155215E-2</v>
      </c>
      <c r="M65" s="15">
        <f>M48/M6</f>
        <v>27.977882943139189</v>
      </c>
      <c r="N65" s="16" t="s">
        <v>55</v>
      </c>
    </row>
    <row r="66" spans="2:14" x14ac:dyDescent="0.25">
      <c r="B66" s="1">
        <v>35263</v>
      </c>
      <c r="C66" s="2">
        <v>1108.58</v>
      </c>
      <c r="D66" s="2">
        <v>1087.07</v>
      </c>
      <c r="E66" s="2">
        <v>1117.95</v>
      </c>
      <c r="F66" s="2">
        <v>1087.07</v>
      </c>
      <c r="G66" s="3">
        <f t="shared" si="2"/>
        <v>2.3175537855224304E-2</v>
      </c>
      <c r="H66" s="2">
        <f t="shared" si="0"/>
        <v>30.880000000000109</v>
      </c>
      <c r="I66" s="3">
        <f t="shared" si="1"/>
        <v>2.8406634347374237E-2</v>
      </c>
    </row>
    <row r="67" spans="2:14" x14ac:dyDescent="0.25">
      <c r="B67" s="1">
        <v>35264</v>
      </c>
      <c r="C67" s="2">
        <v>1118.68</v>
      </c>
      <c r="D67" s="2">
        <v>1109.17</v>
      </c>
      <c r="E67" s="2">
        <v>1126.1400000000001</v>
      </c>
      <c r="F67" s="2">
        <v>1109.17</v>
      </c>
      <c r="G67" s="3">
        <f t="shared" si="2"/>
        <v>9.1107542982915568E-3</v>
      </c>
      <c r="H67" s="2">
        <f t="shared" si="0"/>
        <v>16.970000000000027</v>
      </c>
      <c r="I67" s="3">
        <f t="shared" si="1"/>
        <v>1.5299728625909488E-2</v>
      </c>
    </row>
    <row r="68" spans="2:14" x14ac:dyDescent="0.25">
      <c r="B68" s="1">
        <v>35265</v>
      </c>
      <c r="C68" s="2">
        <v>1119.27</v>
      </c>
      <c r="D68" s="2">
        <v>1118.92</v>
      </c>
      <c r="E68" s="2">
        <v>1126.71</v>
      </c>
      <c r="F68" s="2">
        <v>1112.3499999999999</v>
      </c>
      <c r="G68" s="3">
        <f t="shared" si="2"/>
        <v>5.2740730146227932E-4</v>
      </c>
      <c r="H68" s="2">
        <f t="shared" si="0"/>
        <v>14.360000000000127</v>
      </c>
      <c r="I68" s="3">
        <f t="shared" si="1"/>
        <v>1.2833804025310234E-2</v>
      </c>
    </row>
    <row r="69" spans="2:14" x14ac:dyDescent="0.25">
      <c r="B69" s="1">
        <v>35268</v>
      </c>
      <c r="C69" s="2">
        <v>1121.3699999999999</v>
      </c>
      <c r="D69" s="2">
        <v>1125.81</v>
      </c>
      <c r="E69" s="2">
        <v>1127.1300000000001</v>
      </c>
      <c r="F69" s="2">
        <v>1115.06</v>
      </c>
      <c r="G69" s="3">
        <f t="shared" si="2"/>
        <v>1.8762228952797777E-3</v>
      </c>
      <c r="H69" s="2">
        <f t="shared" ref="H69:H132" si="3">E69-F69</f>
        <v>12.070000000000164</v>
      </c>
      <c r="I69" s="3">
        <f t="shared" si="1"/>
        <v>1.072116964674338E-2</v>
      </c>
    </row>
    <row r="70" spans="2:14" x14ac:dyDescent="0.25">
      <c r="B70" s="1">
        <v>35269</v>
      </c>
      <c r="C70" s="2">
        <v>1092.1400000000001</v>
      </c>
      <c r="D70" s="2">
        <v>1125.1500000000001</v>
      </c>
      <c r="E70" s="2">
        <v>1127.08</v>
      </c>
      <c r="F70" s="2">
        <v>1086.28</v>
      </c>
      <c r="G70" s="3">
        <f t="shared" si="2"/>
        <v>-2.6066329578996905E-2</v>
      </c>
      <c r="H70" s="2">
        <f t="shared" si="3"/>
        <v>40.799999999999955</v>
      </c>
      <c r="I70" s="3">
        <f t="shared" ref="I70:I133" si="4">H70/D70</f>
        <v>3.6261831755765854E-2</v>
      </c>
    </row>
    <row r="71" spans="2:14" x14ac:dyDescent="0.25">
      <c r="B71" s="1">
        <v>35270</v>
      </c>
      <c r="C71" s="2">
        <v>1069.43</v>
      </c>
      <c r="D71" s="2">
        <v>1090.74</v>
      </c>
      <c r="E71" s="2">
        <v>1090.74</v>
      </c>
      <c r="F71" s="2">
        <v>1049.8800000000001</v>
      </c>
      <c r="G71" s="3">
        <f t="shared" ref="G71:G134" si="5">C71/C70-1</f>
        <v>-2.0794037394473275E-2</v>
      </c>
      <c r="H71" s="2">
        <f t="shared" si="3"/>
        <v>40.8599999999999</v>
      </c>
      <c r="I71" s="3">
        <f t="shared" si="4"/>
        <v>3.7460806424995781E-2</v>
      </c>
    </row>
    <row r="72" spans="2:14" x14ac:dyDescent="0.25">
      <c r="B72" s="1">
        <v>35271</v>
      </c>
      <c r="C72" s="2">
        <v>1062.68</v>
      </c>
      <c r="D72" s="2">
        <v>1069.27</v>
      </c>
      <c r="E72" s="2">
        <v>1075.79</v>
      </c>
      <c r="F72" s="2">
        <v>1060.5999999999999</v>
      </c>
      <c r="G72" s="3">
        <f t="shared" si="5"/>
        <v>-6.3117735616169401E-3</v>
      </c>
      <c r="H72" s="2">
        <f t="shared" si="3"/>
        <v>15.190000000000055</v>
      </c>
      <c r="I72" s="3">
        <f t="shared" si="4"/>
        <v>1.4205953594508455E-2</v>
      </c>
    </row>
    <row r="73" spans="2:14" x14ac:dyDescent="0.25">
      <c r="B73" s="1">
        <v>35272</v>
      </c>
      <c r="C73" s="2">
        <v>1051.24</v>
      </c>
      <c r="D73" s="2">
        <v>1062.04</v>
      </c>
      <c r="E73" s="2">
        <v>1066.1199999999999</v>
      </c>
      <c r="F73" s="2">
        <v>1046.46</v>
      </c>
      <c r="G73" s="3">
        <f t="shared" si="5"/>
        <v>-1.076523506605942E-2</v>
      </c>
      <c r="H73" s="2">
        <f t="shared" si="3"/>
        <v>19.659999999999854</v>
      </c>
      <c r="I73" s="3">
        <f t="shared" si="4"/>
        <v>1.8511543821324861E-2</v>
      </c>
    </row>
    <row r="74" spans="2:14" x14ac:dyDescent="0.25">
      <c r="B74" s="1">
        <v>35275</v>
      </c>
      <c r="C74" s="2">
        <v>1033.97</v>
      </c>
      <c r="D74" s="2">
        <v>1054.51</v>
      </c>
      <c r="E74" s="2">
        <v>1057.8399999999999</v>
      </c>
      <c r="F74" s="2">
        <v>1030.8699999999999</v>
      </c>
      <c r="G74" s="3">
        <f t="shared" si="5"/>
        <v>-1.6428218104333925E-2</v>
      </c>
      <c r="H74" s="2">
        <f t="shared" si="3"/>
        <v>26.970000000000027</v>
      </c>
      <c r="I74" s="3">
        <f t="shared" si="4"/>
        <v>2.5575859878047651E-2</v>
      </c>
    </row>
    <row r="75" spans="2:14" x14ac:dyDescent="0.25">
      <c r="B75" s="1">
        <v>35276</v>
      </c>
      <c r="C75" s="2">
        <v>1014.91</v>
      </c>
      <c r="D75" s="2">
        <v>1031.01</v>
      </c>
      <c r="E75" s="2">
        <v>1031.01</v>
      </c>
      <c r="F75">
        <v>999.03</v>
      </c>
      <c r="G75" s="3">
        <f t="shared" si="5"/>
        <v>-1.8433803688695072E-2</v>
      </c>
      <c r="H75" s="2">
        <f t="shared" si="3"/>
        <v>31.980000000000018</v>
      </c>
      <c r="I75" s="3">
        <f t="shared" si="4"/>
        <v>3.1018127855209958E-2</v>
      </c>
    </row>
    <row r="76" spans="2:14" x14ac:dyDescent="0.25">
      <c r="B76" s="1">
        <v>35277</v>
      </c>
      <c r="C76" s="2">
        <v>1042.81</v>
      </c>
      <c r="D76" s="2">
        <v>1017.06</v>
      </c>
      <c r="E76" s="2">
        <v>1047.04</v>
      </c>
      <c r="F76" s="2">
        <v>1004.76</v>
      </c>
      <c r="G76" s="3">
        <f t="shared" si="5"/>
        <v>2.7490122276852214E-2</v>
      </c>
      <c r="H76" s="2">
        <f t="shared" si="3"/>
        <v>42.279999999999973</v>
      </c>
      <c r="I76" s="3">
        <f t="shared" si="4"/>
        <v>4.1570802115902673E-2</v>
      </c>
    </row>
    <row r="77" spans="2:14" x14ac:dyDescent="0.25">
      <c r="B77" s="1">
        <v>35278</v>
      </c>
      <c r="C77" s="2">
        <v>1036.6300000000001</v>
      </c>
      <c r="D77" s="2">
        <v>1047.47</v>
      </c>
      <c r="E77" s="2">
        <v>1054.08</v>
      </c>
      <c r="F77" s="2">
        <v>1035.3</v>
      </c>
      <c r="G77" s="3">
        <f t="shared" si="5"/>
        <v>-5.9262952982804817E-3</v>
      </c>
      <c r="H77" s="2">
        <f t="shared" si="3"/>
        <v>18.779999999999973</v>
      </c>
      <c r="I77" s="3">
        <f t="shared" si="4"/>
        <v>1.7928914431916878E-2</v>
      </c>
    </row>
    <row r="78" spans="2:14" x14ac:dyDescent="0.25">
      <c r="B78" s="1">
        <v>35279</v>
      </c>
      <c r="C78" s="2">
        <v>1032.94</v>
      </c>
      <c r="D78" s="2">
        <v>1036.3399999999999</v>
      </c>
      <c r="E78" s="2">
        <v>1036.48</v>
      </c>
      <c r="F78" s="2">
        <v>1024.8</v>
      </c>
      <c r="G78" s="3">
        <f t="shared" si="5"/>
        <v>-3.5596114332018258E-3</v>
      </c>
      <c r="H78" s="2">
        <f t="shared" si="3"/>
        <v>11.680000000000064</v>
      </c>
      <c r="I78" s="3">
        <f t="shared" si="4"/>
        <v>1.1270432483547933E-2</v>
      </c>
    </row>
    <row r="79" spans="2:14" x14ac:dyDescent="0.25">
      <c r="B79" s="1">
        <v>35282</v>
      </c>
      <c r="C79" s="2">
        <v>1032.29</v>
      </c>
      <c r="D79" s="2">
        <v>1035.73</v>
      </c>
      <c r="E79" s="2">
        <v>1038.2</v>
      </c>
      <c r="F79" s="2">
        <v>1030.3399999999999</v>
      </c>
      <c r="G79" s="3">
        <f t="shared" si="5"/>
        <v>-6.2927178732563593E-4</v>
      </c>
      <c r="H79" s="2">
        <f t="shared" si="3"/>
        <v>7.8600000000001273</v>
      </c>
      <c r="I79" s="3">
        <f t="shared" si="4"/>
        <v>7.5888503760633821E-3</v>
      </c>
    </row>
    <row r="80" spans="2:14" x14ac:dyDescent="0.25">
      <c r="B80" s="1">
        <v>35283</v>
      </c>
      <c r="C80" s="2">
        <v>1035.51</v>
      </c>
      <c r="D80" s="2">
        <v>1031.8</v>
      </c>
      <c r="E80" s="2">
        <v>1038.04</v>
      </c>
      <c r="F80" s="2">
        <v>1023.73</v>
      </c>
      <c r="G80" s="3">
        <f t="shared" si="5"/>
        <v>3.1192784973215204E-3</v>
      </c>
      <c r="H80" s="2">
        <f t="shared" si="3"/>
        <v>14.309999999999945</v>
      </c>
      <c r="I80" s="3">
        <f t="shared" si="4"/>
        <v>1.3868966854041428E-2</v>
      </c>
    </row>
    <row r="81" spans="2:9" x14ac:dyDescent="0.25">
      <c r="B81" s="1">
        <v>35284</v>
      </c>
      <c r="C81" s="2">
        <v>1048.5899999999999</v>
      </c>
      <c r="D81" s="2">
        <v>1036.5899999999999</v>
      </c>
      <c r="E81" s="2">
        <v>1050.54</v>
      </c>
      <c r="F81" s="2">
        <v>1033.52</v>
      </c>
      <c r="G81" s="3">
        <f t="shared" si="5"/>
        <v>1.2631456963235532E-2</v>
      </c>
      <c r="H81" s="2">
        <f t="shared" si="3"/>
        <v>17.019999999999982</v>
      </c>
      <c r="I81" s="3">
        <f t="shared" si="4"/>
        <v>1.6419220714072084E-2</v>
      </c>
    </row>
    <row r="82" spans="2:9" x14ac:dyDescent="0.25">
      <c r="B82" s="1">
        <v>35285</v>
      </c>
      <c r="C82" s="2">
        <v>1039.24</v>
      </c>
      <c r="D82" s="2">
        <v>1050.43</v>
      </c>
      <c r="E82" s="2">
        <v>1054.29</v>
      </c>
      <c r="F82" s="2">
        <v>1037.94</v>
      </c>
      <c r="G82" s="3">
        <f t="shared" si="5"/>
        <v>-8.9167358071313707E-3</v>
      </c>
      <c r="H82" s="2">
        <f t="shared" si="3"/>
        <v>16.349999999999909</v>
      </c>
      <c r="I82" s="3">
        <f t="shared" si="4"/>
        <v>1.5565054311091561E-2</v>
      </c>
    </row>
    <row r="83" spans="2:9" x14ac:dyDescent="0.25">
      <c r="B83" s="1">
        <v>35286</v>
      </c>
      <c r="C83" s="2">
        <v>1037.9100000000001</v>
      </c>
      <c r="D83" s="2">
        <v>1038.76</v>
      </c>
      <c r="E83" s="2">
        <v>1042.25</v>
      </c>
      <c r="F83" s="2">
        <v>1033.46</v>
      </c>
      <c r="G83" s="3">
        <f t="shared" si="5"/>
        <v>-1.2797813786997736E-3</v>
      </c>
      <c r="H83" s="2">
        <f t="shared" si="3"/>
        <v>8.7899999999999636</v>
      </c>
      <c r="I83" s="3">
        <f t="shared" si="4"/>
        <v>8.4620123993992494E-3</v>
      </c>
    </row>
    <row r="84" spans="2:9" x14ac:dyDescent="0.25">
      <c r="B84" s="1">
        <v>35289</v>
      </c>
      <c r="C84" s="2">
        <v>1032.17</v>
      </c>
      <c r="D84" s="2">
        <v>1038.1099999999999</v>
      </c>
      <c r="E84" s="2">
        <v>1039.93</v>
      </c>
      <c r="F84" s="2">
        <v>1030.4000000000001</v>
      </c>
      <c r="G84" s="3">
        <f t="shared" si="5"/>
        <v>-5.5303446348913265E-3</v>
      </c>
      <c r="H84" s="2">
        <f t="shared" si="3"/>
        <v>9.5299999999999727</v>
      </c>
      <c r="I84" s="3">
        <f t="shared" si="4"/>
        <v>9.1801446860159067E-3</v>
      </c>
    </row>
    <row r="85" spans="2:9" x14ac:dyDescent="0.25">
      <c r="B85" s="1">
        <v>35290</v>
      </c>
      <c r="C85" s="2">
        <v>1024.43</v>
      </c>
      <c r="D85" s="2">
        <v>1031.05</v>
      </c>
      <c r="E85" s="2">
        <v>1031.05</v>
      </c>
      <c r="F85" s="2">
        <v>1021.67</v>
      </c>
      <c r="G85" s="3">
        <f t="shared" si="5"/>
        <v>-7.4987647383667477E-3</v>
      </c>
      <c r="H85" s="2">
        <f t="shared" si="3"/>
        <v>9.3799999999999955</v>
      </c>
      <c r="I85" s="3">
        <f t="shared" si="4"/>
        <v>9.0975219436496731E-3</v>
      </c>
    </row>
    <row r="86" spans="2:9" x14ac:dyDescent="0.25">
      <c r="B86" s="1">
        <v>35291</v>
      </c>
      <c r="C86" s="2">
        <v>1018.48</v>
      </c>
      <c r="D86" s="2">
        <v>1021.18</v>
      </c>
      <c r="E86" s="2">
        <v>1027.95</v>
      </c>
      <c r="F86" s="2">
        <v>1017.43</v>
      </c>
      <c r="G86" s="3">
        <f t="shared" si="5"/>
        <v>-5.8081079234306721E-3</v>
      </c>
      <c r="H86" s="2">
        <f t="shared" si="3"/>
        <v>10.520000000000095</v>
      </c>
      <c r="I86" s="3">
        <f t="shared" si="4"/>
        <v>1.0301807712646249E-2</v>
      </c>
    </row>
    <row r="87" spans="2:9" x14ac:dyDescent="0.25">
      <c r="B87" s="1">
        <v>35293</v>
      </c>
      <c r="C87" s="2">
        <v>1002.25</v>
      </c>
      <c r="D87" s="2">
        <v>1018.28</v>
      </c>
      <c r="E87" s="2">
        <v>1019.64</v>
      </c>
      <c r="F87" s="2">
        <v>1001.35</v>
      </c>
      <c r="G87" s="3">
        <f t="shared" si="5"/>
        <v>-1.5935511742989572E-2</v>
      </c>
      <c r="H87" s="2">
        <f t="shared" si="3"/>
        <v>18.289999999999964</v>
      </c>
      <c r="I87" s="3">
        <f t="shared" si="4"/>
        <v>1.796166083984755E-2</v>
      </c>
    </row>
    <row r="88" spans="2:9" x14ac:dyDescent="0.25">
      <c r="B88" s="1">
        <v>35296</v>
      </c>
      <c r="C88">
        <v>975.66</v>
      </c>
      <c r="D88" s="2">
        <v>1001.19</v>
      </c>
      <c r="E88" s="2">
        <v>1001.19</v>
      </c>
      <c r="F88">
        <v>972.96</v>
      </c>
      <c r="G88" s="3">
        <f t="shared" si="5"/>
        <v>-2.6530306809678272E-2</v>
      </c>
      <c r="H88" s="2">
        <f t="shared" si="3"/>
        <v>28.230000000000018</v>
      </c>
      <c r="I88" s="3">
        <f t="shared" si="4"/>
        <v>2.819644622898752E-2</v>
      </c>
    </row>
    <row r="89" spans="2:9" x14ac:dyDescent="0.25">
      <c r="B89" s="1">
        <v>35297</v>
      </c>
      <c r="C89">
        <v>977.34</v>
      </c>
      <c r="D89">
        <v>973.13</v>
      </c>
      <c r="E89">
        <v>980.78</v>
      </c>
      <c r="F89">
        <v>968.76</v>
      </c>
      <c r="G89" s="3">
        <f t="shared" si="5"/>
        <v>1.7219113215669601E-3</v>
      </c>
      <c r="H89" s="2">
        <f t="shared" si="3"/>
        <v>12.019999999999982</v>
      </c>
      <c r="I89" s="3">
        <f t="shared" si="4"/>
        <v>1.2351895430209717E-2</v>
      </c>
    </row>
    <row r="90" spans="2:9" x14ac:dyDescent="0.25">
      <c r="B90" s="1">
        <v>35298</v>
      </c>
      <c r="C90">
        <v>999.19</v>
      </c>
      <c r="D90">
        <v>980.23</v>
      </c>
      <c r="E90" s="2">
        <v>1001.84</v>
      </c>
      <c r="F90">
        <v>980.23</v>
      </c>
      <c r="G90" s="3">
        <f t="shared" si="5"/>
        <v>2.2356600568891105E-2</v>
      </c>
      <c r="H90" s="2">
        <f t="shared" si="3"/>
        <v>21.610000000000014</v>
      </c>
      <c r="I90" s="3">
        <f t="shared" si="4"/>
        <v>2.2045846382991761E-2</v>
      </c>
    </row>
    <row r="91" spans="2:9" x14ac:dyDescent="0.25">
      <c r="B91" s="1">
        <v>35299</v>
      </c>
      <c r="C91" s="2">
        <v>1002.17</v>
      </c>
      <c r="D91" s="2">
        <v>1001.45</v>
      </c>
      <c r="E91" s="2">
        <v>1010.4</v>
      </c>
      <c r="F91">
        <v>999.85</v>
      </c>
      <c r="G91" s="3">
        <f t="shared" si="5"/>
        <v>2.9824157567628351E-3</v>
      </c>
      <c r="H91" s="2">
        <f t="shared" si="3"/>
        <v>10.549999999999955</v>
      </c>
      <c r="I91" s="3">
        <f t="shared" si="4"/>
        <v>1.0534724649258529E-2</v>
      </c>
    </row>
    <row r="92" spans="2:9" x14ac:dyDescent="0.25">
      <c r="B92" s="1">
        <v>35300</v>
      </c>
      <c r="C92" s="2">
        <v>1012.71</v>
      </c>
      <c r="D92" s="2">
        <v>1001.38</v>
      </c>
      <c r="E92" s="2">
        <v>1014.78</v>
      </c>
      <c r="F92" s="2">
        <v>1000.49</v>
      </c>
      <c r="G92" s="3">
        <f t="shared" si="5"/>
        <v>1.0517177724338245E-2</v>
      </c>
      <c r="H92" s="2">
        <f t="shared" si="3"/>
        <v>14.289999999999964</v>
      </c>
      <c r="I92" s="3">
        <f t="shared" si="4"/>
        <v>1.427030697637257E-2</v>
      </c>
    </row>
    <row r="93" spans="2:9" x14ac:dyDescent="0.25">
      <c r="B93" s="1">
        <v>35303</v>
      </c>
      <c r="C93" s="2">
        <v>1009.04</v>
      </c>
      <c r="D93" s="2">
        <v>1011.12</v>
      </c>
      <c r="E93" s="2">
        <v>1016.63</v>
      </c>
      <c r="F93" s="2">
        <v>1007.25</v>
      </c>
      <c r="G93" s="3">
        <f t="shared" si="5"/>
        <v>-3.6239397260815487E-3</v>
      </c>
      <c r="H93" s="2">
        <f t="shared" si="3"/>
        <v>9.3799999999999955</v>
      </c>
      <c r="I93" s="3">
        <f t="shared" si="4"/>
        <v>9.276841522272327E-3</v>
      </c>
    </row>
    <row r="94" spans="2:9" x14ac:dyDescent="0.25">
      <c r="B94" s="1">
        <v>35304</v>
      </c>
      <c r="C94" s="2">
        <v>1014.68</v>
      </c>
      <c r="D94" s="2">
        <v>1009.9</v>
      </c>
      <c r="E94" s="2">
        <v>1016.59</v>
      </c>
      <c r="F94" s="2">
        <v>1006.02</v>
      </c>
      <c r="G94" s="3">
        <f t="shared" si="5"/>
        <v>5.589471180527994E-3</v>
      </c>
      <c r="H94" s="2">
        <f t="shared" si="3"/>
        <v>10.57000000000005</v>
      </c>
      <c r="I94" s="3">
        <f t="shared" si="4"/>
        <v>1.0466382810179276E-2</v>
      </c>
    </row>
    <row r="95" spans="2:9" x14ac:dyDescent="0.25">
      <c r="B95" s="1">
        <v>35305</v>
      </c>
      <c r="C95" s="2">
        <v>1027.0899999999999</v>
      </c>
      <c r="D95" s="2">
        <v>1015.01</v>
      </c>
      <c r="E95" s="2">
        <v>1029.49</v>
      </c>
      <c r="F95" s="2">
        <v>1015.01</v>
      </c>
      <c r="G95" s="3">
        <f t="shared" si="5"/>
        <v>1.2230456892813546E-2</v>
      </c>
      <c r="H95" s="2">
        <f t="shared" si="3"/>
        <v>14.480000000000018</v>
      </c>
      <c r="I95" s="3">
        <f t="shared" si="4"/>
        <v>1.4265869301780296E-2</v>
      </c>
    </row>
    <row r="96" spans="2:9" x14ac:dyDescent="0.25">
      <c r="B96" s="1">
        <v>35306</v>
      </c>
      <c r="C96" s="2">
        <v>1025.8599999999999</v>
      </c>
      <c r="D96" s="2">
        <v>1028.7</v>
      </c>
      <c r="E96" s="2">
        <v>1035.5899999999999</v>
      </c>
      <c r="F96" s="2">
        <v>1024.67</v>
      </c>
      <c r="G96" s="3">
        <f t="shared" si="5"/>
        <v>-1.1975581497239984E-3</v>
      </c>
      <c r="H96" s="2">
        <f t="shared" si="3"/>
        <v>10.919999999999845</v>
      </c>
      <c r="I96" s="3">
        <f t="shared" si="4"/>
        <v>1.0615339749197867E-2</v>
      </c>
    </row>
    <row r="97" spans="2:9" x14ac:dyDescent="0.25">
      <c r="B97" s="1">
        <v>35307</v>
      </c>
      <c r="C97" s="2">
        <v>1029</v>
      </c>
      <c r="D97" s="2">
        <v>1025.9100000000001</v>
      </c>
      <c r="E97" s="2">
        <v>1029.8900000000001</v>
      </c>
      <c r="F97" s="2">
        <v>1023.44</v>
      </c>
      <c r="G97" s="3">
        <f t="shared" si="5"/>
        <v>3.0608465092702986E-3</v>
      </c>
      <c r="H97" s="2">
        <f t="shared" si="3"/>
        <v>6.4500000000000455</v>
      </c>
      <c r="I97" s="3">
        <f t="shared" si="4"/>
        <v>6.2871012077083226E-3</v>
      </c>
    </row>
    <row r="98" spans="2:9" x14ac:dyDescent="0.25">
      <c r="B98" s="1">
        <v>35310</v>
      </c>
      <c r="C98" s="2">
        <v>1036.95</v>
      </c>
      <c r="D98" s="2">
        <v>1028.9100000000001</v>
      </c>
      <c r="E98" s="2">
        <v>1039.98</v>
      </c>
      <c r="F98" s="2">
        <v>1028.9100000000001</v>
      </c>
      <c r="G98" s="3">
        <f t="shared" si="5"/>
        <v>7.7259475218658391E-3</v>
      </c>
      <c r="H98" s="2">
        <f t="shared" si="3"/>
        <v>11.069999999999936</v>
      </c>
      <c r="I98" s="3">
        <f t="shared" si="4"/>
        <v>1.0758958509490563E-2</v>
      </c>
    </row>
    <row r="99" spans="2:9" x14ac:dyDescent="0.25">
      <c r="B99" s="1">
        <v>35311</v>
      </c>
      <c r="C99" s="2">
        <v>1023.27</v>
      </c>
      <c r="D99" s="2">
        <v>1039.8399999999999</v>
      </c>
      <c r="E99" s="2">
        <v>1046.51</v>
      </c>
      <c r="F99" s="2">
        <v>1017.46</v>
      </c>
      <c r="G99" s="3">
        <f t="shared" si="5"/>
        <v>-1.3192535802111993E-2</v>
      </c>
      <c r="H99" s="2">
        <f t="shared" si="3"/>
        <v>29.049999999999955</v>
      </c>
      <c r="I99" s="3">
        <f t="shared" si="4"/>
        <v>2.7936990306200914E-2</v>
      </c>
    </row>
    <row r="100" spans="2:9" x14ac:dyDescent="0.25">
      <c r="B100" s="1">
        <v>35312</v>
      </c>
      <c r="C100" s="2">
        <v>1026.4100000000001</v>
      </c>
      <c r="D100" s="2">
        <v>1022.37</v>
      </c>
      <c r="E100" s="2">
        <v>1028.26</v>
      </c>
      <c r="F100" s="2">
        <v>1012.15</v>
      </c>
      <c r="G100" s="3">
        <f t="shared" si="5"/>
        <v>3.0685938217676068E-3</v>
      </c>
      <c r="H100" s="2">
        <f t="shared" si="3"/>
        <v>16.110000000000014</v>
      </c>
      <c r="I100" s="3">
        <f t="shared" si="4"/>
        <v>1.5757504621614498E-2</v>
      </c>
    </row>
    <row r="101" spans="2:9" x14ac:dyDescent="0.25">
      <c r="B101" s="1">
        <v>35313</v>
      </c>
      <c r="C101" s="2">
        <v>1037.47</v>
      </c>
      <c r="D101" s="2">
        <v>1028.06</v>
      </c>
      <c r="E101" s="2">
        <v>1038.31</v>
      </c>
      <c r="F101" s="2">
        <v>1028.06</v>
      </c>
      <c r="G101" s="3">
        <f t="shared" si="5"/>
        <v>1.0775421128009111E-2</v>
      </c>
      <c r="H101" s="2">
        <f t="shared" si="3"/>
        <v>10.25</v>
      </c>
      <c r="I101" s="3">
        <f t="shared" si="4"/>
        <v>9.9702352002801406E-3</v>
      </c>
    </row>
    <row r="102" spans="2:9" x14ac:dyDescent="0.25">
      <c r="B102" s="1">
        <v>35314</v>
      </c>
      <c r="C102" s="2">
        <v>1032.0899999999999</v>
      </c>
      <c r="D102" s="2">
        <v>1038.04</v>
      </c>
      <c r="E102" s="2">
        <v>1038.79</v>
      </c>
      <c r="F102" s="2">
        <v>1029.96</v>
      </c>
      <c r="G102" s="3">
        <f t="shared" si="5"/>
        <v>-5.1856921163986325E-3</v>
      </c>
      <c r="H102" s="2">
        <f t="shared" si="3"/>
        <v>8.8299999999999272</v>
      </c>
      <c r="I102" s="3">
        <f t="shared" si="4"/>
        <v>8.5064159377287261E-3</v>
      </c>
    </row>
    <row r="103" spans="2:9" x14ac:dyDescent="0.25">
      <c r="B103" s="1">
        <v>35317</v>
      </c>
      <c r="C103" s="2">
        <v>1013.88</v>
      </c>
      <c r="D103" s="2">
        <v>1030.42</v>
      </c>
      <c r="E103" s="2">
        <v>1031.22</v>
      </c>
      <c r="F103" s="2">
        <v>1012.34</v>
      </c>
      <c r="G103" s="3">
        <f t="shared" si="5"/>
        <v>-1.7643810132837223E-2</v>
      </c>
      <c r="H103" s="2">
        <f t="shared" si="3"/>
        <v>18.879999999999995</v>
      </c>
      <c r="I103" s="3">
        <f t="shared" si="4"/>
        <v>1.8322625725432341E-2</v>
      </c>
    </row>
    <row r="104" spans="2:9" x14ac:dyDescent="0.25">
      <c r="B104" s="1">
        <v>35318</v>
      </c>
      <c r="C104" s="2">
        <v>1001.15</v>
      </c>
      <c r="D104" s="2">
        <v>1014.87</v>
      </c>
      <c r="E104" s="2">
        <v>1014.87</v>
      </c>
      <c r="F104">
        <v>996.75</v>
      </c>
      <c r="G104" s="3">
        <f t="shared" si="5"/>
        <v>-1.2555726515958487E-2</v>
      </c>
      <c r="H104" s="2">
        <f t="shared" si="3"/>
        <v>18.120000000000005</v>
      </c>
      <c r="I104" s="3">
        <f t="shared" si="4"/>
        <v>1.7854503532472144E-2</v>
      </c>
    </row>
    <row r="105" spans="2:9" x14ac:dyDescent="0.25">
      <c r="B105" s="1">
        <v>35319</v>
      </c>
      <c r="C105">
        <v>991.34</v>
      </c>
      <c r="D105" s="2">
        <v>1001.86</v>
      </c>
      <c r="E105" s="2">
        <v>1008.79</v>
      </c>
      <c r="F105">
        <v>989.71</v>
      </c>
      <c r="G105" s="3">
        <f t="shared" si="5"/>
        <v>-9.7987314588222629E-3</v>
      </c>
      <c r="H105" s="2">
        <f t="shared" si="3"/>
        <v>19.079999999999927</v>
      </c>
      <c r="I105" s="3">
        <f t="shared" si="4"/>
        <v>1.9044577086618816E-2</v>
      </c>
    </row>
    <row r="106" spans="2:9" x14ac:dyDescent="0.25">
      <c r="B106" s="1">
        <v>35320</v>
      </c>
      <c r="C106">
        <v>989.28</v>
      </c>
      <c r="D106">
        <v>990.88</v>
      </c>
      <c r="E106">
        <v>992.68</v>
      </c>
      <c r="F106">
        <v>981.01</v>
      </c>
      <c r="G106" s="3">
        <f t="shared" si="5"/>
        <v>-2.0779954405149015E-3</v>
      </c>
      <c r="H106" s="2">
        <f t="shared" si="3"/>
        <v>11.669999999999959</v>
      </c>
      <c r="I106" s="3">
        <f t="shared" si="4"/>
        <v>1.1777409979008517E-2</v>
      </c>
    </row>
    <row r="107" spans="2:9" x14ac:dyDescent="0.25">
      <c r="B107" s="1">
        <v>35321</v>
      </c>
      <c r="C107">
        <v>980.72</v>
      </c>
      <c r="D107">
        <v>991.65</v>
      </c>
      <c r="E107">
        <v>991.86</v>
      </c>
      <c r="F107">
        <v>979.8</v>
      </c>
      <c r="G107" s="3">
        <f t="shared" si="5"/>
        <v>-8.6527575610544361E-3</v>
      </c>
      <c r="H107" s="2">
        <f t="shared" si="3"/>
        <v>12.060000000000059</v>
      </c>
      <c r="I107" s="3">
        <f t="shared" si="4"/>
        <v>1.2161548933595582E-2</v>
      </c>
    </row>
    <row r="108" spans="2:9" x14ac:dyDescent="0.25">
      <c r="B108" s="1">
        <v>35324</v>
      </c>
      <c r="C108">
        <v>962.27</v>
      </c>
      <c r="D108">
        <v>980.69</v>
      </c>
      <c r="E108">
        <v>980.69</v>
      </c>
      <c r="F108">
        <v>959.65</v>
      </c>
      <c r="G108" s="3">
        <f t="shared" si="5"/>
        <v>-1.881270903010035E-2</v>
      </c>
      <c r="H108" s="2">
        <f t="shared" si="3"/>
        <v>21.040000000000077</v>
      </c>
      <c r="I108" s="3">
        <f t="shared" si="4"/>
        <v>2.1454282189071038E-2</v>
      </c>
    </row>
    <row r="109" spans="2:9" x14ac:dyDescent="0.25">
      <c r="B109" s="1">
        <v>35325</v>
      </c>
      <c r="C109">
        <v>971.21</v>
      </c>
      <c r="D109">
        <v>965.02</v>
      </c>
      <c r="E109">
        <v>975.19</v>
      </c>
      <c r="F109">
        <v>962.93</v>
      </c>
      <c r="G109" s="3">
        <f t="shared" si="5"/>
        <v>9.2905317634344176E-3</v>
      </c>
      <c r="H109" s="2">
        <f t="shared" si="3"/>
        <v>12.260000000000105</v>
      </c>
      <c r="I109" s="3">
        <f t="shared" si="4"/>
        <v>1.2704399908810289E-2</v>
      </c>
    </row>
    <row r="110" spans="2:9" x14ac:dyDescent="0.25">
      <c r="B110" s="1">
        <v>35326</v>
      </c>
      <c r="C110">
        <v>994.43</v>
      </c>
      <c r="D110">
        <v>972.73</v>
      </c>
      <c r="E110">
        <v>996.97</v>
      </c>
      <c r="F110">
        <v>969.67</v>
      </c>
      <c r="G110" s="3">
        <f t="shared" si="5"/>
        <v>2.3908320548593931E-2</v>
      </c>
      <c r="H110" s="2">
        <f t="shared" si="3"/>
        <v>27.300000000000068</v>
      </c>
      <c r="I110" s="3">
        <f t="shared" si="4"/>
        <v>2.8065341872873323E-2</v>
      </c>
    </row>
    <row r="111" spans="2:9" x14ac:dyDescent="0.25">
      <c r="B111" s="1">
        <v>35327</v>
      </c>
      <c r="C111">
        <v>977.76</v>
      </c>
      <c r="D111">
        <v>996.41</v>
      </c>
      <c r="E111" s="2">
        <v>1001.25</v>
      </c>
      <c r="F111">
        <v>975.85</v>
      </c>
      <c r="G111" s="3">
        <f t="shared" si="5"/>
        <v>-1.6763371981939335E-2</v>
      </c>
      <c r="H111" s="2">
        <f t="shared" si="3"/>
        <v>25.399999999999977</v>
      </c>
      <c r="I111" s="3">
        <f t="shared" si="4"/>
        <v>2.5491514537188485E-2</v>
      </c>
    </row>
    <row r="112" spans="2:9" x14ac:dyDescent="0.25">
      <c r="B112" s="1">
        <v>35328</v>
      </c>
      <c r="C112">
        <v>977.03</v>
      </c>
      <c r="D112">
        <v>979.14</v>
      </c>
      <c r="E112">
        <v>984.45</v>
      </c>
      <c r="F112">
        <v>973.09</v>
      </c>
      <c r="G112" s="3">
        <f t="shared" si="5"/>
        <v>-7.4660448371788313E-4</v>
      </c>
      <c r="H112" s="2">
        <f t="shared" si="3"/>
        <v>11.360000000000014</v>
      </c>
      <c r="I112" s="3">
        <f t="shared" si="4"/>
        <v>1.1602018097514159E-2</v>
      </c>
    </row>
    <row r="113" spans="2:9" x14ac:dyDescent="0.25">
      <c r="B113" s="1">
        <v>35331</v>
      </c>
      <c r="C113">
        <v>968.84</v>
      </c>
      <c r="D113">
        <v>976.08</v>
      </c>
      <c r="E113">
        <v>976.08</v>
      </c>
      <c r="F113">
        <v>963.19</v>
      </c>
      <c r="G113" s="3">
        <f t="shared" si="5"/>
        <v>-8.3825471070488877E-3</v>
      </c>
      <c r="H113" s="2">
        <f t="shared" si="3"/>
        <v>12.889999999999986</v>
      </c>
      <c r="I113" s="3">
        <f t="shared" si="4"/>
        <v>1.3205884763543957E-2</v>
      </c>
    </row>
    <row r="114" spans="2:9" x14ac:dyDescent="0.25">
      <c r="B114" s="1">
        <v>35332</v>
      </c>
      <c r="C114">
        <v>968.91</v>
      </c>
      <c r="D114">
        <v>968.78</v>
      </c>
      <c r="E114">
        <v>972.74</v>
      </c>
      <c r="F114">
        <v>965.69</v>
      </c>
      <c r="G114" s="3">
        <f t="shared" si="5"/>
        <v>7.2251352132290947E-5</v>
      </c>
      <c r="H114" s="2">
        <f t="shared" si="3"/>
        <v>7.0499999999999545</v>
      </c>
      <c r="I114" s="3">
        <f t="shared" si="4"/>
        <v>7.2771939965729626E-3</v>
      </c>
    </row>
    <row r="115" spans="2:9" x14ac:dyDescent="0.25">
      <c r="B115" s="1">
        <v>35333</v>
      </c>
      <c r="C115">
        <v>971.29</v>
      </c>
      <c r="D115">
        <v>967.98</v>
      </c>
      <c r="E115">
        <v>981.75</v>
      </c>
      <c r="F115">
        <v>967.98</v>
      </c>
      <c r="G115" s="3">
        <f t="shared" si="5"/>
        <v>2.456368496557948E-3</v>
      </c>
      <c r="H115" s="2">
        <f t="shared" si="3"/>
        <v>13.769999999999982</v>
      </c>
      <c r="I115" s="3">
        <f t="shared" si="4"/>
        <v>1.4225500526870371E-2</v>
      </c>
    </row>
    <row r="116" spans="2:9" x14ac:dyDescent="0.25">
      <c r="B116" s="1">
        <v>35334</v>
      </c>
      <c r="C116">
        <v>959.31</v>
      </c>
      <c r="D116">
        <v>970.76</v>
      </c>
      <c r="E116">
        <v>970.89</v>
      </c>
      <c r="F116">
        <v>955.6</v>
      </c>
      <c r="G116" s="3">
        <f t="shared" si="5"/>
        <v>-1.233411236602866E-2</v>
      </c>
      <c r="H116" s="2">
        <f t="shared" si="3"/>
        <v>15.289999999999964</v>
      </c>
      <c r="I116" s="3">
        <f t="shared" si="4"/>
        <v>1.5750545963986944E-2</v>
      </c>
    </row>
    <row r="117" spans="2:9" x14ac:dyDescent="0.25">
      <c r="B117" s="1">
        <v>35335</v>
      </c>
      <c r="C117">
        <v>947.23</v>
      </c>
      <c r="D117">
        <v>958.79</v>
      </c>
      <c r="E117">
        <v>958.83</v>
      </c>
      <c r="F117">
        <v>942.05</v>
      </c>
      <c r="G117" s="3">
        <f t="shared" si="5"/>
        <v>-1.259238410941188E-2</v>
      </c>
      <c r="H117" s="2">
        <f t="shared" si="3"/>
        <v>16.780000000000086</v>
      </c>
      <c r="I117" s="3">
        <f t="shared" si="4"/>
        <v>1.7501225502977804E-2</v>
      </c>
    </row>
    <row r="118" spans="2:9" x14ac:dyDescent="0.25">
      <c r="B118" s="1">
        <v>35338</v>
      </c>
      <c r="C118">
        <v>943.96</v>
      </c>
      <c r="D118">
        <v>945.68</v>
      </c>
      <c r="E118">
        <v>948.41</v>
      </c>
      <c r="F118">
        <v>932.27</v>
      </c>
      <c r="G118" s="3">
        <f t="shared" si="5"/>
        <v>-3.4521710672170691E-3</v>
      </c>
      <c r="H118" s="2">
        <f t="shared" si="3"/>
        <v>16.139999999999986</v>
      </c>
      <c r="I118" s="3">
        <f t="shared" si="4"/>
        <v>1.7067084003045414E-2</v>
      </c>
    </row>
    <row r="119" spans="2:9" x14ac:dyDescent="0.25">
      <c r="B119" s="1">
        <v>35339</v>
      </c>
      <c r="C119">
        <v>936.27</v>
      </c>
      <c r="D119">
        <v>944.51</v>
      </c>
      <c r="E119">
        <v>945.66</v>
      </c>
      <c r="F119">
        <v>933.56</v>
      </c>
      <c r="G119" s="3">
        <f t="shared" si="5"/>
        <v>-8.1465316326964077E-3</v>
      </c>
      <c r="H119" s="2">
        <f t="shared" si="3"/>
        <v>12.100000000000023</v>
      </c>
      <c r="I119" s="3">
        <f t="shared" si="4"/>
        <v>1.2810875480407855E-2</v>
      </c>
    </row>
    <row r="120" spans="2:9" x14ac:dyDescent="0.25">
      <c r="B120" s="1">
        <v>35341</v>
      </c>
      <c r="C120">
        <v>924.92</v>
      </c>
      <c r="D120">
        <v>937.16</v>
      </c>
      <c r="E120">
        <v>943.38</v>
      </c>
      <c r="F120">
        <v>921.18</v>
      </c>
      <c r="G120" s="3">
        <f t="shared" si="5"/>
        <v>-1.212257148044904E-2</v>
      </c>
      <c r="H120" s="2">
        <f t="shared" si="3"/>
        <v>22.200000000000045</v>
      </c>
      <c r="I120" s="3">
        <f t="shared" si="4"/>
        <v>2.3688591062358665E-2</v>
      </c>
    </row>
    <row r="121" spans="2:9" x14ac:dyDescent="0.25">
      <c r="B121" s="1">
        <v>35342</v>
      </c>
      <c r="C121">
        <v>904.12</v>
      </c>
      <c r="D121">
        <v>924.93</v>
      </c>
      <c r="E121">
        <v>925.93</v>
      </c>
      <c r="F121">
        <v>898.47</v>
      </c>
      <c r="G121" s="3">
        <f t="shared" si="5"/>
        <v>-2.2488431431907596E-2</v>
      </c>
      <c r="H121" s="2">
        <f t="shared" si="3"/>
        <v>27.459999999999923</v>
      </c>
      <c r="I121" s="3">
        <f t="shared" si="4"/>
        <v>2.9688733201431377E-2</v>
      </c>
    </row>
    <row r="122" spans="2:9" x14ac:dyDescent="0.25">
      <c r="B122" s="1">
        <v>35345</v>
      </c>
      <c r="C122">
        <v>874</v>
      </c>
      <c r="D122">
        <v>905.76</v>
      </c>
      <c r="E122">
        <v>905.76</v>
      </c>
      <c r="F122">
        <v>859.65</v>
      </c>
      <c r="G122" s="3">
        <f t="shared" si="5"/>
        <v>-3.3314161836924261E-2</v>
      </c>
      <c r="H122" s="2">
        <f t="shared" si="3"/>
        <v>46.110000000000014</v>
      </c>
      <c r="I122" s="3">
        <f t="shared" si="4"/>
        <v>5.0907525172231072E-2</v>
      </c>
    </row>
    <row r="123" spans="2:9" x14ac:dyDescent="0.25">
      <c r="B123" s="1">
        <v>35346</v>
      </c>
      <c r="C123">
        <v>873.9</v>
      </c>
      <c r="D123">
        <v>872.57</v>
      </c>
      <c r="E123">
        <v>876.78</v>
      </c>
      <c r="F123">
        <v>850.52</v>
      </c>
      <c r="G123" s="3">
        <f t="shared" si="5"/>
        <v>-1.1441647597254523E-4</v>
      </c>
      <c r="H123" s="2">
        <f t="shared" si="3"/>
        <v>26.259999999999991</v>
      </c>
      <c r="I123" s="3">
        <f t="shared" si="4"/>
        <v>3.0095006704333165E-2</v>
      </c>
    </row>
    <row r="124" spans="2:9" x14ac:dyDescent="0.25">
      <c r="B124" s="1">
        <v>35347</v>
      </c>
      <c r="C124">
        <v>874.72</v>
      </c>
      <c r="D124">
        <v>873.18</v>
      </c>
      <c r="E124">
        <v>875.85</v>
      </c>
      <c r="F124">
        <v>859.35</v>
      </c>
      <c r="G124" s="3">
        <f t="shared" si="5"/>
        <v>9.3832246252434359E-4</v>
      </c>
      <c r="H124" s="2">
        <f t="shared" si="3"/>
        <v>16.5</v>
      </c>
      <c r="I124" s="3">
        <f t="shared" si="4"/>
        <v>1.889644746787604E-2</v>
      </c>
    </row>
    <row r="125" spans="2:9" x14ac:dyDescent="0.25">
      <c r="B125" s="1">
        <v>35348</v>
      </c>
      <c r="C125">
        <v>898.42</v>
      </c>
      <c r="D125">
        <v>874.2</v>
      </c>
      <c r="E125">
        <v>900.53</v>
      </c>
      <c r="F125">
        <v>872.83</v>
      </c>
      <c r="G125" s="3">
        <f t="shared" si="5"/>
        <v>2.7094384488750567E-2</v>
      </c>
      <c r="H125" s="2">
        <f t="shared" si="3"/>
        <v>27.699999999999932</v>
      </c>
      <c r="I125" s="3">
        <f t="shared" si="4"/>
        <v>3.1686113017616029E-2</v>
      </c>
    </row>
    <row r="126" spans="2:9" x14ac:dyDescent="0.25">
      <c r="B126" s="1">
        <v>35349</v>
      </c>
      <c r="C126">
        <v>908.79</v>
      </c>
      <c r="D126">
        <v>900.11</v>
      </c>
      <c r="E126">
        <v>915.59</v>
      </c>
      <c r="F126">
        <v>897.6</v>
      </c>
      <c r="G126" s="3">
        <f t="shared" si="5"/>
        <v>1.1542485697112692E-2</v>
      </c>
      <c r="H126" s="2">
        <f t="shared" si="3"/>
        <v>17.990000000000009</v>
      </c>
      <c r="I126" s="3">
        <f t="shared" si="4"/>
        <v>1.9986446101032104E-2</v>
      </c>
    </row>
    <row r="127" spans="2:9" x14ac:dyDescent="0.25">
      <c r="B127" s="1">
        <v>35352</v>
      </c>
      <c r="C127">
        <v>892.05</v>
      </c>
      <c r="D127">
        <v>907.26</v>
      </c>
      <c r="E127">
        <v>907.26</v>
      </c>
      <c r="F127">
        <v>890.71</v>
      </c>
      <c r="G127" s="3">
        <f t="shared" si="5"/>
        <v>-1.8420097052124218E-2</v>
      </c>
      <c r="H127" s="2">
        <f t="shared" si="3"/>
        <v>16.549999999999955</v>
      </c>
      <c r="I127" s="3">
        <f t="shared" si="4"/>
        <v>1.8241738862068157E-2</v>
      </c>
    </row>
    <row r="128" spans="2:9" x14ac:dyDescent="0.25">
      <c r="B128" s="1">
        <v>35353</v>
      </c>
      <c r="C128">
        <v>897.77</v>
      </c>
      <c r="D128">
        <v>892.07</v>
      </c>
      <c r="E128">
        <v>902.74</v>
      </c>
      <c r="F128">
        <v>885.23</v>
      </c>
      <c r="G128" s="3">
        <f t="shared" si="5"/>
        <v>6.4121966257497665E-3</v>
      </c>
      <c r="H128" s="2">
        <f t="shared" si="3"/>
        <v>17.509999999999991</v>
      </c>
      <c r="I128" s="3">
        <f t="shared" si="4"/>
        <v>1.9628504489557982E-2</v>
      </c>
    </row>
    <row r="129" spans="2:9" x14ac:dyDescent="0.25">
      <c r="B129" s="1">
        <v>35354</v>
      </c>
      <c r="C129">
        <v>892.77</v>
      </c>
      <c r="D129">
        <v>896.63</v>
      </c>
      <c r="E129">
        <v>905.11</v>
      </c>
      <c r="F129">
        <v>891.16</v>
      </c>
      <c r="G129" s="3">
        <f t="shared" si="5"/>
        <v>-5.5693551800573005E-3</v>
      </c>
      <c r="H129" s="2">
        <f t="shared" si="3"/>
        <v>13.950000000000045</v>
      </c>
      <c r="I129" s="3">
        <f t="shared" si="4"/>
        <v>1.5558257029097895E-2</v>
      </c>
    </row>
    <row r="130" spans="2:9" x14ac:dyDescent="0.25">
      <c r="B130" s="1">
        <v>35355</v>
      </c>
      <c r="C130">
        <v>892.07</v>
      </c>
      <c r="D130">
        <v>891.42</v>
      </c>
      <c r="E130">
        <v>893.33</v>
      </c>
      <c r="F130">
        <v>880.76</v>
      </c>
      <c r="G130" s="3">
        <f t="shared" si="5"/>
        <v>-7.8407652586887089E-4</v>
      </c>
      <c r="H130" s="2">
        <f t="shared" si="3"/>
        <v>12.57000000000005</v>
      </c>
      <c r="I130" s="3">
        <f t="shared" si="4"/>
        <v>1.4101097125933959E-2</v>
      </c>
    </row>
    <row r="131" spans="2:9" x14ac:dyDescent="0.25">
      <c r="B131" s="1">
        <v>35356</v>
      </c>
      <c r="C131">
        <v>895</v>
      </c>
      <c r="D131">
        <v>892.61</v>
      </c>
      <c r="E131">
        <v>899.51</v>
      </c>
      <c r="F131">
        <v>888.61</v>
      </c>
      <c r="G131" s="3">
        <f t="shared" si="5"/>
        <v>3.2844956113309287E-3</v>
      </c>
      <c r="H131" s="2">
        <f t="shared" si="3"/>
        <v>10.899999999999977</v>
      </c>
      <c r="I131" s="3">
        <f t="shared" si="4"/>
        <v>1.2211380110014425E-2</v>
      </c>
    </row>
    <row r="132" spans="2:9" x14ac:dyDescent="0.25">
      <c r="B132" s="1">
        <v>35360</v>
      </c>
      <c r="C132">
        <v>919.09</v>
      </c>
      <c r="D132">
        <v>896.87</v>
      </c>
      <c r="E132">
        <v>924.83</v>
      </c>
      <c r="F132">
        <v>896.87</v>
      </c>
      <c r="G132" s="3">
        <f t="shared" si="5"/>
        <v>2.6916201117318517E-2</v>
      </c>
      <c r="H132" s="2">
        <f t="shared" si="3"/>
        <v>27.960000000000036</v>
      </c>
      <c r="I132" s="3">
        <f t="shared" si="4"/>
        <v>3.11750866903788E-2</v>
      </c>
    </row>
    <row r="133" spans="2:9" x14ac:dyDescent="0.25">
      <c r="B133" s="1">
        <v>35361</v>
      </c>
      <c r="C133">
        <v>951.29</v>
      </c>
      <c r="D133">
        <v>924.2</v>
      </c>
      <c r="E133">
        <v>953.44</v>
      </c>
      <c r="F133">
        <v>924.2</v>
      </c>
      <c r="G133" s="3">
        <f t="shared" si="5"/>
        <v>3.5034653842387575E-2</v>
      </c>
      <c r="H133" s="2">
        <f t="shared" ref="H133:H196" si="6">E133-F133</f>
        <v>29.240000000000009</v>
      </c>
      <c r="I133" s="3">
        <f t="shared" si="4"/>
        <v>3.1638173555507472E-2</v>
      </c>
    </row>
    <row r="134" spans="2:9" x14ac:dyDescent="0.25">
      <c r="B134" s="1">
        <v>35362</v>
      </c>
      <c r="C134">
        <v>932.77</v>
      </c>
      <c r="D134">
        <v>953.48</v>
      </c>
      <c r="E134">
        <v>956.45</v>
      </c>
      <c r="F134">
        <v>928.45</v>
      </c>
      <c r="G134" s="3">
        <f t="shared" si="5"/>
        <v>-1.9468300938725314E-2</v>
      </c>
      <c r="H134" s="2">
        <f t="shared" si="6"/>
        <v>28</v>
      </c>
      <c r="I134" s="3">
        <f t="shared" ref="I134:I197" si="7">H134/D134</f>
        <v>2.936611150732055E-2</v>
      </c>
    </row>
    <row r="135" spans="2:9" x14ac:dyDescent="0.25">
      <c r="B135" s="1">
        <v>35363</v>
      </c>
      <c r="C135">
        <v>936.95</v>
      </c>
      <c r="D135">
        <v>929.42</v>
      </c>
      <c r="E135">
        <v>939.73</v>
      </c>
      <c r="F135">
        <v>929.42</v>
      </c>
      <c r="G135" s="3">
        <f t="shared" ref="G135:G198" si="8">C135/C134-1</f>
        <v>4.4812761988486383E-3</v>
      </c>
      <c r="H135" s="2">
        <f t="shared" si="6"/>
        <v>10.310000000000059</v>
      </c>
      <c r="I135" s="3">
        <f t="shared" si="7"/>
        <v>1.1092939682813002E-2</v>
      </c>
    </row>
    <row r="136" spans="2:9" x14ac:dyDescent="0.25">
      <c r="B136" s="1">
        <v>35366</v>
      </c>
      <c r="C136">
        <v>935.89</v>
      </c>
      <c r="D136">
        <v>936.84</v>
      </c>
      <c r="E136">
        <v>948.37</v>
      </c>
      <c r="F136">
        <v>934.64</v>
      </c>
      <c r="G136" s="3">
        <f t="shared" si="8"/>
        <v>-1.1313303804899588E-3</v>
      </c>
      <c r="H136" s="2">
        <f t="shared" si="6"/>
        <v>13.730000000000018</v>
      </c>
      <c r="I136" s="3">
        <f t="shared" si="7"/>
        <v>1.4655650911575101E-2</v>
      </c>
    </row>
    <row r="137" spans="2:9" x14ac:dyDescent="0.25">
      <c r="B137" s="1">
        <v>35367</v>
      </c>
      <c r="C137">
        <v>926.39</v>
      </c>
      <c r="D137">
        <v>936.78</v>
      </c>
      <c r="E137">
        <v>936.78</v>
      </c>
      <c r="F137">
        <v>922.89</v>
      </c>
      <c r="G137" s="3">
        <f t="shared" si="8"/>
        <v>-1.0150765581425136E-2</v>
      </c>
      <c r="H137" s="2">
        <f t="shared" si="6"/>
        <v>13.889999999999986</v>
      </c>
      <c r="I137" s="3">
        <f t="shared" si="7"/>
        <v>1.4827387433548951E-2</v>
      </c>
    </row>
    <row r="138" spans="2:9" x14ac:dyDescent="0.25">
      <c r="B138" s="1">
        <v>35369</v>
      </c>
      <c r="C138">
        <v>909.29</v>
      </c>
      <c r="D138">
        <v>927.31</v>
      </c>
      <c r="E138">
        <v>927.31</v>
      </c>
      <c r="F138">
        <v>897.23</v>
      </c>
      <c r="G138" s="3">
        <f t="shared" si="8"/>
        <v>-1.8458748475264186E-2</v>
      </c>
      <c r="H138" s="2">
        <f t="shared" si="6"/>
        <v>30.079999999999927</v>
      </c>
      <c r="I138" s="3">
        <f t="shared" si="7"/>
        <v>3.2437911809427192E-2</v>
      </c>
    </row>
    <row r="139" spans="2:9" x14ac:dyDescent="0.25">
      <c r="B139" s="1">
        <v>35370</v>
      </c>
      <c r="C139">
        <v>906.68</v>
      </c>
      <c r="D139">
        <v>910.32</v>
      </c>
      <c r="E139">
        <v>915.39</v>
      </c>
      <c r="F139">
        <v>904.95</v>
      </c>
      <c r="G139" s="3">
        <f t="shared" si="8"/>
        <v>-2.8703713886658599E-3</v>
      </c>
      <c r="H139" s="2">
        <f t="shared" si="6"/>
        <v>10.439999999999941</v>
      </c>
      <c r="I139" s="3">
        <f t="shared" si="7"/>
        <v>1.1468494595307079E-2</v>
      </c>
    </row>
    <row r="140" spans="2:9" x14ac:dyDescent="0.25">
      <c r="B140" s="1">
        <v>35373</v>
      </c>
      <c r="C140">
        <v>890.13</v>
      </c>
      <c r="D140">
        <v>906.56</v>
      </c>
      <c r="E140">
        <v>906.56</v>
      </c>
      <c r="F140">
        <v>886.68</v>
      </c>
      <c r="G140" s="3">
        <f t="shared" si="8"/>
        <v>-1.8253408038117036E-2</v>
      </c>
      <c r="H140" s="2">
        <f t="shared" si="6"/>
        <v>19.879999999999995</v>
      </c>
      <c r="I140" s="3">
        <f t="shared" si="7"/>
        <v>2.1929050476526647E-2</v>
      </c>
    </row>
    <row r="141" spans="2:9" x14ac:dyDescent="0.25">
      <c r="B141" s="1">
        <v>35374</v>
      </c>
      <c r="C141">
        <v>881.57</v>
      </c>
      <c r="D141">
        <v>890.19</v>
      </c>
      <c r="E141">
        <v>894.4</v>
      </c>
      <c r="F141">
        <v>878.29</v>
      </c>
      <c r="G141" s="3">
        <f t="shared" si="8"/>
        <v>-9.616572860143946E-3</v>
      </c>
      <c r="H141" s="2">
        <f t="shared" si="6"/>
        <v>16.110000000000014</v>
      </c>
      <c r="I141" s="3">
        <f t="shared" si="7"/>
        <v>1.809726013547671E-2</v>
      </c>
    </row>
    <row r="142" spans="2:9" x14ac:dyDescent="0.25">
      <c r="B142" s="1">
        <v>35375</v>
      </c>
      <c r="C142">
        <v>866.57</v>
      </c>
      <c r="D142">
        <v>879.81</v>
      </c>
      <c r="E142">
        <v>880.15</v>
      </c>
      <c r="F142">
        <v>851.77</v>
      </c>
      <c r="G142" s="3">
        <f t="shared" si="8"/>
        <v>-1.7015098063681844E-2</v>
      </c>
      <c r="H142" s="2">
        <f t="shared" si="6"/>
        <v>28.379999999999995</v>
      </c>
      <c r="I142" s="3">
        <f t="shared" si="7"/>
        <v>3.2256964571896203E-2</v>
      </c>
    </row>
    <row r="143" spans="2:9" x14ac:dyDescent="0.25">
      <c r="B143" s="1">
        <v>35376</v>
      </c>
      <c r="C143">
        <v>874.89</v>
      </c>
      <c r="D143">
        <v>867.24</v>
      </c>
      <c r="E143">
        <v>876.25</v>
      </c>
      <c r="F143">
        <v>866.76</v>
      </c>
      <c r="G143" s="3">
        <f t="shared" si="8"/>
        <v>9.601070888676011E-3</v>
      </c>
      <c r="H143" s="2">
        <f t="shared" si="6"/>
        <v>9.4900000000000091</v>
      </c>
      <c r="I143" s="3">
        <f t="shared" si="7"/>
        <v>1.0942760942760954E-2</v>
      </c>
    </row>
    <row r="144" spans="2:9" x14ac:dyDescent="0.25">
      <c r="B144" s="1">
        <v>35377</v>
      </c>
      <c r="C144">
        <v>884.64</v>
      </c>
      <c r="D144">
        <v>876.11</v>
      </c>
      <c r="E144">
        <v>885.68</v>
      </c>
      <c r="F144">
        <v>876.11</v>
      </c>
      <c r="G144" s="3">
        <f t="shared" si="8"/>
        <v>1.1144258135308505E-2</v>
      </c>
      <c r="H144" s="2">
        <f t="shared" si="6"/>
        <v>9.5699999999999363</v>
      </c>
      <c r="I144" s="3">
        <f t="shared" si="7"/>
        <v>1.0923285888758188E-2</v>
      </c>
    </row>
    <row r="145" spans="2:9" x14ac:dyDescent="0.25">
      <c r="B145" s="1">
        <v>35379</v>
      </c>
      <c r="C145">
        <v>880.36</v>
      </c>
      <c r="D145">
        <v>885.21</v>
      </c>
      <c r="E145">
        <v>886.84</v>
      </c>
      <c r="F145">
        <v>878.57</v>
      </c>
      <c r="G145" s="3">
        <f t="shared" si="8"/>
        <v>-4.8381262434435968E-3</v>
      </c>
      <c r="H145" s="2">
        <f t="shared" si="6"/>
        <v>8.2699999999999818</v>
      </c>
      <c r="I145" s="3">
        <f t="shared" si="7"/>
        <v>9.3424159239050408E-3</v>
      </c>
    </row>
    <row r="146" spans="2:9" x14ac:dyDescent="0.25">
      <c r="B146" s="1">
        <v>35380</v>
      </c>
      <c r="C146">
        <v>891.27</v>
      </c>
      <c r="D146">
        <v>879.28</v>
      </c>
      <c r="E146">
        <v>895.64</v>
      </c>
      <c r="F146">
        <v>876.83</v>
      </c>
      <c r="G146" s="3">
        <f t="shared" si="8"/>
        <v>1.2392657549184394E-2</v>
      </c>
      <c r="H146" s="2">
        <f t="shared" si="6"/>
        <v>18.809999999999945</v>
      </c>
      <c r="I146" s="3">
        <f t="shared" si="7"/>
        <v>2.1392502956964727E-2</v>
      </c>
    </row>
    <row r="147" spans="2:9" x14ac:dyDescent="0.25">
      <c r="B147" s="1">
        <v>35382</v>
      </c>
      <c r="C147">
        <v>896.84</v>
      </c>
      <c r="D147">
        <v>895.98</v>
      </c>
      <c r="E147">
        <v>898.54</v>
      </c>
      <c r="F147">
        <v>889.47</v>
      </c>
      <c r="G147" s="3">
        <f t="shared" si="8"/>
        <v>6.2495091274250569E-3</v>
      </c>
      <c r="H147" s="2">
        <f t="shared" si="6"/>
        <v>9.0699999999999363</v>
      </c>
      <c r="I147" s="3">
        <f t="shared" si="7"/>
        <v>1.0122993816826197E-2</v>
      </c>
    </row>
    <row r="148" spans="2:9" x14ac:dyDescent="0.25">
      <c r="B148" s="1">
        <v>35383</v>
      </c>
      <c r="C148">
        <v>889.39</v>
      </c>
      <c r="D148">
        <v>895.67</v>
      </c>
      <c r="E148">
        <v>897.92</v>
      </c>
      <c r="F148">
        <v>885.21</v>
      </c>
      <c r="G148" s="3">
        <f t="shared" si="8"/>
        <v>-8.3069443824985711E-3</v>
      </c>
      <c r="H148" s="2">
        <f t="shared" si="6"/>
        <v>12.709999999999923</v>
      </c>
      <c r="I148" s="3">
        <f t="shared" si="7"/>
        <v>1.4190494266861593E-2</v>
      </c>
    </row>
    <row r="149" spans="2:9" x14ac:dyDescent="0.25">
      <c r="B149" s="1">
        <v>35384</v>
      </c>
      <c r="C149">
        <v>894.31</v>
      </c>
      <c r="D149">
        <v>888.58</v>
      </c>
      <c r="E149">
        <v>894.62</v>
      </c>
      <c r="F149">
        <v>885.62</v>
      </c>
      <c r="G149" s="3">
        <f t="shared" si="8"/>
        <v>5.5318814018596729E-3</v>
      </c>
      <c r="H149" s="2">
        <f t="shared" si="6"/>
        <v>9</v>
      </c>
      <c r="I149" s="3">
        <f t="shared" si="7"/>
        <v>1.0128519660582052E-2</v>
      </c>
    </row>
    <row r="150" spans="2:9" x14ac:dyDescent="0.25">
      <c r="B150" s="1">
        <v>35387</v>
      </c>
      <c r="C150">
        <v>904.05</v>
      </c>
      <c r="D150">
        <v>893.95</v>
      </c>
      <c r="E150">
        <v>904.89</v>
      </c>
      <c r="F150">
        <v>893.95</v>
      </c>
      <c r="G150" s="3">
        <f t="shared" si="8"/>
        <v>1.0891078037816859E-2</v>
      </c>
      <c r="H150" s="2">
        <f t="shared" si="6"/>
        <v>10.939999999999941</v>
      </c>
      <c r="I150" s="3">
        <f t="shared" si="7"/>
        <v>1.2237820907209509E-2</v>
      </c>
    </row>
    <row r="151" spans="2:9" x14ac:dyDescent="0.25">
      <c r="B151" s="1">
        <v>35388</v>
      </c>
      <c r="C151">
        <v>897.58</v>
      </c>
      <c r="D151">
        <v>904.5</v>
      </c>
      <c r="E151">
        <v>905.61</v>
      </c>
      <c r="F151">
        <v>895.86</v>
      </c>
      <c r="G151" s="3">
        <f t="shared" si="8"/>
        <v>-7.1566838117359532E-3</v>
      </c>
      <c r="H151" s="2">
        <f t="shared" si="6"/>
        <v>9.75</v>
      </c>
      <c r="I151" s="3">
        <f t="shared" si="7"/>
        <v>1.077943615257048E-2</v>
      </c>
    </row>
    <row r="152" spans="2:9" x14ac:dyDescent="0.25">
      <c r="B152" s="1">
        <v>35389</v>
      </c>
      <c r="C152">
        <v>876.61</v>
      </c>
      <c r="D152">
        <v>897.99</v>
      </c>
      <c r="E152">
        <v>897.99</v>
      </c>
      <c r="F152">
        <v>875.36</v>
      </c>
      <c r="G152" s="3">
        <f t="shared" si="8"/>
        <v>-2.3362820027184261E-2</v>
      </c>
      <c r="H152" s="2">
        <f t="shared" si="6"/>
        <v>22.629999999999995</v>
      </c>
      <c r="I152" s="3">
        <f t="shared" si="7"/>
        <v>2.5200726065991819E-2</v>
      </c>
    </row>
    <row r="153" spans="2:9" x14ac:dyDescent="0.25">
      <c r="B153" s="1">
        <v>35390</v>
      </c>
      <c r="C153">
        <v>869.82</v>
      </c>
      <c r="D153">
        <v>876.36</v>
      </c>
      <c r="E153">
        <v>878.26</v>
      </c>
      <c r="F153">
        <v>866.97</v>
      </c>
      <c r="G153" s="3">
        <f t="shared" si="8"/>
        <v>-7.7457478240038347E-3</v>
      </c>
      <c r="H153" s="2">
        <f t="shared" si="6"/>
        <v>11.289999999999964</v>
      </c>
      <c r="I153" s="3">
        <f t="shared" si="7"/>
        <v>1.2882833538728334E-2</v>
      </c>
    </row>
    <row r="154" spans="2:9" x14ac:dyDescent="0.25">
      <c r="B154" s="1">
        <v>35391</v>
      </c>
      <c r="C154">
        <v>850.33</v>
      </c>
      <c r="D154">
        <v>867.82</v>
      </c>
      <c r="E154">
        <v>868.18</v>
      </c>
      <c r="F154">
        <v>848.13</v>
      </c>
      <c r="G154" s="3">
        <f t="shared" si="8"/>
        <v>-2.2406934768112952E-2</v>
      </c>
      <c r="H154" s="2">
        <f t="shared" si="6"/>
        <v>20.049999999999955</v>
      </c>
      <c r="I154" s="3">
        <f t="shared" si="7"/>
        <v>2.3103869466018244E-2</v>
      </c>
    </row>
    <row r="155" spans="2:9" x14ac:dyDescent="0.25">
      <c r="B155" s="1">
        <v>35394</v>
      </c>
      <c r="C155">
        <v>852.26</v>
      </c>
      <c r="D155">
        <v>850.24</v>
      </c>
      <c r="E155">
        <v>859.24</v>
      </c>
      <c r="F155">
        <v>826.99</v>
      </c>
      <c r="G155" s="3">
        <f t="shared" si="8"/>
        <v>2.2697070549080323E-3</v>
      </c>
      <c r="H155" s="2">
        <f t="shared" si="6"/>
        <v>32.25</v>
      </c>
      <c r="I155" s="3">
        <f t="shared" si="7"/>
        <v>3.7930466691757619E-2</v>
      </c>
    </row>
    <row r="156" spans="2:9" x14ac:dyDescent="0.25">
      <c r="B156" s="1">
        <v>35395</v>
      </c>
      <c r="C156">
        <v>855.48</v>
      </c>
      <c r="D156">
        <v>856.31</v>
      </c>
      <c r="E156">
        <v>870.84</v>
      </c>
      <c r="F156">
        <v>847.6</v>
      </c>
      <c r="G156" s="3">
        <f t="shared" si="8"/>
        <v>3.7781897543003318E-3</v>
      </c>
      <c r="H156" s="2">
        <f t="shared" si="6"/>
        <v>23.240000000000009</v>
      </c>
      <c r="I156" s="3">
        <f t="shared" si="7"/>
        <v>2.7139704079130234E-2</v>
      </c>
    </row>
    <row r="157" spans="2:9" x14ac:dyDescent="0.25">
      <c r="B157" s="1">
        <v>35396</v>
      </c>
      <c r="C157">
        <v>829.08</v>
      </c>
      <c r="D157">
        <v>848.17</v>
      </c>
      <c r="E157">
        <v>848.21</v>
      </c>
      <c r="F157">
        <v>822.17</v>
      </c>
      <c r="G157" s="3">
        <f t="shared" si="8"/>
        <v>-3.085986814419972E-2</v>
      </c>
      <c r="H157" s="2">
        <f t="shared" si="6"/>
        <v>26.040000000000077</v>
      </c>
      <c r="I157" s="3">
        <f t="shared" si="7"/>
        <v>3.0701392409540632E-2</v>
      </c>
    </row>
    <row r="158" spans="2:9" x14ac:dyDescent="0.25">
      <c r="B158" s="1">
        <v>35397</v>
      </c>
      <c r="C158">
        <v>825.47</v>
      </c>
      <c r="D158">
        <v>829.28</v>
      </c>
      <c r="E158">
        <v>835.15</v>
      </c>
      <c r="F158">
        <v>823.26</v>
      </c>
      <c r="G158" s="3">
        <f t="shared" si="8"/>
        <v>-4.3542239590872445E-3</v>
      </c>
      <c r="H158" s="2">
        <f t="shared" si="6"/>
        <v>11.889999999999986</v>
      </c>
      <c r="I158" s="3">
        <f t="shared" si="7"/>
        <v>1.4337738761335117E-2</v>
      </c>
    </row>
    <row r="159" spans="2:9" x14ac:dyDescent="0.25">
      <c r="B159" s="1">
        <v>35398</v>
      </c>
      <c r="C159">
        <v>830.32</v>
      </c>
      <c r="D159">
        <v>825.59</v>
      </c>
      <c r="E159">
        <v>833.81</v>
      </c>
      <c r="F159">
        <v>825.59</v>
      </c>
      <c r="G159" s="3">
        <f t="shared" si="8"/>
        <v>5.8754406580494578E-3</v>
      </c>
      <c r="H159" s="2">
        <f t="shared" si="6"/>
        <v>8.2199999999999136</v>
      </c>
      <c r="I159" s="3">
        <f t="shared" si="7"/>
        <v>9.9565159461717234E-3</v>
      </c>
    </row>
    <row r="160" spans="2:9" x14ac:dyDescent="0.25">
      <c r="B160" s="1">
        <v>35401</v>
      </c>
      <c r="C160">
        <v>820.25</v>
      </c>
      <c r="D160">
        <v>830.48</v>
      </c>
      <c r="E160">
        <v>834.92</v>
      </c>
      <c r="F160">
        <v>818.61</v>
      </c>
      <c r="G160" s="3">
        <f t="shared" si="8"/>
        <v>-1.2127854321225651E-2</v>
      </c>
      <c r="H160" s="2">
        <f t="shared" si="6"/>
        <v>16.309999999999945</v>
      </c>
      <c r="I160" s="3">
        <f t="shared" si="7"/>
        <v>1.9639244774106474E-2</v>
      </c>
    </row>
    <row r="161" spans="2:9" x14ac:dyDescent="0.25">
      <c r="B161" s="1">
        <v>35402</v>
      </c>
      <c r="C161">
        <v>809.43</v>
      </c>
      <c r="D161">
        <v>819.77</v>
      </c>
      <c r="E161">
        <v>819.77</v>
      </c>
      <c r="F161">
        <v>804.46</v>
      </c>
      <c r="G161" s="3">
        <f t="shared" si="8"/>
        <v>-1.31911002743067E-2</v>
      </c>
      <c r="H161" s="2">
        <f t="shared" si="6"/>
        <v>15.309999999999945</v>
      </c>
      <c r="I161" s="3">
        <f t="shared" si="7"/>
        <v>1.8675970089171288E-2</v>
      </c>
    </row>
    <row r="162" spans="2:9" x14ac:dyDescent="0.25">
      <c r="B162" s="1">
        <v>35403</v>
      </c>
      <c r="C162">
        <v>788.15</v>
      </c>
      <c r="D162">
        <v>805.4</v>
      </c>
      <c r="E162">
        <v>805.82</v>
      </c>
      <c r="F162">
        <v>775.43</v>
      </c>
      <c r="G162" s="3">
        <f t="shared" si="8"/>
        <v>-2.6290105382800188E-2</v>
      </c>
      <c r="H162" s="2">
        <f t="shared" si="6"/>
        <v>30.3900000000001</v>
      </c>
      <c r="I162" s="3">
        <f t="shared" si="7"/>
        <v>3.7732803575863054E-2</v>
      </c>
    </row>
    <row r="163" spans="2:9" x14ac:dyDescent="0.25">
      <c r="B163" s="1">
        <v>35404</v>
      </c>
      <c r="C163">
        <v>802.23</v>
      </c>
      <c r="D163">
        <v>786.37</v>
      </c>
      <c r="E163">
        <v>808.21</v>
      </c>
      <c r="F163">
        <v>781.54</v>
      </c>
      <c r="G163" s="3">
        <f t="shared" si="8"/>
        <v>1.7864619678995108E-2</v>
      </c>
      <c r="H163" s="2">
        <f t="shared" si="6"/>
        <v>26.670000000000073</v>
      </c>
      <c r="I163" s="3">
        <f t="shared" si="7"/>
        <v>3.3915332477078314E-2</v>
      </c>
    </row>
    <row r="164" spans="2:9" x14ac:dyDescent="0.25">
      <c r="B164" s="1">
        <v>35405</v>
      </c>
      <c r="C164">
        <v>808.19</v>
      </c>
      <c r="D164">
        <v>805.51</v>
      </c>
      <c r="E164">
        <v>815.03</v>
      </c>
      <c r="F164">
        <v>805.47</v>
      </c>
      <c r="G164" s="3">
        <f t="shared" si="8"/>
        <v>7.4292908517508138E-3</v>
      </c>
      <c r="H164" s="2">
        <f t="shared" si="6"/>
        <v>9.5599999999999454</v>
      </c>
      <c r="I164" s="3">
        <f t="shared" si="7"/>
        <v>1.1868257377313684E-2</v>
      </c>
    </row>
    <row r="165" spans="2:9" x14ac:dyDescent="0.25">
      <c r="B165" s="1">
        <v>35408</v>
      </c>
      <c r="C165">
        <v>808.69</v>
      </c>
      <c r="D165">
        <v>809.03</v>
      </c>
      <c r="E165">
        <v>816.2</v>
      </c>
      <c r="F165">
        <v>804.97</v>
      </c>
      <c r="G165" s="3">
        <f t="shared" si="8"/>
        <v>6.186664027023614E-4</v>
      </c>
      <c r="H165" s="2">
        <f t="shared" si="6"/>
        <v>11.230000000000018</v>
      </c>
      <c r="I165" s="3">
        <f t="shared" si="7"/>
        <v>1.3880820241523824E-2</v>
      </c>
    </row>
    <row r="166" spans="2:9" x14ac:dyDescent="0.25">
      <c r="B166" s="1">
        <v>35409</v>
      </c>
      <c r="C166">
        <v>803.2</v>
      </c>
      <c r="D166">
        <v>807.73</v>
      </c>
      <c r="E166">
        <v>808.53</v>
      </c>
      <c r="F166">
        <v>797.66</v>
      </c>
      <c r="G166" s="3">
        <f t="shared" si="8"/>
        <v>-6.7887571257219115E-3</v>
      </c>
      <c r="H166" s="2">
        <f t="shared" si="6"/>
        <v>10.870000000000005</v>
      </c>
      <c r="I166" s="3">
        <f t="shared" si="7"/>
        <v>1.3457467222958172E-2</v>
      </c>
    </row>
    <row r="167" spans="2:9" x14ac:dyDescent="0.25">
      <c r="B167" s="1">
        <v>35410</v>
      </c>
      <c r="C167">
        <v>837.07</v>
      </c>
      <c r="D167">
        <v>806.46</v>
      </c>
      <c r="E167">
        <v>839.13</v>
      </c>
      <c r="F167">
        <v>803.68</v>
      </c>
      <c r="G167" s="3">
        <f t="shared" si="8"/>
        <v>4.2168824701195318E-2</v>
      </c>
      <c r="H167" s="2">
        <f t="shared" si="6"/>
        <v>35.450000000000045</v>
      </c>
      <c r="I167" s="3">
        <f t="shared" si="7"/>
        <v>4.3957542841554502E-2</v>
      </c>
    </row>
    <row r="168" spans="2:9" x14ac:dyDescent="0.25">
      <c r="B168" s="1">
        <v>35411</v>
      </c>
      <c r="C168">
        <v>827.25</v>
      </c>
      <c r="D168">
        <v>838.86</v>
      </c>
      <c r="E168">
        <v>847.36</v>
      </c>
      <c r="F168">
        <v>825.52</v>
      </c>
      <c r="G168" s="3">
        <f t="shared" si="8"/>
        <v>-1.1731396418459661E-2</v>
      </c>
      <c r="H168" s="2">
        <f t="shared" si="6"/>
        <v>21.840000000000032</v>
      </c>
      <c r="I168" s="3">
        <f t="shared" si="7"/>
        <v>2.6035333667119701E-2</v>
      </c>
    </row>
    <row r="169" spans="2:9" x14ac:dyDescent="0.25">
      <c r="B169" s="1">
        <v>35412</v>
      </c>
      <c r="C169">
        <v>824.62</v>
      </c>
      <c r="D169">
        <v>826.54</v>
      </c>
      <c r="E169">
        <v>826.54</v>
      </c>
      <c r="F169">
        <v>814.89</v>
      </c>
      <c r="G169" s="3">
        <f t="shared" si="8"/>
        <v>-3.1792082200060579E-3</v>
      </c>
      <c r="H169" s="2">
        <f t="shared" si="6"/>
        <v>11.649999999999977</v>
      </c>
      <c r="I169" s="3">
        <f t="shared" si="7"/>
        <v>1.4094901638154207E-2</v>
      </c>
    </row>
    <row r="170" spans="2:9" x14ac:dyDescent="0.25">
      <c r="B170" s="1">
        <v>35415</v>
      </c>
      <c r="C170">
        <v>847.27</v>
      </c>
      <c r="D170">
        <v>823.71</v>
      </c>
      <c r="E170">
        <v>848.88</v>
      </c>
      <c r="F170">
        <v>823.71</v>
      </c>
      <c r="G170" s="3">
        <f t="shared" si="8"/>
        <v>2.7467197011957101E-2</v>
      </c>
      <c r="H170" s="2">
        <f t="shared" si="6"/>
        <v>25.169999999999959</v>
      </c>
      <c r="I170" s="3">
        <f t="shared" si="7"/>
        <v>3.0556870743344088E-2</v>
      </c>
    </row>
    <row r="171" spans="2:9" x14ac:dyDescent="0.25">
      <c r="B171" s="1">
        <v>35416</v>
      </c>
      <c r="C171">
        <v>850.74</v>
      </c>
      <c r="D171">
        <v>846.06</v>
      </c>
      <c r="E171">
        <v>853.36</v>
      </c>
      <c r="F171">
        <v>841</v>
      </c>
      <c r="G171" s="3">
        <f t="shared" si="8"/>
        <v>4.0955067451933225E-3</v>
      </c>
      <c r="H171" s="2">
        <f t="shared" si="6"/>
        <v>12.360000000000014</v>
      </c>
      <c r="I171" s="3">
        <f t="shared" si="7"/>
        <v>1.4608892986313045E-2</v>
      </c>
    </row>
    <row r="172" spans="2:9" x14ac:dyDescent="0.25">
      <c r="B172" s="1">
        <v>35417</v>
      </c>
      <c r="C172">
        <v>860.4</v>
      </c>
      <c r="D172">
        <v>850.69</v>
      </c>
      <c r="E172">
        <v>871.84</v>
      </c>
      <c r="F172">
        <v>850.69</v>
      </c>
      <c r="G172" s="3">
        <f t="shared" si="8"/>
        <v>1.1354820509203778E-2</v>
      </c>
      <c r="H172" s="2">
        <f t="shared" si="6"/>
        <v>21.149999999999977</v>
      </c>
      <c r="I172" s="3">
        <f t="shared" si="7"/>
        <v>2.4862170708483674E-2</v>
      </c>
    </row>
    <row r="173" spans="2:9" x14ac:dyDescent="0.25">
      <c r="B173" s="1">
        <v>35418</v>
      </c>
      <c r="C173">
        <v>860.58</v>
      </c>
      <c r="D173">
        <v>858.03</v>
      </c>
      <c r="E173">
        <v>864.54</v>
      </c>
      <c r="F173">
        <v>853.47</v>
      </c>
      <c r="G173" s="3">
        <f t="shared" si="8"/>
        <v>2.0920502092058868E-4</v>
      </c>
      <c r="H173" s="2">
        <f t="shared" si="6"/>
        <v>11.069999999999936</v>
      </c>
      <c r="I173" s="3">
        <f t="shared" si="7"/>
        <v>1.2901646795566515E-2</v>
      </c>
    </row>
    <row r="174" spans="2:9" x14ac:dyDescent="0.25">
      <c r="B174" s="1">
        <v>35419</v>
      </c>
      <c r="C174">
        <v>884.38</v>
      </c>
      <c r="D174">
        <v>864.25</v>
      </c>
      <c r="E174">
        <v>887.92</v>
      </c>
      <c r="F174">
        <v>864.25</v>
      </c>
      <c r="G174" s="3">
        <f t="shared" si="8"/>
        <v>2.7655767040832835E-2</v>
      </c>
      <c r="H174" s="2">
        <f t="shared" si="6"/>
        <v>23.669999999999959</v>
      </c>
      <c r="I174" s="3">
        <f t="shared" si="7"/>
        <v>2.7387908591264054E-2</v>
      </c>
    </row>
    <row r="175" spans="2:9" x14ac:dyDescent="0.25">
      <c r="B175" s="1">
        <v>35422</v>
      </c>
      <c r="C175">
        <v>882</v>
      </c>
      <c r="D175">
        <v>884.4</v>
      </c>
      <c r="E175">
        <v>890.65</v>
      </c>
      <c r="F175">
        <v>878.1</v>
      </c>
      <c r="G175" s="3">
        <f t="shared" si="8"/>
        <v>-2.6911508627512903E-3</v>
      </c>
      <c r="H175" s="2">
        <f t="shared" si="6"/>
        <v>12.549999999999955</v>
      </c>
      <c r="I175" s="3">
        <f t="shared" si="7"/>
        <v>1.4190411578471229E-2</v>
      </c>
    </row>
    <row r="176" spans="2:9" x14ac:dyDescent="0.25">
      <c r="B176" s="1">
        <v>35423</v>
      </c>
      <c r="C176">
        <v>884.05</v>
      </c>
      <c r="D176">
        <v>881.85</v>
      </c>
      <c r="E176">
        <v>887.5</v>
      </c>
      <c r="F176">
        <v>874.05</v>
      </c>
      <c r="G176" s="3">
        <f t="shared" si="8"/>
        <v>2.3242630385487129E-3</v>
      </c>
      <c r="H176" s="2">
        <f t="shared" si="6"/>
        <v>13.450000000000045</v>
      </c>
      <c r="I176" s="3">
        <f t="shared" si="7"/>
        <v>1.5252026988716954E-2</v>
      </c>
    </row>
    <row r="177" spans="2:9" x14ac:dyDescent="0.25">
      <c r="B177" s="1">
        <v>35425</v>
      </c>
      <c r="C177">
        <v>911.8</v>
      </c>
      <c r="D177">
        <v>887.95</v>
      </c>
      <c r="E177">
        <v>913.35</v>
      </c>
      <c r="F177">
        <v>887.95</v>
      </c>
      <c r="G177" s="3">
        <f t="shared" si="8"/>
        <v>3.138962728352479E-2</v>
      </c>
      <c r="H177" s="2">
        <f t="shared" si="6"/>
        <v>25.399999999999977</v>
      </c>
      <c r="I177" s="3">
        <f t="shared" si="7"/>
        <v>2.8605214257559519E-2</v>
      </c>
    </row>
    <row r="178" spans="2:9" x14ac:dyDescent="0.25">
      <c r="B178" s="1">
        <v>35430</v>
      </c>
      <c r="C178">
        <v>899.1</v>
      </c>
      <c r="D178">
        <v>918.15</v>
      </c>
      <c r="E178">
        <v>922.1</v>
      </c>
      <c r="F178">
        <v>895.6</v>
      </c>
      <c r="G178" s="3">
        <f t="shared" si="8"/>
        <v>-1.3928493090589966E-2</v>
      </c>
      <c r="H178" s="2">
        <f t="shared" si="6"/>
        <v>26.5</v>
      </c>
      <c r="I178" s="3">
        <f t="shared" si="7"/>
        <v>2.8862386320318033E-2</v>
      </c>
    </row>
    <row r="179" spans="2:9" x14ac:dyDescent="0.25">
      <c r="B179" s="1">
        <v>35431</v>
      </c>
      <c r="C179">
        <v>939.55</v>
      </c>
      <c r="D179">
        <v>905.2</v>
      </c>
      <c r="E179">
        <v>941.4</v>
      </c>
      <c r="F179">
        <v>905.2</v>
      </c>
      <c r="G179" s="3">
        <f t="shared" si="8"/>
        <v>4.4989433878322771E-2</v>
      </c>
      <c r="H179" s="2">
        <f t="shared" si="6"/>
        <v>36.199999999999932</v>
      </c>
      <c r="I179" s="3">
        <f t="shared" si="7"/>
        <v>3.9991162174105095E-2</v>
      </c>
    </row>
    <row r="180" spans="2:9" x14ac:dyDescent="0.25">
      <c r="B180" s="1">
        <v>35432</v>
      </c>
      <c r="C180">
        <v>927.05</v>
      </c>
      <c r="D180">
        <v>941.95</v>
      </c>
      <c r="E180">
        <v>944</v>
      </c>
      <c r="F180">
        <v>925.05</v>
      </c>
      <c r="G180" s="3">
        <f t="shared" si="8"/>
        <v>-1.3304241392155802E-2</v>
      </c>
      <c r="H180" s="2">
        <f t="shared" si="6"/>
        <v>18.950000000000045</v>
      </c>
      <c r="I180" s="3">
        <f t="shared" si="7"/>
        <v>2.0117840649716064E-2</v>
      </c>
    </row>
    <row r="181" spans="2:9" x14ac:dyDescent="0.25">
      <c r="B181" s="1">
        <v>35433</v>
      </c>
      <c r="C181">
        <v>931.65</v>
      </c>
      <c r="D181">
        <v>924.3</v>
      </c>
      <c r="E181">
        <v>932.6</v>
      </c>
      <c r="F181">
        <v>919.55</v>
      </c>
      <c r="G181" s="3">
        <f t="shared" si="8"/>
        <v>4.9619761609407398E-3</v>
      </c>
      <c r="H181" s="2">
        <f t="shared" si="6"/>
        <v>13.050000000000068</v>
      </c>
      <c r="I181" s="3">
        <f t="shared" si="7"/>
        <v>1.4118792599805332E-2</v>
      </c>
    </row>
    <row r="182" spans="2:9" x14ac:dyDescent="0.25">
      <c r="B182" s="1">
        <v>35436</v>
      </c>
      <c r="C182">
        <v>927.8</v>
      </c>
      <c r="D182">
        <v>932.45</v>
      </c>
      <c r="E182">
        <v>937.95</v>
      </c>
      <c r="F182">
        <v>925.65</v>
      </c>
      <c r="G182" s="3">
        <f t="shared" si="8"/>
        <v>-4.1324531744754145E-3</v>
      </c>
      <c r="H182" s="2">
        <f t="shared" si="6"/>
        <v>12.300000000000068</v>
      </c>
      <c r="I182" s="3">
        <f t="shared" si="7"/>
        <v>1.3191055820687509E-2</v>
      </c>
    </row>
    <row r="183" spans="2:9" x14ac:dyDescent="0.25">
      <c r="B183" s="1">
        <v>35437</v>
      </c>
      <c r="C183">
        <v>928.8</v>
      </c>
      <c r="D183">
        <v>926.35</v>
      </c>
      <c r="E183">
        <v>935.15</v>
      </c>
      <c r="F183">
        <v>922.25</v>
      </c>
      <c r="G183" s="3">
        <f t="shared" si="8"/>
        <v>1.077818495365479E-3</v>
      </c>
      <c r="H183" s="2">
        <f t="shared" si="6"/>
        <v>12.899999999999977</v>
      </c>
      <c r="I183" s="3">
        <f t="shared" si="7"/>
        <v>1.3925622065094161E-2</v>
      </c>
    </row>
    <row r="184" spans="2:9" x14ac:dyDescent="0.25">
      <c r="B184" s="1">
        <v>35438</v>
      </c>
      <c r="C184">
        <v>946.7</v>
      </c>
      <c r="D184">
        <v>937.35</v>
      </c>
      <c r="E184">
        <v>953.1</v>
      </c>
      <c r="F184">
        <v>937.35</v>
      </c>
      <c r="G184" s="3">
        <f t="shared" si="8"/>
        <v>1.9272179155900293E-2</v>
      </c>
      <c r="H184" s="2">
        <f t="shared" si="6"/>
        <v>15.75</v>
      </c>
      <c r="I184" s="3">
        <f t="shared" si="7"/>
        <v>1.6802688430148822E-2</v>
      </c>
    </row>
    <row r="185" spans="2:9" x14ac:dyDescent="0.25">
      <c r="B185" s="1">
        <v>35439</v>
      </c>
      <c r="C185">
        <v>956.6</v>
      </c>
      <c r="D185">
        <v>945.15</v>
      </c>
      <c r="E185">
        <v>959.75</v>
      </c>
      <c r="F185">
        <v>943.6</v>
      </c>
      <c r="G185" s="3">
        <f t="shared" si="8"/>
        <v>1.0457378261328865E-2</v>
      </c>
      <c r="H185" s="2">
        <f t="shared" si="6"/>
        <v>16.149999999999977</v>
      </c>
      <c r="I185" s="3">
        <f t="shared" si="7"/>
        <v>1.708723483045017E-2</v>
      </c>
    </row>
    <row r="186" spans="2:9" x14ac:dyDescent="0.25">
      <c r="B186" s="1">
        <v>35440</v>
      </c>
      <c r="C186">
        <v>980.35</v>
      </c>
      <c r="D186">
        <v>962.7</v>
      </c>
      <c r="E186">
        <v>984.1</v>
      </c>
      <c r="F186">
        <v>962.7</v>
      </c>
      <c r="G186" s="3">
        <f t="shared" si="8"/>
        <v>2.482751411248163E-2</v>
      </c>
      <c r="H186" s="2">
        <f t="shared" si="6"/>
        <v>21.399999999999977</v>
      </c>
      <c r="I186" s="3">
        <f t="shared" si="7"/>
        <v>2.2229147190194219E-2</v>
      </c>
    </row>
    <row r="187" spans="2:9" x14ac:dyDescent="0.25">
      <c r="B187" s="1">
        <v>35443</v>
      </c>
      <c r="C187">
        <v>980.7</v>
      </c>
      <c r="D187">
        <v>978.55</v>
      </c>
      <c r="E187">
        <v>982.25</v>
      </c>
      <c r="F187">
        <v>965.5</v>
      </c>
      <c r="G187" s="3">
        <f t="shared" si="8"/>
        <v>3.5701535166010601E-4</v>
      </c>
      <c r="H187" s="2">
        <f t="shared" si="6"/>
        <v>16.75</v>
      </c>
      <c r="I187" s="3">
        <f t="shared" si="7"/>
        <v>1.711716314955802E-2</v>
      </c>
    </row>
    <row r="188" spans="2:9" x14ac:dyDescent="0.25">
      <c r="B188" s="1">
        <v>35444</v>
      </c>
      <c r="C188">
        <v>989.3</v>
      </c>
      <c r="D188">
        <v>984</v>
      </c>
      <c r="E188">
        <v>994.4</v>
      </c>
      <c r="F188">
        <v>977.7</v>
      </c>
      <c r="G188" s="3">
        <f t="shared" si="8"/>
        <v>8.7692464566124784E-3</v>
      </c>
      <c r="H188" s="2">
        <f t="shared" si="6"/>
        <v>16.699999999999932</v>
      </c>
      <c r="I188" s="3">
        <f t="shared" si="7"/>
        <v>1.6971544715447085E-2</v>
      </c>
    </row>
    <row r="189" spans="2:9" x14ac:dyDescent="0.25">
      <c r="B189" s="1">
        <v>35445</v>
      </c>
      <c r="C189" s="2">
        <v>1041.8</v>
      </c>
      <c r="D189">
        <v>997.5</v>
      </c>
      <c r="E189" s="2">
        <v>1042.75</v>
      </c>
      <c r="F189">
        <v>997.05</v>
      </c>
      <c r="G189" s="3">
        <f t="shared" si="8"/>
        <v>5.3067825735368501E-2</v>
      </c>
      <c r="H189" s="2">
        <f t="shared" si="6"/>
        <v>45.700000000000045</v>
      </c>
      <c r="I189" s="3">
        <f t="shared" si="7"/>
        <v>4.5814536340852176E-2</v>
      </c>
    </row>
    <row r="190" spans="2:9" x14ac:dyDescent="0.25">
      <c r="B190" s="1">
        <v>35446</v>
      </c>
      <c r="C190" s="2">
        <v>1009.4</v>
      </c>
      <c r="D190" s="2">
        <v>1064.05</v>
      </c>
      <c r="E190" s="2">
        <v>1085.75</v>
      </c>
      <c r="F190">
        <v>995.35</v>
      </c>
      <c r="G190" s="3">
        <f t="shared" si="8"/>
        <v>-3.1100019197542683E-2</v>
      </c>
      <c r="H190" s="2">
        <f t="shared" si="6"/>
        <v>90.399999999999977</v>
      </c>
      <c r="I190" s="3">
        <f t="shared" si="7"/>
        <v>8.4958413608383049E-2</v>
      </c>
    </row>
    <row r="191" spans="2:9" x14ac:dyDescent="0.25">
      <c r="B191" s="1">
        <v>35447</v>
      </c>
      <c r="C191" s="2">
        <v>1001.75</v>
      </c>
      <c r="D191">
        <v>994.1</v>
      </c>
      <c r="E191" s="2">
        <v>1009.7</v>
      </c>
      <c r="F191">
        <v>976.35</v>
      </c>
      <c r="G191" s="3">
        <f t="shared" si="8"/>
        <v>-7.5787596592035156E-3</v>
      </c>
      <c r="H191" s="2">
        <f t="shared" si="6"/>
        <v>33.350000000000023</v>
      </c>
      <c r="I191" s="3">
        <f t="shared" si="7"/>
        <v>3.354793280354091E-2</v>
      </c>
    </row>
    <row r="192" spans="2:9" x14ac:dyDescent="0.25">
      <c r="B192" s="1">
        <v>35450</v>
      </c>
      <c r="C192">
        <v>977</v>
      </c>
      <c r="D192" s="2">
        <v>1004.1</v>
      </c>
      <c r="E192" s="2">
        <v>1005.55</v>
      </c>
      <c r="F192">
        <v>973.95</v>
      </c>
      <c r="G192" s="3">
        <f t="shared" si="8"/>
        <v>-2.4706763164462187E-2</v>
      </c>
      <c r="H192" s="2">
        <f t="shared" si="6"/>
        <v>31.599999999999909</v>
      </c>
      <c r="I192" s="3">
        <f t="shared" si="7"/>
        <v>3.1470969026989253E-2</v>
      </c>
    </row>
    <row r="193" spans="2:9" x14ac:dyDescent="0.25">
      <c r="B193" s="1">
        <v>35451</v>
      </c>
      <c r="C193">
        <v>960.5</v>
      </c>
      <c r="D193">
        <v>972.1</v>
      </c>
      <c r="E193">
        <v>980.2</v>
      </c>
      <c r="F193">
        <v>956.45</v>
      </c>
      <c r="G193" s="3">
        <f t="shared" si="8"/>
        <v>-1.6888433981576245E-2</v>
      </c>
      <c r="H193" s="2">
        <f t="shared" si="6"/>
        <v>23.75</v>
      </c>
      <c r="I193" s="3">
        <f t="shared" si="7"/>
        <v>2.4431642835099267E-2</v>
      </c>
    </row>
    <row r="194" spans="2:9" x14ac:dyDescent="0.25">
      <c r="B194" s="1">
        <v>35452</v>
      </c>
      <c r="C194">
        <v>987.1</v>
      </c>
      <c r="D194">
        <v>971.4</v>
      </c>
      <c r="E194">
        <v>992.9</v>
      </c>
      <c r="F194">
        <v>971.4</v>
      </c>
      <c r="G194" s="3">
        <f t="shared" si="8"/>
        <v>2.7693909422175977E-2</v>
      </c>
      <c r="H194" s="2">
        <f t="shared" si="6"/>
        <v>21.5</v>
      </c>
      <c r="I194" s="3">
        <f t="shared" si="7"/>
        <v>2.2133003911879761E-2</v>
      </c>
    </row>
    <row r="195" spans="2:9" x14ac:dyDescent="0.25">
      <c r="B195" s="1">
        <v>35454</v>
      </c>
      <c r="C195">
        <v>985.9</v>
      </c>
      <c r="D195">
        <v>991.05</v>
      </c>
      <c r="E195">
        <v>991.4</v>
      </c>
      <c r="F195">
        <v>979.55</v>
      </c>
      <c r="G195" s="3">
        <f t="shared" si="8"/>
        <v>-1.2156823016918894E-3</v>
      </c>
      <c r="H195" s="2">
        <f t="shared" si="6"/>
        <v>11.850000000000023</v>
      </c>
      <c r="I195" s="3">
        <f t="shared" si="7"/>
        <v>1.1957015286817035E-2</v>
      </c>
    </row>
    <row r="196" spans="2:9" x14ac:dyDescent="0.25">
      <c r="B196" s="1">
        <v>35457</v>
      </c>
      <c r="C196" s="2">
        <v>1009.15</v>
      </c>
      <c r="D196">
        <v>993.15</v>
      </c>
      <c r="E196" s="2">
        <v>1017.3</v>
      </c>
      <c r="F196">
        <v>990.3</v>
      </c>
      <c r="G196" s="3">
        <f t="shared" si="8"/>
        <v>2.358251343949691E-2</v>
      </c>
      <c r="H196" s="2">
        <f t="shared" si="6"/>
        <v>27</v>
      </c>
      <c r="I196" s="3">
        <f t="shared" si="7"/>
        <v>2.718622564567286E-2</v>
      </c>
    </row>
    <row r="197" spans="2:9" x14ac:dyDescent="0.25">
      <c r="B197" s="1">
        <v>35458</v>
      </c>
      <c r="C197" s="2">
        <v>1021.8</v>
      </c>
      <c r="D197" s="2">
        <v>1016</v>
      </c>
      <c r="E197" s="2">
        <v>1025.0999999999999</v>
      </c>
      <c r="F197" s="2">
        <v>1007.95</v>
      </c>
      <c r="G197" s="3">
        <f t="shared" si="8"/>
        <v>1.2535301986820624E-2</v>
      </c>
      <c r="H197" s="2">
        <f t="shared" ref="H197:H260" si="9">E197-F197</f>
        <v>17.149999999999864</v>
      </c>
      <c r="I197" s="3">
        <f t="shared" si="7"/>
        <v>1.6879921259842386E-2</v>
      </c>
    </row>
    <row r="198" spans="2:9" x14ac:dyDescent="0.25">
      <c r="B198" s="1">
        <v>35459</v>
      </c>
      <c r="C198" s="2">
        <v>1017.2</v>
      </c>
      <c r="D198" s="2">
        <v>1038.0999999999999</v>
      </c>
      <c r="E198" s="2">
        <v>1043.9000000000001</v>
      </c>
      <c r="F198" s="2">
        <v>1007.1</v>
      </c>
      <c r="G198" s="3">
        <f t="shared" si="8"/>
        <v>-4.5018594636914155E-3</v>
      </c>
      <c r="H198" s="2">
        <f t="shared" si="9"/>
        <v>36.800000000000068</v>
      </c>
      <c r="I198" s="3">
        <f t="shared" ref="I198:I261" si="10">H198/D198</f>
        <v>3.5449378672574965E-2</v>
      </c>
    </row>
    <row r="199" spans="2:9" x14ac:dyDescent="0.25">
      <c r="B199" s="1">
        <v>35460</v>
      </c>
      <c r="C199" s="2">
        <v>1000</v>
      </c>
      <c r="D199" s="2">
        <v>1010.6</v>
      </c>
      <c r="E199" s="2">
        <v>1012.85</v>
      </c>
      <c r="F199">
        <v>993.5</v>
      </c>
      <c r="G199" s="3">
        <f t="shared" ref="G199:G262" si="11">C199/C198-1</f>
        <v>-1.6909162406606448E-2</v>
      </c>
      <c r="H199" s="2">
        <f t="shared" si="9"/>
        <v>19.350000000000023</v>
      </c>
      <c r="I199" s="3">
        <f t="shared" si="10"/>
        <v>1.9147041361567408E-2</v>
      </c>
    </row>
    <row r="200" spans="2:9" x14ac:dyDescent="0.25">
      <c r="B200" s="1">
        <v>35461</v>
      </c>
      <c r="C200">
        <v>972.65</v>
      </c>
      <c r="D200">
        <v>988.7</v>
      </c>
      <c r="E200">
        <v>988.7</v>
      </c>
      <c r="F200">
        <v>965.85</v>
      </c>
      <c r="G200" s="3">
        <f t="shared" si="11"/>
        <v>-2.7349999999999985E-2</v>
      </c>
      <c r="H200" s="2">
        <f t="shared" si="9"/>
        <v>22.850000000000023</v>
      </c>
      <c r="I200" s="3">
        <f t="shared" si="10"/>
        <v>2.3111156063517772E-2</v>
      </c>
    </row>
    <row r="201" spans="2:9" x14ac:dyDescent="0.25">
      <c r="B201" s="1">
        <v>35464</v>
      </c>
      <c r="C201">
        <v>948.2</v>
      </c>
      <c r="D201">
        <v>967.9</v>
      </c>
      <c r="E201">
        <v>967.9</v>
      </c>
      <c r="F201">
        <v>944.2</v>
      </c>
      <c r="G201" s="3">
        <f t="shared" si="11"/>
        <v>-2.5137510923764927E-2</v>
      </c>
      <c r="H201" s="2">
        <f t="shared" si="9"/>
        <v>23.699999999999932</v>
      </c>
      <c r="I201" s="3">
        <f t="shared" si="10"/>
        <v>2.4486000619898678E-2</v>
      </c>
    </row>
    <row r="202" spans="2:9" x14ac:dyDescent="0.25">
      <c r="B202" s="1">
        <v>35465</v>
      </c>
      <c r="C202">
        <v>958.3</v>
      </c>
      <c r="D202">
        <v>947</v>
      </c>
      <c r="E202">
        <v>963.2</v>
      </c>
      <c r="F202">
        <v>944.45</v>
      </c>
      <c r="G202" s="3">
        <f t="shared" si="11"/>
        <v>1.0651761231807555E-2</v>
      </c>
      <c r="H202" s="2">
        <f t="shared" si="9"/>
        <v>18.75</v>
      </c>
      <c r="I202" s="3">
        <f t="shared" si="10"/>
        <v>1.979936642027455E-2</v>
      </c>
    </row>
    <row r="203" spans="2:9" x14ac:dyDescent="0.25">
      <c r="B203" s="1">
        <v>35466</v>
      </c>
      <c r="C203">
        <v>962.5</v>
      </c>
      <c r="D203">
        <v>970.75</v>
      </c>
      <c r="E203">
        <v>984.8</v>
      </c>
      <c r="F203">
        <v>959.5</v>
      </c>
      <c r="G203" s="3">
        <f t="shared" si="11"/>
        <v>4.3827611395179655E-3</v>
      </c>
      <c r="H203" s="2">
        <f t="shared" si="9"/>
        <v>25.299999999999955</v>
      </c>
      <c r="I203" s="3">
        <f t="shared" si="10"/>
        <v>2.6062322946175592E-2</v>
      </c>
    </row>
    <row r="204" spans="2:9" x14ac:dyDescent="0.25">
      <c r="B204" s="1">
        <v>35467</v>
      </c>
      <c r="C204">
        <v>967.75</v>
      </c>
      <c r="D204">
        <v>960.75</v>
      </c>
      <c r="E204">
        <v>972.4</v>
      </c>
      <c r="F204">
        <v>953.95</v>
      </c>
      <c r="G204" s="3">
        <f t="shared" si="11"/>
        <v>5.4545454545453786E-3</v>
      </c>
      <c r="H204" s="2">
        <f t="shared" si="9"/>
        <v>18.449999999999932</v>
      </c>
      <c r="I204" s="3">
        <f t="shared" si="10"/>
        <v>1.9203747072599461E-2</v>
      </c>
    </row>
    <row r="205" spans="2:9" x14ac:dyDescent="0.25">
      <c r="B205" s="1">
        <v>35468</v>
      </c>
      <c r="C205">
        <v>978.8</v>
      </c>
      <c r="D205">
        <v>969.5</v>
      </c>
      <c r="E205">
        <v>980.95</v>
      </c>
      <c r="F205">
        <v>966.5</v>
      </c>
      <c r="G205" s="3">
        <f t="shared" si="11"/>
        <v>1.141823818134835E-2</v>
      </c>
      <c r="H205" s="2">
        <f t="shared" si="9"/>
        <v>14.450000000000045</v>
      </c>
      <c r="I205" s="3">
        <f t="shared" si="10"/>
        <v>1.4904589994842749E-2</v>
      </c>
    </row>
    <row r="206" spans="2:9" x14ac:dyDescent="0.25">
      <c r="B206" s="1">
        <v>35471</v>
      </c>
      <c r="C206">
        <v>981.45</v>
      </c>
      <c r="D206">
        <v>981</v>
      </c>
      <c r="E206">
        <v>986.75</v>
      </c>
      <c r="F206">
        <v>975.15</v>
      </c>
      <c r="G206" s="3">
        <f t="shared" si="11"/>
        <v>2.7073968124233794E-3</v>
      </c>
      <c r="H206" s="2">
        <f t="shared" si="9"/>
        <v>11.600000000000023</v>
      </c>
      <c r="I206" s="3">
        <f t="shared" si="10"/>
        <v>1.1824668705402674E-2</v>
      </c>
    </row>
    <row r="207" spans="2:9" x14ac:dyDescent="0.25">
      <c r="B207" s="1">
        <v>35472</v>
      </c>
      <c r="C207">
        <v>992.75</v>
      </c>
      <c r="D207">
        <v>980.95</v>
      </c>
      <c r="E207">
        <v>996.05</v>
      </c>
      <c r="F207">
        <v>978.85</v>
      </c>
      <c r="G207" s="3">
        <f t="shared" si="11"/>
        <v>1.1513576850578078E-2</v>
      </c>
      <c r="H207" s="2">
        <f t="shared" si="9"/>
        <v>17.199999999999932</v>
      </c>
      <c r="I207" s="3">
        <f t="shared" si="10"/>
        <v>1.7534023140832796E-2</v>
      </c>
    </row>
    <row r="208" spans="2:9" x14ac:dyDescent="0.25">
      <c r="B208" s="1">
        <v>35473</v>
      </c>
      <c r="C208" s="2">
        <v>1001</v>
      </c>
      <c r="D208">
        <v>991.65</v>
      </c>
      <c r="E208" s="2">
        <v>1008.8</v>
      </c>
      <c r="F208">
        <v>990.9</v>
      </c>
      <c r="G208" s="3">
        <f t="shared" si="11"/>
        <v>8.310249307479145E-3</v>
      </c>
      <c r="H208" s="2">
        <f t="shared" si="9"/>
        <v>17.899999999999977</v>
      </c>
      <c r="I208" s="3">
        <f t="shared" si="10"/>
        <v>1.8050723541572104E-2</v>
      </c>
    </row>
    <row r="209" spans="2:9" x14ac:dyDescent="0.25">
      <c r="B209" s="1">
        <v>35474</v>
      </c>
      <c r="C209" s="2">
        <v>1002.15</v>
      </c>
      <c r="D209">
        <v>998.45</v>
      </c>
      <c r="E209" s="2">
        <v>1005.1</v>
      </c>
      <c r="F209">
        <v>995.35</v>
      </c>
      <c r="G209" s="3">
        <f t="shared" si="11"/>
        <v>1.1488511488511044E-3</v>
      </c>
      <c r="H209" s="2">
        <f t="shared" si="9"/>
        <v>9.75</v>
      </c>
      <c r="I209" s="3">
        <f t="shared" si="10"/>
        <v>9.7651359607391457E-3</v>
      </c>
    </row>
    <row r="210" spans="2:9" x14ac:dyDescent="0.25">
      <c r="B210" s="1">
        <v>35475</v>
      </c>
      <c r="C210" s="2">
        <v>1009.45</v>
      </c>
      <c r="D210" s="2">
        <v>1001.3</v>
      </c>
      <c r="E210" s="2">
        <v>1011.85</v>
      </c>
      <c r="F210" s="2">
        <v>1001.1</v>
      </c>
      <c r="G210" s="3">
        <f t="shared" si="11"/>
        <v>7.284338671855517E-3</v>
      </c>
      <c r="H210" s="2">
        <f t="shared" si="9"/>
        <v>10.75</v>
      </c>
      <c r="I210" s="3">
        <f t="shared" si="10"/>
        <v>1.0736043143912914E-2</v>
      </c>
    </row>
    <row r="211" spans="2:9" x14ac:dyDescent="0.25">
      <c r="B211" s="1">
        <v>35478</v>
      </c>
      <c r="C211" s="2">
        <v>1020.1</v>
      </c>
      <c r="D211" s="2">
        <v>1017.75</v>
      </c>
      <c r="E211" s="2">
        <v>1024.3</v>
      </c>
      <c r="F211" s="2">
        <v>1015.1</v>
      </c>
      <c r="G211" s="3">
        <f t="shared" si="11"/>
        <v>1.0550299668136143E-2</v>
      </c>
      <c r="H211" s="2">
        <f t="shared" si="9"/>
        <v>9.1999999999999318</v>
      </c>
      <c r="I211" s="3">
        <f t="shared" si="10"/>
        <v>9.0395480225988027E-3</v>
      </c>
    </row>
    <row r="212" spans="2:9" x14ac:dyDescent="0.25">
      <c r="B212" s="1">
        <v>35479</v>
      </c>
      <c r="C212" s="2">
        <v>1000.75</v>
      </c>
      <c r="D212" s="2">
        <v>1020.75</v>
      </c>
      <c r="E212" s="2">
        <v>1020.85</v>
      </c>
      <c r="F212">
        <v>998.9</v>
      </c>
      <c r="G212" s="3">
        <f t="shared" si="11"/>
        <v>-1.8968728556023939E-2</v>
      </c>
      <c r="H212" s="2">
        <f t="shared" si="9"/>
        <v>21.950000000000045</v>
      </c>
      <c r="I212" s="3">
        <f t="shared" si="10"/>
        <v>2.1503796228263577E-2</v>
      </c>
    </row>
    <row r="213" spans="2:9" x14ac:dyDescent="0.25">
      <c r="B213" s="1">
        <v>35480</v>
      </c>
      <c r="C213" s="2">
        <v>1011.85</v>
      </c>
      <c r="D213" s="2">
        <v>1004.05</v>
      </c>
      <c r="E213" s="2">
        <v>1013.05</v>
      </c>
      <c r="F213">
        <v>993.85</v>
      </c>
      <c r="G213" s="3">
        <f t="shared" si="11"/>
        <v>1.1091681239070672E-2</v>
      </c>
      <c r="H213" s="2">
        <f t="shared" si="9"/>
        <v>19.199999999999932</v>
      </c>
      <c r="I213" s="3">
        <f t="shared" si="10"/>
        <v>1.9122553657686302E-2</v>
      </c>
    </row>
    <row r="214" spans="2:9" x14ac:dyDescent="0.25">
      <c r="B214" s="1">
        <v>35481</v>
      </c>
      <c r="C214" s="2">
        <v>1003.1</v>
      </c>
      <c r="D214" s="2">
        <v>1009.55</v>
      </c>
      <c r="E214" s="2">
        <v>1009.6</v>
      </c>
      <c r="F214" s="2">
        <v>1000.55</v>
      </c>
      <c r="G214" s="3">
        <f t="shared" si="11"/>
        <v>-8.6475268073330502E-3</v>
      </c>
      <c r="H214" s="2">
        <f t="shared" si="9"/>
        <v>9.0500000000000682</v>
      </c>
      <c r="I214" s="3">
        <f t="shared" si="10"/>
        <v>8.9643900747858642E-3</v>
      </c>
    </row>
    <row r="215" spans="2:9" x14ac:dyDescent="0.25">
      <c r="B215" s="1">
        <v>35482</v>
      </c>
      <c r="C215">
        <v>991.55</v>
      </c>
      <c r="D215" s="2">
        <v>1000.75</v>
      </c>
      <c r="E215" s="2">
        <v>1002</v>
      </c>
      <c r="F215">
        <v>989.5</v>
      </c>
      <c r="G215" s="3">
        <f t="shared" si="11"/>
        <v>-1.1514305652477352E-2</v>
      </c>
      <c r="H215" s="2">
        <f t="shared" si="9"/>
        <v>12.5</v>
      </c>
      <c r="I215" s="3">
        <f t="shared" si="10"/>
        <v>1.2490632025980514E-2</v>
      </c>
    </row>
    <row r="216" spans="2:9" x14ac:dyDescent="0.25">
      <c r="B216" s="1">
        <v>35485</v>
      </c>
      <c r="C216">
        <v>964.75</v>
      </c>
      <c r="D216">
        <v>988.7</v>
      </c>
      <c r="E216">
        <v>988.9</v>
      </c>
      <c r="F216">
        <v>961.95</v>
      </c>
      <c r="G216" s="3">
        <f t="shared" si="11"/>
        <v>-2.7028389894609428E-2</v>
      </c>
      <c r="H216" s="2">
        <f t="shared" si="9"/>
        <v>26.949999999999932</v>
      </c>
      <c r="I216" s="3">
        <f t="shared" si="10"/>
        <v>2.7258015576008831E-2</v>
      </c>
    </row>
    <row r="217" spans="2:9" x14ac:dyDescent="0.25">
      <c r="B217" s="1">
        <v>35486</v>
      </c>
      <c r="C217">
        <v>966.1</v>
      </c>
      <c r="D217">
        <v>962.6</v>
      </c>
      <c r="E217">
        <v>975.25</v>
      </c>
      <c r="F217">
        <v>954.5</v>
      </c>
      <c r="G217" s="3">
        <f t="shared" si="11"/>
        <v>1.3993262503240178E-3</v>
      </c>
      <c r="H217" s="2">
        <f t="shared" si="9"/>
        <v>20.75</v>
      </c>
      <c r="I217" s="3">
        <f t="shared" si="10"/>
        <v>2.1556201953043839E-2</v>
      </c>
    </row>
    <row r="218" spans="2:9" x14ac:dyDescent="0.25">
      <c r="B218" s="1">
        <v>35487</v>
      </c>
      <c r="C218">
        <v>968.85</v>
      </c>
      <c r="D218">
        <v>963.95</v>
      </c>
      <c r="E218">
        <v>970.5</v>
      </c>
      <c r="F218">
        <v>956.75</v>
      </c>
      <c r="G218" s="3">
        <f t="shared" si="11"/>
        <v>2.8464962219232337E-3</v>
      </c>
      <c r="H218" s="2">
        <f t="shared" si="9"/>
        <v>13.75</v>
      </c>
      <c r="I218" s="3">
        <f t="shared" si="10"/>
        <v>1.426422532289019E-2</v>
      </c>
    </row>
    <row r="219" spans="2:9" x14ac:dyDescent="0.25">
      <c r="B219" s="1">
        <v>35488</v>
      </c>
      <c r="C219">
        <v>992.75</v>
      </c>
      <c r="D219">
        <v>972.35</v>
      </c>
      <c r="E219">
        <v>994.5</v>
      </c>
      <c r="F219">
        <v>972.05</v>
      </c>
      <c r="G219" s="3">
        <f t="shared" si="11"/>
        <v>2.4668421324250289E-2</v>
      </c>
      <c r="H219" s="2">
        <f t="shared" si="9"/>
        <v>22.450000000000045</v>
      </c>
      <c r="I219" s="3">
        <f t="shared" si="10"/>
        <v>2.3088394096775898E-2</v>
      </c>
    </row>
    <row r="220" spans="2:9" x14ac:dyDescent="0.25">
      <c r="B220" s="1">
        <v>35489</v>
      </c>
      <c r="C220">
        <v>998.65</v>
      </c>
      <c r="D220">
        <v>998.25</v>
      </c>
      <c r="E220" s="2">
        <v>1006.6</v>
      </c>
      <c r="F220">
        <v>996</v>
      </c>
      <c r="G220" s="3">
        <f t="shared" si="11"/>
        <v>5.9430873835306652E-3</v>
      </c>
      <c r="H220" s="2">
        <f t="shared" si="9"/>
        <v>10.600000000000023</v>
      </c>
      <c r="I220" s="3">
        <f t="shared" si="10"/>
        <v>1.0618582519408988E-2</v>
      </c>
    </row>
    <row r="221" spans="2:9" x14ac:dyDescent="0.25">
      <c r="B221" s="1">
        <v>35490</v>
      </c>
      <c r="C221" s="2">
        <v>1102.95</v>
      </c>
      <c r="D221" s="2">
        <v>1070.8</v>
      </c>
      <c r="E221" s="2">
        <v>1106.5999999999999</v>
      </c>
      <c r="F221" s="2">
        <v>1070.8</v>
      </c>
      <c r="G221" s="3">
        <f t="shared" si="11"/>
        <v>0.10444099534371398</v>
      </c>
      <c r="H221" s="2">
        <f t="shared" si="9"/>
        <v>35.799999999999955</v>
      </c>
      <c r="I221" s="3">
        <f t="shared" si="10"/>
        <v>3.3432947329099696E-2</v>
      </c>
    </row>
    <row r="222" spans="2:9" x14ac:dyDescent="0.25">
      <c r="B222" s="1">
        <v>35492</v>
      </c>
      <c r="C222" s="2">
        <v>1107.7</v>
      </c>
      <c r="D222" s="2">
        <v>1102.45</v>
      </c>
      <c r="E222" s="2">
        <v>1140.6500000000001</v>
      </c>
      <c r="F222" s="2">
        <v>1095.9000000000001</v>
      </c>
      <c r="G222" s="3">
        <f t="shared" si="11"/>
        <v>4.3066322136089408E-3</v>
      </c>
      <c r="H222" s="2">
        <f t="shared" si="9"/>
        <v>44.75</v>
      </c>
      <c r="I222" s="3">
        <f t="shared" si="10"/>
        <v>4.059141004127171E-2</v>
      </c>
    </row>
    <row r="223" spans="2:9" x14ac:dyDescent="0.25">
      <c r="B223" s="1">
        <v>35493</v>
      </c>
      <c r="C223" s="2">
        <v>1117.3</v>
      </c>
      <c r="D223" s="2">
        <v>1111.75</v>
      </c>
      <c r="E223" s="2">
        <v>1121.4000000000001</v>
      </c>
      <c r="F223" s="2">
        <v>1098.2</v>
      </c>
      <c r="G223" s="3">
        <f t="shared" si="11"/>
        <v>8.6666064818994304E-3</v>
      </c>
      <c r="H223" s="2">
        <f t="shared" si="9"/>
        <v>23.200000000000045</v>
      </c>
      <c r="I223" s="3">
        <f t="shared" si="10"/>
        <v>2.0868000899482837E-2</v>
      </c>
    </row>
    <row r="224" spans="2:9" x14ac:dyDescent="0.25">
      <c r="B224" s="1">
        <v>35494</v>
      </c>
      <c r="C224" s="2">
        <v>1132.9000000000001</v>
      </c>
      <c r="D224" s="2">
        <v>1144.25</v>
      </c>
      <c r="E224" s="2">
        <v>1167.95</v>
      </c>
      <c r="F224" s="2">
        <v>1122.25</v>
      </c>
      <c r="G224" s="3">
        <f t="shared" si="11"/>
        <v>1.3962230376801443E-2</v>
      </c>
      <c r="H224" s="2">
        <f t="shared" si="9"/>
        <v>45.700000000000045</v>
      </c>
      <c r="I224" s="3">
        <f t="shared" si="10"/>
        <v>3.9938824557570501E-2</v>
      </c>
    </row>
    <row r="225" spans="2:9" x14ac:dyDescent="0.25">
      <c r="B225" s="1">
        <v>35495</v>
      </c>
      <c r="C225" s="2">
        <v>1127.25</v>
      </c>
      <c r="D225" s="2">
        <v>1127</v>
      </c>
      <c r="E225" s="2">
        <v>1135.75</v>
      </c>
      <c r="F225" s="2">
        <v>1119.3</v>
      </c>
      <c r="G225" s="3">
        <f t="shared" si="11"/>
        <v>-4.9872009886133828E-3</v>
      </c>
      <c r="H225" s="2">
        <f t="shared" si="9"/>
        <v>16.450000000000045</v>
      </c>
      <c r="I225" s="3">
        <f t="shared" si="10"/>
        <v>1.4596273291925506E-2</v>
      </c>
    </row>
    <row r="226" spans="2:9" x14ac:dyDescent="0.25">
      <c r="B226" s="1">
        <v>35499</v>
      </c>
      <c r="C226" s="2">
        <v>1078.7</v>
      </c>
      <c r="D226" s="2">
        <v>1118.8</v>
      </c>
      <c r="E226" s="2">
        <v>1118.8</v>
      </c>
      <c r="F226" s="2">
        <v>1075.05</v>
      </c>
      <c r="G226" s="3">
        <f t="shared" si="11"/>
        <v>-4.3069416722111287E-2</v>
      </c>
      <c r="H226" s="2">
        <f t="shared" si="9"/>
        <v>43.75</v>
      </c>
      <c r="I226" s="3">
        <f t="shared" si="10"/>
        <v>3.9104397568823744E-2</v>
      </c>
    </row>
    <row r="227" spans="2:9" x14ac:dyDescent="0.25">
      <c r="B227" s="1">
        <v>35500</v>
      </c>
      <c r="C227" s="2">
        <v>1052</v>
      </c>
      <c r="D227" s="2">
        <v>1073.8</v>
      </c>
      <c r="E227" s="2">
        <v>1083.3499999999999</v>
      </c>
      <c r="F227" s="2">
        <v>1046.3</v>
      </c>
      <c r="G227" s="3">
        <f t="shared" si="11"/>
        <v>-2.4752016315935932E-2</v>
      </c>
      <c r="H227" s="2">
        <f t="shared" si="9"/>
        <v>37.049999999999955</v>
      </c>
      <c r="I227" s="3">
        <f t="shared" si="10"/>
        <v>3.4503631961259038E-2</v>
      </c>
    </row>
    <row r="228" spans="2:9" x14ac:dyDescent="0.25">
      <c r="B228" s="1">
        <v>35501</v>
      </c>
      <c r="C228" s="2">
        <v>1074.2</v>
      </c>
      <c r="D228" s="2">
        <v>1066.55</v>
      </c>
      <c r="E228" s="2">
        <v>1088.6500000000001</v>
      </c>
      <c r="F228" s="2">
        <v>1065.25</v>
      </c>
      <c r="G228" s="3">
        <f t="shared" si="11"/>
        <v>2.1102661596958283E-2</v>
      </c>
      <c r="H228" s="2">
        <f t="shared" si="9"/>
        <v>23.400000000000091</v>
      </c>
      <c r="I228" s="3">
        <f t="shared" si="10"/>
        <v>2.1939899676527208E-2</v>
      </c>
    </row>
    <row r="229" spans="2:9" x14ac:dyDescent="0.25">
      <c r="B229" s="1">
        <v>35502</v>
      </c>
      <c r="C229" s="2">
        <v>1066.5</v>
      </c>
      <c r="D229" s="2">
        <v>1076.8499999999999</v>
      </c>
      <c r="E229" s="2">
        <v>1078.5999999999999</v>
      </c>
      <c r="F229" s="2">
        <v>1062.7</v>
      </c>
      <c r="G229" s="3">
        <f t="shared" si="11"/>
        <v>-7.1681251163656645E-3</v>
      </c>
      <c r="H229" s="2">
        <f t="shared" si="9"/>
        <v>15.899999999999864</v>
      </c>
      <c r="I229" s="3">
        <f t="shared" si="10"/>
        <v>1.4765287644518611E-2</v>
      </c>
    </row>
    <row r="230" spans="2:9" x14ac:dyDescent="0.25">
      <c r="B230" s="1">
        <v>35503</v>
      </c>
      <c r="C230" s="2">
        <v>1070.0999999999999</v>
      </c>
      <c r="D230" s="2">
        <v>1062.2</v>
      </c>
      <c r="E230" s="2">
        <v>1076.6500000000001</v>
      </c>
      <c r="F230" s="2">
        <v>1057.55</v>
      </c>
      <c r="G230" s="3">
        <f t="shared" si="11"/>
        <v>3.3755274261602075E-3</v>
      </c>
      <c r="H230" s="2">
        <f t="shared" si="9"/>
        <v>19.100000000000136</v>
      </c>
      <c r="I230" s="3">
        <f t="shared" si="10"/>
        <v>1.798154773112421E-2</v>
      </c>
    </row>
    <row r="231" spans="2:9" x14ac:dyDescent="0.25">
      <c r="B231" s="1">
        <v>35506</v>
      </c>
      <c r="C231" s="2">
        <v>1072.5999999999999</v>
      </c>
      <c r="D231" s="2">
        <v>1071.95</v>
      </c>
      <c r="E231" s="2">
        <v>1076.25</v>
      </c>
      <c r="F231" s="2">
        <v>1065.45</v>
      </c>
      <c r="G231" s="3">
        <f t="shared" si="11"/>
        <v>2.3362302588543216E-3</v>
      </c>
      <c r="H231" s="2">
        <f t="shared" si="9"/>
        <v>10.799999999999955</v>
      </c>
      <c r="I231" s="3">
        <f t="shared" si="10"/>
        <v>1.0075096786230657E-2</v>
      </c>
    </row>
    <row r="232" spans="2:9" x14ac:dyDescent="0.25">
      <c r="B232" s="1">
        <v>35507</v>
      </c>
      <c r="C232" s="2">
        <v>1064.3499999999999</v>
      </c>
      <c r="D232" s="2">
        <v>1072.3</v>
      </c>
      <c r="E232" s="2">
        <v>1074.5</v>
      </c>
      <c r="F232" s="2">
        <v>1061.05</v>
      </c>
      <c r="G232" s="3">
        <f t="shared" si="11"/>
        <v>-7.6915905276897512E-3</v>
      </c>
      <c r="H232" s="2">
        <f t="shared" si="9"/>
        <v>13.450000000000045</v>
      </c>
      <c r="I232" s="3">
        <f t="shared" si="10"/>
        <v>1.2543131586309843E-2</v>
      </c>
    </row>
    <row r="233" spans="2:9" x14ac:dyDescent="0.25">
      <c r="B233" s="1">
        <v>35508</v>
      </c>
      <c r="C233" s="2">
        <v>1052.05</v>
      </c>
      <c r="D233" s="2">
        <v>1074.25</v>
      </c>
      <c r="E233" s="2">
        <v>1079.5999999999999</v>
      </c>
      <c r="F233" s="2">
        <v>1050</v>
      </c>
      <c r="G233" s="3">
        <f t="shared" si="11"/>
        <v>-1.1556348945365724E-2</v>
      </c>
      <c r="H233" s="2">
        <f t="shared" si="9"/>
        <v>29.599999999999909</v>
      </c>
      <c r="I233" s="3">
        <f t="shared" si="10"/>
        <v>2.7554107516872151E-2</v>
      </c>
    </row>
    <row r="234" spans="2:9" x14ac:dyDescent="0.25">
      <c r="B234" s="1">
        <v>35509</v>
      </c>
      <c r="C234" s="2">
        <v>1054.8</v>
      </c>
      <c r="D234" s="2">
        <v>1049</v>
      </c>
      <c r="E234" s="2">
        <v>1059.5</v>
      </c>
      <c r="F234" s="2">
        <v>1040.95</v>
      </c>
      <c r="G234" s="3">
        <f t="shared" si="11"/>
        <v>2.6139442041728245E-3</v>
      </c>
      <c r="H234" s="2">
        <f t="shared" si="9"/>
        <v>18.549999999999955</v>
      </c>
      <c r="I234" s="3">
        <f t="shared" si="10"/>
        <v>1.7683508102955152E-2</v>
      </c>
    </row>
    <row r="235" spans="2:9" x14ac:dyDescent="0.25">
      <c r="B235" s="1">
        <v>35510</v>
      </c>
      <c r="C235" s="2">
        <v>1061.4000000000001</v>
      </c>
      <c r="D235" s="2">
        <v>1058.7</v>
      </c>
      <c r="E235" s="2">
        <v>1069.5</v>
      </c>
      <c r="F235" s="2">
        <v>1058.55</v>
      </c>
      <c r="G235" s="3">
        <f t="shared" si="11"/>
        <v>6.2571103526736227E-3</v>
      </c>
      <c r="H235" s="2">
        <f t="shared" si="9"/>
        <v>10.950000000000045</v>
      </c>
      <c r="I235" s="3">
        <f t="shared" si="10"/>
        <v>1.0342873335222486E-2</v>
      </c>
    </row>
    <row r="236" spans="2:9" x14ac:dyDescent="0.25">
      <c r="B236" s="1">
        <v>35514</v>
      </c>
      <c r="C236" s="2">
        <v>1058.3499999999999</v>
      </c>
      <c r="D236" s="2">
        <v>1064.5</v>
      </c>
      <c r="E236" s="2">
        <v>1067.25</v>
      </c>
      <c r="F236" s="2">
        <v>1054.5</v>
      </c>
      <c r="G236" s="3">
        <f t="shared" si="11"/>
        <v>-2.8735632183909399E-3</v>
      </c>
      <c r="H236" s="2">
        <f t="shared" si="9"/>
        <v>12.75</v>
      </c>
      <c r="I236" s="3">
        <f t="shared" si="10"/>
        <v>1.1977454203851573E-2</v>
      </c>
    </row>
    <row r="237" spans="2:9" x14ac:dyDescent="0.25">
      <c r="B237" s="1">
        <v>35515</v>
      </c>
      <c r="C237" s="2">
        <v>1059.2</v>
      </c>
      <c r="D237" s="2">
        <v>1062.5</v>
      </c>
      <c r="E237" s="2">
        <v>1067.2</v>
      </c>
      <c r="F237" s="2">
        <v>1057.5</v>
      </c>
      <c r="G237" s="3">
        <f t="shared" si="11"/>
        <v>8.0313695847311628E-4</v>
      </c>
      <c r="H237" s="2">
        <f t="shared" si="9"/>
        <v>9.7000000000000455</v>
      </c>
      <c r="I237" s="3">
        <f t="shared" si="10"/>
        <v>9.1294117647059258E-3</v>
      </c>
    </row>
    <row r="238" spans="2:9" x14ac:dyDescent="0.25">
      <c r="B238" s="1">
        <v>35516</v>
      </c>
      <c r="C238" s="2">
        <v>1057.8</v>
      </c>
      <c r="D238" s="2">
        <v>1057.45</v>
      </c>
      <c r="E238" s="2">
        <v>1059</v>
      </c>
      <c r="F238" s="2">
        <v>1047.7</v>
      </c>
      <c r="G238" s="3">
        <f t="shared" si="11"/>
        <v>-1.3217522658610648E-3</v>
      </c>
      <c r="H238" s="2">
        <f t="shared" si="9"/>
        <v>11.299999999999955</v>
      </c>
      <c r="I238" s="3">
        <f t="shared" si="10"/>
        <v>1.0686084448437235E-2</v>
      </c>
    </row>
    <row r="239" spans="2:9" x14ac:dyDescent="0.25">
      <c r="B239" s="1">
        <v>35520</v>
      </c>
      <c r="C239">
        <v>968.3</v>
      </c>
      <c r="D239" s="2">
        <v>1012.15</v>
      </c>
      <c r="E239" s="2">
        <v>1012.15</v>
      </c>
      <c r="F239">
        <v>966.8</v>
      </c>
      <c r="G239" s="3">
        <f t="shared" si="11"/>
        <v>-8.4609567025902832E-2</v>
      </c>
      <c r="H239" s="2">
        <f t="shared" si="9"/>
        <v>45.350000000000023</v>
      </c>
      <c r="I239" s="3">
        <f t="shared" si="10"/>
        <v>4.4805611816430398E-2</v>
      </c>
    </row>
    <row r="240" spans="2:9" x14ac:dyDescent="0.25">
      <c r="B240" s="1">
        <v>35521</v>
      </c>
      <c r="C240">
        <v>970.15</v>
      </c>
      <c r="D240">
        <v>931.95</v>
      </c>
      <c r="E240">
        <v>973.85</v>
      </c>
      <c r="F240">
        <v>931.5</v>
      </c>
      <c r="G240" s="3">
        <f t="shared" si="11"/>
        <v>1.9105649075699116E-3</v>
      </c>
      <c r="H240" s="2">
        <f t="shared" si="9"/>
        <v>42.350000000000023</v>
      </c>
      <c r="I240" s="3">
        <f t="shared" si="10"/>
        <v>4.5442352057513839E-2</v>
      </c>
    </row>
    <row r="241" spans="2:9" x14ac:dyDescent="0.25">
      <c r="B241" s="1">
        <v>35522</v>
      </c>
      <c r="C241" s="2">
        <v>1002.2</v>
      </c>
      <c r="D241">
        <v>982.1</v>
      </c>
      <c r="E241" s="2">
        <v>1004.65</v>
      </c>
      <c r="F241">
        <v>982.1</v>
      </c>
      <c r="G241" s="3">
        <f t="shared" si="11"/>
        <v>3.303612843374748E-2</v>
      </c>
      <c r="H241" s="2">
        <f t="shared" si="9"/>
        <v>22.549999999999955</v>
      </c>
      <c r="I241" s="3">
        <f t="shared" si="10"/>
        <v>2.2961001934629827E-2</v>
      </c>
    </row>
    <row r="242" spans="2:9" x14ac:dyDescent="0.25">
      <c r="B242" s="1">
        <v>35523</v>
      </c>
      <c r="C242" s="2">
        <v>1010.65</v>
      </c>
      <c r="D242" s="2">
        <v>1004.3</v>
      </c>
      <c r="E242" s="2">
        <v>1012.75</v>
      </c>
      <c r="F242" s="2">
        <v>1000.55</v>
      </c>
      <c r="G242" s="3">
        <f t="shared" si="11"/>
        <v>8.4314508082219408E-3</v>
      </c>
      <c r="H242" s="2">
        <f t="shared" si="9"/>
        <v>12.200000000000045</v>
      </c>
      <c r="I242" s="3">
        <f t="shared" si="10"/>
        <v>1.2147764612167725E-2</v>
      </c>
    </row>
    <row r="243" spans="2:9" x14ac:dyDescent="0.25">
      <c r="B243" s="1">
        <v>35524</v>
      </c>
      <c r="C243" s="2">
        <v>1001</v>
      </c>
      <c r="D243" s="2">
        <v>1001.9</v>
      </c>
      <c r="E243" s="2">
        <v>1002</v>
      </c>
      <c r="F243">
        <v>996.6</v>
      </c>
      <c r="G243" s="3">
        <f t="shared" si="11"/>
        <v>-9.5483104932468921E-3</v>
      </c>
      <c r="H243" s="2">
        <f t="shared" si="9"/>
        <v>5.3999999999999773</v>
      </c>
      <c r="I243" s="3">
        <f t="shared" si="10"/>
        <v>5.3897594570316175E-3</v>
      </c>
    </row>
    <row r="244" spans="2:9" x14ac:dyDescent="0.25">
      <c r="B244" s="1">
        <v>35527</v>
      </c>
      <c r="C244">
        <v>990.9</v>
      </c>
      <c r="D244">
        <v>997.5</v>
      </c>
      <c r="E244">
        <v>998</v>
      </c>
      <c r="F244">
        <v>988</v>
      </c>
      <c r="G244" s="3">
        <f t="shared" si="11"/>
        <v>-1.0089910089910115E-2</v>
      </c>
      <c r="H244" s="2">
        <f t="shared" si="9"/>
        <v>10</v>
      </c>
      <c r="I244" s="3">
        <f t="shared" si="10"/>
        <v>1.0025062656641603E-2</v>
      </c>
    </row>
    <row r="245" spans="2:9" x14ac:dyDescent="0.25">
      <c r="B245" s="1">
        <v>35529</v>
      </c>
      <c r="C245" s="2">
        <v>1030.3</v>
      </c>
      <c r="D245" s="2">
        <v>1009.95</v>
      </c>
      <c r="E245" s="2">
        <v>1031.1500000000001</v>
      </c>
      <c r="F245" s="2">
        <v>1009.95</v>
      </c>
      <c r="G245" s="3">
        <f t="shared" si="11"/>
        <v>3.9761832677363884E-2</v>
      </c>
      <c r="H245" s="2">
        <f t="shared" si="9"/>
        <v>21.200000000000045</v>
      </c>
      <c r="I245" s="3">
        <f t="shared" si="10"/>
        <v>2.0991138175157228E-2</v>
      </c>
    </row>
    <row r="246" spans="2:9" x14ac:dyDescent="0.25">
      <c r="B246" s="1">
        <v>35530</v>
      </c>
      <c r="C246" s="2">
        <v>1008.35</v>
      </c>
      <c r="D246" s="2">
        <v>1024.45</v>
      </c>
      <c r="E246" s="2">
        <v>1024.7</v>
      </c>
      <c r="F246" s="2">
        <v>1000.3</v>
      </c>
      <c r="G246" s="3">
        <f t="shared" si="11"/>
        <v>-2.1304474424924669E-2</v>
      </c>
      <c r="H246" s="2">
        <f t="shared" si="9"/>
        <v>24.400000000000091</v>
      </c>
      <c r="I246" s="3">
        <f t="shared" si="10"/>
        <v>2.3817658255649462E-2</v>
      </c>
    </row>
    <row r="247" spans="2:9" x14ac:dyDescent="0.25">
      <c r="B247" s="1">
        <v>35531</v>
      </c>
      <c r="C247" s="2">
        <v>1013.4</v>
      </c>
      <c r="D247">
        <v>993.3</v>
      </c>
      <c r="E247" s="2">
        <v>1017.2</v>
      </c>
      <c r="F247">
        <v>985.65</v>
      </c>
      <c r="G247" s="3">
        <f t="shared" si="11"/>
        <v>5.0081816829472547E-3</v>
      </c>
      <c r="H247" s="2">
        <f t="shared" si="9"/>
        <v>31.550000000000068</v>
      </c>
      <c r="I247" s="3">
        <f t="shared" si="10"/>
        <v>3.1762810832578342E-2</v>
      </c>
    </row>
    <row r="248" spans="2:9" x14ac:dyDescent="0.25">
      <c r="B248" s="1">
        <v>35532</v>
      </c>
      <c r="C248" s="2">
        <v>1003.25</v>
      </c>
      <c r="D248" s="2">
        <v>1004.9</v>
      </c>
      <c r="E248" s="2">
        <v>1009.9</v>
      </c>
      <c r="F248">
        <v>999.3</v>
      </c>
      <c r="G248" s="3">
        <f t="shared" si="11"/>
        <v>-1.0015788434971307E-2</v>
      </c>
      <c r="H248" s="2">
        <f t="shared" si="9"/>
        <v>10.600000000000023</v>
      </c>
      <c r="I248" s="3">
        <f t="shared" si="10"/>
        <v>1.0548313265001516E-2</v>
      </c>
    </row>
    <row r="249" spans="2:9" x14ac:dyDescent="0.25">
      <c r="B249" s="1">
        <v>35535</v>
      </c>
      <c r="C249" s="2">
        <v>1014.9</v>
      </c>
      <c r="D249" s="2">
        <v>1010.65</v>
      </c>
      <c r="E249" s="2">
        <v>1018.6</v>
      </c>
      <c r="F249" s="2">
        <v>1010.65</v>
      </c>
      <c r="G249" s="3">
        <f t="shared" si="11"/>
        <v>1.16122601544979E-2</v>
      </c>
      <c r="H249" s="2">
        <f t="shared" si="9"/>
        <v>7.9500000000000455</v>
      </c>
      <c r="I249" s="3">
        <f t="shared" si="10"/>
        <v>7.8662247068718612E-3</v>
      </c>
    </row>
    <row r="250" spans="2:9" x14ac:dyDescent="0.25">
      <c r="B250" s="1">
        <v>35537</v>
      </c>
      <c r="C250" s="2">
        <v>1035.2</v>
      </c>
      <c r="D250" s="2">
        <v>1020.4</v>
      </c>
      <c r="E250" s="2">
        <v>1036.1500000000001</v>
      </c>
      <c r="F250" s="2">
        <v>1018.25</v>
      </c>
      <c r="G250" s="3">
        <f t="shared" si="11"/>
        <v>2.0001970637501199E-2</v>
      </c>
      <c r="H250" s="2">
        <f t="shared" si="9"/>
        <v>17.900000000000091</v>
      </c>
      <c r="I250" s="3">
        <f t="shared" si="10"/>
        <v>1.7542140337122786E-2</v>
      </c>
    </row>
    <row r="251" spans="2:9" x14ac:dyDescent="0.25">
      <c r="B251" s="1">
        <v>35541</v>
      </c>
      <c r="C251" s="2">
        <v>1060.5999999999999</v>
      </c>
      <c r="D251" s="2">
        <v>1041.45</v>
      </c>
      <c r="E251" s="2">
        <v>1061.8</v>
      </c>
      <c r="F251" s="2">
        <v>1041.25</v>
      </c>
      <c r="G251" s="3">
        <f t="shared" si="11"/>
        <v>2.4536321483771051E-2</v>
      </c>
      <c r="H251" s="2">
        <f t="shared" si="9"/>
        <v>20.549999999999955</v>
      </c>
      <c r="I251" s="3">
        <f t="shared" si="10"/>
        <v>1.9732104277689715E-2</v>
      </c>
    </row>
    <row r="252" spans="2:9" x14ac:dyDescent="0.25">
      <c r="B252" s="1">
        <v>35542</v>
      </c>
      <c r="C252" s="2">
        <v>1059.8</v>
      </c>
      <c r="D252" s="2">
        <v>1066.7</v>
      </c>
      <c r="E252" s="2">
        <v>1073.9000000000001</v>
      </c>
      <c r="F252" s="2">
        <v>1056.4000000000001</v>
      </c>
      <c r="G252" s="3">
        <f t="shared" si="11"/>
        <v>-7.5429002451443683E-4</v>
      </c>
      <c r="H252" s="2">
        <f t="shared" si="9"/>
        <v>17.5</v>
      </c>
      <c r="I252" s="3">
        <f t="shared" si="10"/>
        <v>1.6405737320708727E-2</v>
      </c>
    </row>
    <row r="253" spans="2:9" x14ac:dyDescent="0.25">
      <c r="B253" s="1">
        <v>35543</v>
      </c>
      <c r="C253" s="2">
        <v>1071.05</v>
      </c>
      <c r="D253" s="2">
        <v>1065.95</v>
      </c>
      <c r="E253" s="2">
        <v>1078.05</v>
      </c>
      <c r="F253" s="2">
        <v>1063.8499999999999</v>
      </c>
      <c r="G253" s="3">
        <f t="shared" si="11"/>
        <v>1.0615210417059817E-2</v>
      </c>
      <c r="H253" s="2">
        <f t="shared" si="9"/>
        <v>14.200000000000045</v>
      </c>
      <c r="I253" s="3">
        <f t="shared" si="10"/>
        <v>1.3321450349453581E-2</v>
      </c>
    </row>
    <row r="254" spans="2:9" x14ac:dyDescent="0.25">
      <c r="B254" s="1">
        <v>35544</v>
      </c>
      <c r="C254" s="2">
        <v>1067.2</v>
      </c>
      <c r="D254" s="2">
        <v>1071.4000000000001</v>
      </c>
      <c r="E254" s="2">
        <v>1075.9000000000001</v>
      </c>
      <c r="F254" s="2">
        <v>1063.3</v>
      </c>
      <c r="G254" s="3">
        <f t="shared" si="11"/>
        <v>-3.5946034265439408E-3</v>
      </c>
      <c r="H254" s="2">
        <f t="shared" si="9"/>
        <v>12.600000000000136</v>
      </c>
      <c r="I254" s="3">
        <f t="shared" si="10"/>
        <v>1.1760313608363016E-2</v>
      </c>
    </row>
    <row r="255" spans="2:9" x14ac:dyDescent="0.25">
      <c r="B255" s="1">
        <v>35545</v>
      </c>
      <c r="C255" s="2">
        <v>1069.4000000000001</v>
      </c>
      <c r="D255" s="2">
        <v>1065.4000000000001</v>
      </c>
      <c r="E255" s="2">
        <v>1071.05</v>
      </c>
      <c r="F255" s="2">
        <v>1062.95</v>
      </c>
      <c r="G255" s="3">
        <f t="shared" si="11"/>
        <v>2.0614692653673217E-3</v>
      </c>
      <c r="H255" s="2">
        <f t="shared" si="9"/>
        <v>8.0999999999999091</v>
      </c>
      <c r="I255" s="3">
        <f t="shared" si="10"/>
        <v>7.6027782992302501E-3</v>
      </c>
    </row>
    <row r="256" spans="2:9" x14ac:dyDescent="0.25">
      <c r="B256" s="1">
        <v>35548</v>
      </c>
      <c r="C256" s="2">
        <v>1065.4000000000001</v>
      </c>
      <c r="D256" s="2">
        <v>1068.5999999999999</v>
      </c>
      <c r="E256" s="2">
        <v>1070.7</v>
      </c>
      <c r="F256" s="2">
        <v>1061.2</v>
      </c>
      <c r="G256" s="3">
        <f t="shared" si="11"/>
        <v>-3.7404151860856993E-3</v>
      </c>
      <c r="H256" s="2">
        <f t="shared" si="9"/>
        <v>9.5</v>
      </c>
      <c r="I256" s="3">
        <f t="shared" si="10"/>
        <v>8.8901366273629063E-3</v>
      </c>
    </row>
    <row r="257" spans="2:9" x14ac:dyDescent="0.25">
      <c r="B257" s="1">
        <v>35549</v>
      </c>
      <c r="C257" s="2">
        <v>1057.45</v>
      </c>
      <c r="D257" s="2">
        <v>1063.5999999999999</v>
      </c>
      <c r="E257" s="2">
        <v>1065.4000000000001</v>
      </c>
      <c r="F257" s="2">
        <v>1052.8</v>
      </c>
      <c r="G257" s="3">
        <f t="shared" si="11"/>
        <v>-7.4619861085039041E-3</v>
      </c>
      <c r="H257" s="2">
        <f t="shared" si="9"/>
        <v>12.600000000000136</v>
      </c>
      <c r="I257" s="3">
        <f t="shared" si="10"/>
        <v>1.184655885671318E-2</v>
      </c>
    </row>
    <row r="258" spans="2:9" x14ac:dyDescent="0.25">
      <c r="B258" s="1">
        <v>35550</v>
      </c>
      <c r="C258" s="2">
        <v>1079.8499999999999</v>
      </c>
      <c r="D258" s="2">
        <v>1081.0999999999999</v>
      </c>
      <c r="E258" s="2">
        <v>1088.4000000000001</v>
      </c>
      <c r="F258" s="2">
        <v>1075.95</v>
      </c>
      <c r="G258" s="3">
        <f t="shared" si="11"/>
        <v>2.1183034658849076E-2</v>
      </c>
      <c r="H258" s="2">
        <f t="shared" si="9"/>
        <v>12.450000000000045</v>
      </c>
      <c r="I258" s="3">
        <f t="shared" si="10"/>
        <v>1.1516048469151833E-2</v>
      </c>
    </row>
    <row r="259" spans="2:9" x14ac:dyDescent="0.25">
      <c r="B259" s="1">
        <v>35552</v>
      </c>
      <c r="C259" s="2">
        <v>1069</v>
      </c>
      <c r="D259" s="2">
        <v>1074.7</v>
      </c>
      <c r="E259" s="2">
        <v>1074.7</v>
      </c>
      <c r="F259" s="2">
        <v>1063.75</v>
      </c>
      <c r="G259" s="3">
        <f t="shared" si="11"/>
        <v>-1.0047691809047521E-2</v>
      </c>
      <c r="H259" s="2">
        <f t="shared" si="9"/>
        <v>10.950000000000045</v>
      </c>
      <c r="I259" s="3">
        <f t="shared" si="10"/>
        <v>1.0188889922769187E-2</v>
      </c>
    </row>
    <row r="260" spans="2:9" x14ac:dyDescent="0.25">
      <c r="B260" s="1">
        <v>35555</v>
      </c>
      <c r="C260" s="2">
        <v>1045.5</v>
      </c>
      <c r="D260" s="2">
        <v>1061.8</v>
      </c>
      <c r="E260" s="2">
        <v>1061.8</v>
      </c>
      <c r="F260" s="2">
        <v>1043.55</v>
      </c>
      <c r="G260" s="3">
        <f t="shared" si="11"/>
        <v>-2.1983161833489251E-2</v>
      </c>
      <c r="H260" s="2">
        <f t="shared" si="9"/>
        <v>18.25</v>
      </c>
      <c r="I260" s="3">
        <f t="shared" si="10"/>
        <v>1.718779431154643E-2</v>
      </c>
    </row>
    <row r="261" spans="2:9" x14ac:dyDescent="0.25">
      <c r="B261" s="1">
        <v>35556</v>
      </c>
      <c r="C261" s="2">
        <v>1048.4000000000001</v>
      </c>
      <c r="D261" s="2">
        <v>1045.8</v>
      </c>
      <c r="E261" s="2">
        <v>1050.55</v>
      </c>
      <c r="F261" s="2">
        <v>1038.75</v>
      </c>
      <c r="G261" s="3">
        <f t="shared" si="11"/>
        <v>2.7737924438069328E-3</v>
      </c>
      <c r="H261" s="2">
        <f t="shared" ref="H261:H324" si="12">E261-F261</f>
        <v>11.799999999999955</v>
      </c>
      <c r="I261" s="3">
        <f t="shared" si="10"/>
        <v>1.1283228150697986E-2</v>
      </c>
    </row>
    <row r="262" spans="2:9" x14ac:dyDescent="0.25">
      <c r="B262" s="1">
        <v>35557</v>
      </c>
      <c r="C262" s="2">
        <v>1044.4000000000001</v>
      </c>
      <c r="D262" s="2">
        <v>1053.0999999999999</v>
      </c>
      <c r="E262" s="2">
        <v>1055.05</v>
      </c>
      <c r="F262" s="2">
        <v>1042.55</v>
      </c>
      <c r="G262" s="3">
        <f t="shared" si="11"/>
        <v>-3.8153376573826225E-3</v>
      </c>
      <c r="H262" s="2">
        <f t="shared" si="12"/>
        <v>12.5</v>
      </c>
      <c r="I262" s="3">
        <f t="shared" ref="I262:I325" si="13">H262/D262</f>
        <v>1.1869717975500902E-2</v>
      </c>
    </row>
    <row r="263" spans="2:9" x14ac:dyDescent="0.25">
      <c r="B263" s="1">
        <v>35558</v>
      </c>
      <c r="C263" s="2">
        <v>1054.05</v>
      </c>
      <c r="D263" s="2">
        <v>1043.7</v>
      </c>
      <c r="E263" s="2">
        <v>1055.4000000000001</v>
      </c>
      <c r="F263" s="2">
        <v>1039.8</v>
      </c>
      <c r="G263" s="3">
        <f t="shared" ref="G263:G326" si="14">C263/C262-1</f>
        <v>9.2397548831864018E-3</v>
      </c>
      <c r="H263" s="2">
        <f t="shared" si="12"/>
        <v>15.600000000000136</v>
      </c>
      <c r="I263" s="3">
        <f t="shared" si="13"/>
        <v>1.4946823799942643E-2</v>
      </c>
    </row>
    <row r="264" spans="2:9" x14ac:dyDescent="0.25">
      <c r="B264" s="1">
        <v>35559</v>
      </c>
      <c r="C264" s="2">
        <v>1053.3499999999999</v>
      </c>
      <c r="D264" s="2">
        <v>1054.5999999999999</v>
      </c>
      <c r="E264" s="2">
        <v>1063</v>
      </c>
      <c r="F264" s="2">
        <v>1048.05</v>
      </c>
      <c r="G264" s="3">
        <f t="shared" si="14"/>
        <v>-6.6410511835302E-4</v>
      </c>
      <c r="H264" s="2">
        <f t="shared" si="12"/>
        <v>14.950000000000045</v>
      </c>
      <c r="I264" s="3">
        <f t="shared" si="13"/>
        <v>1.4175990897022612E-2</v>
      </c>
    </row>
    <row r="265" spans="2:9" x14ac:dyDescent="0.25">
      <c r="B265" s="1">
        <v>35562</v>
      </c>
      <c r="C265" s="2">
        <v>1040.5</v>
      </c>
      <c r="D265" s="2">
        <v>1052.8</v>
      </c>
      <c r="E265" s="2">
        <v>1056.5</v>
      </c>
      <c r="F265" s="2">
        <v>1039.05</v>
      </c>
      <c r="G265" s="3">
        <f t="shared" si="14"/>
        <v>-1.2199174063701412E-2</v>
      </c>
      <c r="H265" s="2">
        <f t="shared" si="12"/>
        <v>17.450000000000045</v>
      </c>
      <c r="I265" s="3">
        <f t="shared" si="13"/>
        <v>1.6574848024316153E-2</v>
      </c>
    </row>
    <row r="266" spans="2:9" x14ac:dyDescent="0.25">
      <c r="B266" s="1">
        <v>35563</v>
      </c>
      <c r="C266" s="2">
        <v>1031.05</v>
      </c>
      <c r="D266" s="2">
        <v>1041.05</v>
      </c>
      <c r="E266" s="2">
        <v>1042.25</v>
      </c>
      <c r="F266" s="2">
        <v>1027.5</v>
      </c>
      <c r="G266" s="3">
        <f t="shared" si="14"/>
        <v>-9.0821720326766942E-3</v>
      </c>
      <c r="H266" s="2">
        <f t="shared" si="12"/>
        <v>14.75</v>
      </c>
      <c r="I266" s="3">
        <f t="shared" si="13"/>
        <v>1.4168387685509822E-2</v>
      </c>
    </row>
    <row r="267" spans="2:9" x14ac:dyDescent="0.25">
      <c r="B267" s="1">
        <v>35564</v>
      </c>
      <c r="C267" s="2">
        <v>1041.6500000000001</v>
      </c>
      <c r="D267" s="2">
        <v>1030.3499999999999</v>
      </c>
      <c r="E267" s="2">
        <v>1044.1500000000001</v>
      </c>
      <c r="F267" s="2">
        <v>1018.15</v>
      </c>
      <c r="G267" s="3">
        <f t="shared" si="14"/>
        <v>1.0280781727365351E-2</v>
      </c>
      <c r="H267" s="2">
        <f t="shared" si="12"/>
        <v>26.000000000000114</v>
      </c>
      <c r="I267" s="3">
        <f t="shared" si="13"/>
        <v>2.5234143737565017E-2</v>
      </c>
    </row>
    <row r="268" spans="2:9" x14ac:dyDescent="0.25">
      <c r="B268" s="1">
        <v>35565</v>
      </c>
      <c r="C268" s="2">
        <v>1045</v>
      </c>
      <c r="D268" s="2">
        <v>1041.6500000000001</v>
      </c>
      <c r="E268" s="2">
        <v>1049</v>
      </c>
      <c r="F268" s="2">
        <v>1036.25</v>
      </c>
      <c r="G268" s="3">
        <f t="shared" si="14"/>
        <v>3.2160514568231324E-3</v>
      </c>
      <c r="H268" s="2">
        <f t="shared" si="12"/>
        <v>12.75</v>
      </c>
      <c r="I268" s="3">
        <f t="shared" si="13"/>
        <v>1.2240195843133489E-2</v>
      </c>
    </row>
    <row r="269" spans="2:9" x14ac:dyDescent="0.25">
      <c r="B269" s="1">
        <v>35566</v>
      </c>
      <c r="C269" s="2">
        <v>1048.4000000000001</v>
      </c>
      <c r="D269" s="2">
        <v>1043.4000000000001</v>
      </c>
      <c r="E269" s="2">
        <v>1049.75</v>
      </c>
      <c r="F269" s="2">
        <v>1041.0999999999999</v>
      </c>
      <c r="G269" s="3">
        <f t="shared" si="14"/>
        <v>3.2535885167463974E-3</v>
      </c>
      <c r="H269" s="2">
        <f t="shared" si="12"/>
        <v>8.6500000000000909</v>
      </c>
      <c r="I269" s="3">
        <f t="shared" si="13"/>
        <v>8.2902050987158239E-3</v>
      </c>
    </row>
    <row r="270" spans="2:9" x14ac:dyDescent="0.25">
      <c r="B270" s="1">
        <v>35569</v>
      </c>
      <c r="C270" s="2">
        <v>1050.8</v>
      </c>
      <c r="D270" s="2">
        <v>1052.2</v>
      </c>
      <c r="E270" s="2">
        <v>1059.25</v>
      </c>
      <c r="F270" s="2">
        <v>1048.05</v>
      </c>
      <c r="G270" s="3">
        <f t="shared" si="14"/>
        <v>2.2892025944294403E-3</v>
      </c>
      <c r="H270" s="2">
        <f t="shared" si="12"/>
        <v>11.200000000000045</v>
      </c>
      <c r="I270" s="3">
        <f t="shared" si="13"/>
        <v>1.0644364189317662E-2</v>
      </c>
    </row>
    <row r="271" spans="2:9" x14ac:dyDescent="0.25">
      <c r="B271" s="1">
        <v>35570</v>
      </c>
      <c r="C271" s="2">
        <v>1050.8499999999999</v>
      </c>
      <c r="D271" s="2">
        <v>1051.55</v>
      </c>
      <c r="E271" s="2">
        <v>1053.25</v>
      </c>
      <c r="F271" s="2">
        <v>1045.3</v>
      </c>
      <c r="G271" s="3">
        <f t="shared" si="14"/>
        <v>4.7582794061584721E-5</v>
      </c>
      <c r="H271" s="2">
        <f t="shared" si="12"/>
        <v>7.9500000000000455</v>
      </c>
      <c r="I271" s="3">
        <f t="shared" si="13"/>
        <v>7.5602681755504216E-3</v>
      </c>
    </row>
    <row r="272" spans="2:9" x14ac:dyDescent="0.25">
      <c r="B272" s="1">
        <v>35571</v>
      </c>
      <c r="C272" s="2">
        <v>1042</v>
      </c>
      <c r="D272" s="2">
        <v>1047.5</v>
      </c>
      <c r="E272" s="2">
        <v>1049.7</v>
      </c>
      <c r="F272" s="2">
        <v>1040.55</v>
      </c>
      <c r="G272" s="3">
        <f t="shared" si="14"/>
        <v>-8.4217538183374296E-3</v>
      </c>
      <c r="H272" s="2">
        <f t="shared" si="12"/>
        <v>9.1500000000000909</v>
      </c>
      <c r="I272" s="3">
        <f t="shared" si="13"/>
        <v>8.7350835322196566E-3</v>
      </c>
    </row>
    <row r="273" spans="2:9" x14ac:dyDescent="0.25">
      <c r="B273" s="1">
        <v>35572</v>
      </c>
      <c r="C273" s="2">
        <v>1037.2</v>
      </c>
      <c r="D273" s="2">
        <v>1042.45</v>
      </c>
      <c r="E273" s="2">
        <v>1043.8</v>
      </c>
      <c r="F273" s="2">
        <v>1034.3499999999999</v>
      </c>
      <c r="G273" s="3">
        <f t="shared" si="14"/>
        <v>-4.6065259117081814E-3</v>
      </c>
      <c r="H273" s="2">
        <f t="shared" si="12"/>
        <v>9.4500000000000455</v>
      </c>
      <c r="I273" s="3">
        <f t="shared" si="13"/>
        <v>9.0651829823972813E-3</v>
      </c>
    </row>
    <row r="274" spans="2:9" x14ac:dyDescent="0.25">
      <c r="B274" s="1">
        <v>35573</v>
      </c>
      <c r="C274" s="2">
        <v>1033.7</v>
      </c>
      <c r="D274" s="2">
        <v>1037</v>
      </c>
      <c r="E274" s="2">
        <v>1039</v>
      </c>
      <c r="F274" s="2">
        <v>1028.75</v>
      </c>
      <c r="G274" s="3">
        <f t="shared" si="14"/>
        <v>-3.3744697261859358E-3</v>
      </c>
      <c r="H274" s="2">
        <f t="shared" si="12"/>
        <v>10.25</v>
      </c>
      <c r="I274" s="3">
        <f t="shared" si="13"/>
        <v>9.8842815814850528E-3</v>
      </c>
    </row>
    <row r="275" spans="2:9" x14ac:dyDescent="0.25">
      <c r="B275" s="1">
        <v>35576</v>
      </c>
      <c r="C275" s="2">
        <v>1026.9000000000001</v>
      </c>
      <c r="D275" s="2">
        <v>1032.1500000000001</v>
      </c>
      <c r="E275" s="2">
        <v>1035.8</v>
      </c>
      <c r="F275" s="2">
        <v>1025.5</v>
      </c>
      <c r="G275" s="3">
        <f t="shared" si="14"/>
        <v>-6.5783109219308411E-3</v>
      </c>
      <c r="H275" s="2">
        <f t="shared" si="12"/>
        <v>10.299999999999955</v>
      </c>
      <c r="I275" s="3">
        <f t="shared" si="13"/>
        <v>9.9791696943273295E-3</v>
      </c>
    </row>
    <row r="276" spans="2:9" x14ac:dyDescent="0.25">
      <c r="B276" s="1">
        <v>35577</v>
      </c>
      <c r="C276" s="2">
        <v>1025.7</v>
      </c>
      <c r="D276" s="2">
        <v>1027.5</v>
      </c>
      <c r="E276" s="2">
        <v>1031.5</v>
      </c>
      <c r="F276" s="2">
        <v>1023.45</v>
      </c>
      <c r="G276" s="3">
        <f t="shared" si="14"/>
        <v>-1.1685655857435195E-3</v>
      </c>
      <c r="H276" s="2">
        <f t="shared" si="12"/>
        <v>8.0499999999999545</v>
      </c>
      <c r="I276" s="3">
        <f t="shared" si="13"/>
        <v>7.8345498783454551E-3</v>
      </c>
    </row>
    <row r="277" spans="2:9" x14ac:dyDescent="0.25">
      <c r="B277" s="1">
        <v>35578</v>
      </c>
      <c r="C277" s="2">
        <v>1027</v>
      </c>
      <c r="D277" s="2">
        <v>1032.5</v>
      </c>
      <c r="E277" s="2">
        <v>1035.3499999999999</v>
      </c>
      <c r="F277" s="2">
        <v>1024.55</v>
      </c>
      <c r="G277" s="3">
        <f t="shared" si="14"/>
        <v>1.2674271229404788E-3</v>
      </c>
      <c r="H277" s="2">
        <f t="shared" si="12"/>
        <v>10.799999999999955</v>
      </c>
      <c r="I277" s="3">
        <f t="shared" si="13"/>
        <v>1.0460048426150077E-2</v>
      </c>
    </row>
    <row r="278" spans="2:9" x14ac:dyDescent="0.25">
      <c r="B278" s="1">
        <v>35579</v>
      </c>
      <c r="C278" s="2">
        <v>1038.2</v>
      </c>
      <c r="D278" s="2">
        <v>1024.75</v>
      </c>
      <c r="E278" s="2">
        <v>1040.05</v>
      </c>
      <c r="F278" s="2">
        <v>1023.8</v>
      </c>
      <c r="G278" s="3">
        <f t="shared" si="14"/>
        <v>1.0905550146056431E-2</v>
      </c>
      <c r="H278" s="2">
        <f t="shared" si="12"/>
        <v>16.25</v>
      </c>
      <c r="I278" s="3">
        <f t="shared" si="13"/>
        <v>1.5857526225908757E-2</v>
      </c>
    </row>
    <row r="279" spans="2:9" x14ac:dyDescent="0.25">
      <c r="B279" s="1">
        <v>35580</v>
      </c>
      <c r="C279" s="2">
        <v>1050.9000000000001</v>
      </c>
      <c r="D279" s="2">
        <v>1039.8499999999999</v>
      </c>
      <c r="E279" s="2">
        <v>1051.2</v>
      </c>
      <c r="F279" s="2">
        <v>1038.3</v>
      </c>
      <c r="G279" s="3">
        <f t="shared" si="14"/>
        <v>1.2232710460412299E-2</v>
      </c>
      <c r="H279" s="2">
        <f t="shared" si="12"/>
        <v>12.900000000000091</v>
      </c>
      <c r="I279" s="3">
        <f t="shared" si="13"/>
        <v>1.2405635428186847E-2</v>
      </c>
    </row>
    <row r="280" spans="2:9" x14ac:dyDescent="0.25">
      <c r="B280" s="1">
        <v>35583</v>
      </c>
      <c r="C280" s="2">
        <v>1064.95</v>
      </c>
      <c r="D280" s="2">
        <v>1053.05</v>
      </c>
      <c r="E280" s="2">
        <v>1066.1500000000001</v>
      </c>
      <c r="F280" s="2">
        <v>1051.05</v>
      </c>
      <c r="G280" s="3">
        <f t="shared" si="14"/>
        <v>1.3369492815681783E-2</v>
      </c>
      <c r="H280" s="2">
        <f t="shared" si="12"/>
        <v>15.100000000000136</v>
      </c>
      <c r="I280" s="3">
        <f t="shared" si="13"/>
        <v>1.4339300128199171E-2</v>
      </c>
    </row>
    <row r="281" spans="2:9" x14ac:dyDescent="0.25">
      <c r="B281" s="1">
        <v>35584</v>
      </c>
      <c r="C281" s="2">
        <v>1073.75</v>
      </c>
      <c r="D281" s="2">
        <v>1067.6500000000001</v>
      </c>
      <c r="E281" s="2">
        <v>1081.75</v>
      </c>
      <c r="F281" s="2">
        <v>1067.55</v>
      </c>
      <c r="G281" s="3">
        <f t="shared" si="14"/>
        <v>8.2632987464199559E-3</v>
      </c>
      <c r="H281" s="2">
        <f t="shared" si="12"/>
        <v>14.200000000000045</v>
      </c>
      <c r="I281" s="3">
        <f t="shared" si="13"/>
        <v>1.3300238842317281E-2</v>
      </c>
    </row>
    <row r="282" spans="2:9" x14ac:dyDescent="0.25">
      <c r="B282" s="1">
        <v>35585</v>
      </c>
      <c r="C282" s="2">
        <v>1085.75</v>
      </c>
      <c r="D282" s="2">
        <v>1081.55</v>
      </c>
      <c r="E282" s="2">
        <v>1090.95</v>
      </c>
      <c r="F282" s="2">
        <v>1078.8</v>
      </c>
      <c r="G282" s="3">
        <f t="shared" si="14"/>
        <v>1.1175785797438831E-2</v>
      </c>
      <c r="H282" s="2">
        <f t="shared" si="12"/>
        <v>12.150000000000091</v>
      </c>
      <c r="I282" s="3">
        <f t="shared" si="13"/>
        <v>1.123387730571873E-2</v>
      </c>
    </row>
    <row r="283" spans="2:9" x14ac:dyDescent="0.25">
      <c r="B283" s="1">
        <v>35586</v>
      </c>
      <c r="C283" s="2">
        <v>1086.5999999999999</v>
      </c>
      <c r="D283" s="2">
        <v>1089.8499999999999</v>
      </c>
      <c r="E283" s="2">
        <v>1095.5</v>
      </c>
      <c r="F283" s="2">
        <v>1082.8499999999999</v>
      </c>
      <c r="G283" s="3">
        <f t="shared" si="14"/>
        <v>7.8286898457280429E-4</v>
      </c>
      <c r="H283" s="2">
        <f t="shared" si="12"/>
        <v>12.650000000000091</v>
      </c>
      <c r="I283" s="3">
        <f t="shared" si="13"/>
        <v>1.1607101894756243E-2</v>
      </c>
    </row>
    <row r="284" spans="2:9" x14ac:dyDescent="0.25">
      <c r="B284" s="1">
        <v>35587</v>
      </c>
      <c r="C284" s="2">
        <v>1082.75</v>
      </c>
      <c r="D284" s="2">
        <v>1087.5</v>
      </c>
      <c r="E284" s="2">
        <v>1091.05</v>
      </c>
      <c r="F284" s="2">
        <v>1081.3</v>
      </c>
      <c r="G284" s="3">
        <f t="shared" si="14"/>
        <v>-3.5431621571875294E-3</v>
      </c>
      <c r="H284" s="2">
        <f t="shared" si="12"/>
        <v>9.75</v>
      </c>
      <c r="I284" s="3">
        <f t="shared" si="13"/>
        <v>8.9655172413793099E-3</v>
      </c>
    </row>
    <row r="285" spans="2:9" x14ac:dyDescent="0.25">
      <c r="B285" s="1">
        <v>35590</v>
      </c>
      <c r="C285" s="2">
        <v>1074.6500000000001</v>
      </c>
      <c r="D285" s="2">
        <v>1082.95</v>
      </c>
      <c r="E285" s="2">
        <v>1082.95</v>
      </c>
      <c r="F285" s="2">
        <v>1071.55</v>
      </c>
      <c r="G285" s="3">
        <f t="shared" si="14"/>
        <v>-7.4809512814592027E-3</v>
      </c>
      <c r="H285" s="2">
        <f t="shared" si="12"/>
        <v>11.400000000000091</v>
      </c>
      <c r="I285" s="3">
        <f t="shared" si="13"/>
        <v>1.0526801791403195E-2</v>
      </c>
    </row>
    <row r="286" spans="2:9" x14ac:dyDescent="0.25">
      <c r="B286" s="1">
        <v>35591</v>
      </c>
      <c r="C286" s="2">
        <v>1081.0999999999999</v>
      </c>
      <c r="D286" s="2">
        <v>1075.3</v>
      </c>
      <c r="E286" s="2">
        <v>1084.1500000000001</v>
      </c>
      <c r="F286" s="2">
        <v>1075.2</v>
      </c>
      <c r="G286" s="3">
        <f t="shared" si="14"/>
        <v>6.0019541245985852E-3</v>
      </c>
      <c r="H286" s="2">
        <f t="shared" si="12"/>
        <v>8.9500000000000455</v>
      </c>
      <c r="I286" s="3">
        <f t="shared" si="13"/>
        <v>8.3232586254999037E-3</v>
      </c>
    </row>
    <row r="287" spans="2:9" x14ac:dyDescent="0.25">
      <c r="B287" s="1">
        <v>35592</v>
      </c>
      <c r="C287" s="2">
        <v>1104.5999999999999</v>
      </c>
      <c r="D287" s="2">
        <v>1090.45</v>
      </c>
      <c r="E287" s="2">
        <v>1108.95</v>
      </c>
      <c r="F287" s="2">
        <v>1090.45</v>
      </c>
      <c r="G287" s="3">
        <f t="shared" si="14"/>
        <v>2.1737119600407029E-2</v>
      </c>
      <c r="H287" s="2">
        <f t="shared" si="12"/>
        <v>18.5</v>
      </c>
      <c r="I287" s="3">
        <f t="shared" si="13"/>
        <v>1.6965472969874822E-2</v>
      </c>
    </row>
    <row r="288" spans="2:9" x14ac:dyDescent="0.25">
      <c r="B288" s="1">
        <v>35593</v>
      </c>
      <c r="C288" s="2">
        <v>1120.7</v>
      </c>
      <c r="D288" s="2">
        <v>1106.0999999999999</v>
      </c>
      <c r="E288" s="2">
        <v>1122.2</v>
      </c>
      <c r="F288" s="2">
        <v>1105.75</v>
      </c>
      <c r="G288" s="3">
        <f t="shared" si="14"/>
        <v>1.4575411913815062E-2</v>
      </c>
      <c r="H288" s="2">
        <f t="shared" si="12"/>
        <v>16.450000000000045</v>
      </c>
      <c r="I288" s="3">
        <f t="shared" si="13"/>
        <v>1.4872073049453075E-2</v>
      </c>
    </row>
    <row r="289" spans="2:9" x14ac:dyDescent="0.25">
      <c r="B289" s="1">
        <v>35594</v>
      </c>
      <c r="C289" s="2">
        <v>1136.3</v>
      </c>
      <c r="D289" s="2">
        <v>1124.95</v>
      </c>
      <c r="E289" s="2">
        <v>1147.5</v>
      </c>
      <c r="F289" s="2">
        <v>1122.75</v>
      </c>
      <c r="G289" s="3">
        <f t="shared" si="14"/>
        <v>1.391987150887819E-2</v>
      </c>
      <c r="H289" s="2">
        <f t="shared" si="12"/>
        <v>24.75</v>
      </c>
      <c r="I289" s="3">
        <f t="shared" si="13"/>
        <v>2.2000977821236497E-2</v>
      </c>
    </row>
    <row r="290" spans="2:9" x14ac:dyDescent="0.25">
      <c r="B290" s="1">
        <v>35597</v>
      </c>
      <c r="C290" s="2">
        <v>1129.7</v>
      </c>
      <c r="D290" s="2">
        <v>1135.3</v>
      </c>
      <c r="E290" s="2">
        <v>1141.05</v>
      </c>
      <c r="F290" s="2">
        <v>1121.8499999999999</v>
      </c>
      <c r="G290" s="3">
        <f t="shared" si="14"/>
        <v>-5.8083252662147755E-3</v>
      </c>
      <c r="H290" s="2">
        <f t="shared" si="12"/>
        <v>19.200000000000045</v>
      </c>
      <c r="I290" s="3">
        <f t="shared" si="13"/>
        <v>1.6911829472386196E-2</v>
      </c>
    </row>
    <row r="291" spans="2:9" x14ac:dyDescent="0.25">
      <c r="B291" s="1">
        <v>35598</v>
      </c>
      <c r="C291" s="2">
        <v>1138.8</v>
      </c>
      <c r="D291" s="2">
        <v>1134.9000000000001</v>
      </c>
      <c r="E291" s="2">
        <v>1145.8</v>
      </c>
      <c r="F291" s="2">
        <v>1127.1500000000001</v>
      </c>
      <c r="G291" s="3">
        <f t="shared" si="14"/>
        <v>8.0552359033370102E-3</v>
      </c>
      <c r="H291" s="2">
        <f t="shared" si="12"/>
        <v>18.649999999999864</v>
      </c>
      <c r="I291" s="3">
        <f t="shared" si="13"/>
        <v>1.6433165917701879E-2</v>
      </c>
    </row>
    <row r="292" spans="2:9" x14ac:dyDescent="0.25">
      <c r="B292" s="1">
        <v>35599</v>
      </c>
      <c r="C292" s="2">
        <v>1159.8</v>
      </c>
      <c r="D292" s="2">
        <v>1162.2</v>
      </c>
      <c r="E292" s="2">
        <v>1171</v>
      </c>
      <c r="F292" s="2">
        <v>1156.05</v>
      </c>
      <c r="G292" s="3">
        <f t="shared" si="14"/>
        <v>1.8440463645943206E-2</v>
      </c>
      <c r="H292" s="2">
        <f t="shared" si="12"/>
        <v>14.950000000000045</v>
      </c>
      <c r="I292" s="3">
        <f t="shared" si="13"/>
        <v>1.2863534675615251E-2</v>
      </c>
    </row>
    <row r="293" spans="2:9" x14ac:dyDescent="0.25">
      <c r="B293" s="1">
        <v>35600</v>
      </c>
      <c r="C293" s="2">
        <v>1159.8</v>
      </c>
      <c r="D293" s="2">
        <v>1151.95</v>
      </c>
      <c r="E293" s="2">
        <v>1161.7</v>
      </c>
      <c r="F293" s="2">
        <v>1145.3499999999999</v>
      </c>
      <c r="G293" s="3">
        <f t="shared" si="14"/>
        <v>0</v>
      </c>
      <c r="H293" s="2">
        <f t="shared" si="12"/>
        <v>16.350000000000136</v>
      </c>
      <c r="I293" s="3">
        <f t="shared" si="13"/>
        <v>1.4193324363036709E-2</v>
      </c>
    </row>
    <row r="294" spans="2:9" x14ac:dyDescent="0.25">
      <c r="B294" s="1">
        <v>35601</v>
      </c>
      <c r="C294" s="2">
        <v>1158.3499999999999</v>
      </c>
      <c r="D294" s="2">
        <v>1162.7</v>
      </c>
      <c r="E294" s="2">
        <v>1174.1500000000001</v>
      </c>
      <c r="F294" s="2">
        <v>1154.3</v>
      </c>
      <c r="G294" s="3">
        <f t="shared" si="14"/>
        <v>-1.2502155544059645E-3</v>
      </c>
      <c r="H294" s="2">
        <f t="shared" si="12"/>
        <v>19.850000000000136</v>
      </c>
      <c r="I294" s="3">
        <f t="shared" si="13"/>
        <v>1.7072331641868183E-2</v>
      </c>
    </row>
    <row r="295" spans="2:9" x14ac:dyDescent="0.25">
      <c r="B295" s="1">
        <v>35604</v>
      </c>
      <c r="C295" s="2">
        <v>1153.7</v>
      </c>
      <c r="D295" s="2">
        <v>1159.5999999999999</v>
      </c>
      <c r="E295" s="2">
        <v>1163</v>
      </c>
      <c r="F295" s="2">
        <v>1149.3</v>
      </c>
      <c r="G295" s="3">
        <f t="shared" si="14"/>
        <v>-4.0143307290541053E-3</v>
      </c>
      <c r="H295" s="2">
        <f t="shared" si="12"/>
        <v>13.700000000000045</v>
      </c>
      <c r="I295" s="3">
        <f t="shared" si="13"/>
        <v>1.181441876509145E-2</v>
      </c>
    </row>
    <row r="296" spans="2:9" x14ac:dyDescent="0.25">
      <c r="B296" s="1">
        <v>35605</v>
      </c>
      <c r="C296" s="2">
        <v>1155.3</v>
      </c>
      <c r="D296" s="2">
        <v>1154.95</v>
      </c>
      <c r="E296" s="2">
        <v>1161.95</v>
      </c>
      <c r="F296" s="2">
        <v>1146.8499999999999</v>
      </c>
      <c r="G296" s="3">
        <f t="shared" si="14"/>
        <v>1.3868423333620594E-3</v>
      </c>
      <c r="H296" s="2">
        <f t="shared" si="12"/>
        <v>15.100000000000136</v>
      </c>
      <c r="I296" s="3">
        <f t="shared" si="13"/>
        <v>1.3074159054504642E-2</v>
      </c>
    </row>
    <row r="297" spans="2:9" x14ac:dyDescent="0.25">
      <c r="B297" s="1">
        <v>35606</v>
      </c>
      <c r="C297" s="2">
        <v>1161.9000000000001</v>
      </c>
      <c r="D297" s="2">
        <v>1166.0999999999999</v>
      </c>
      <c r="E297" s="2">
        <v>1175</v>
      </c>
      <c r="F297" s="2">
        <v>1158.9000000000001</v>
      </c>
      <c r="G297" s="3">
        <f t="shared" si="14"/>
        <v>5.7128018696444016E-3</v>
      </c>
      <c r="H297" s="2">
        <f t="shared" si="12"/>
        <v>16.099999999999909</v>
      </c>
      <c r="I297" s="3">
        <f t="shared" si="13"/>
        <v>1.3806706114398345E-2</v>
      </c>
    </row>
    <row r="298" spans="2:9" x14ac:dyDescent="0.25">
      <c r="B298" s="1">
        <v>35607</v>
      </c>
      <c r="C298" s="2">
        <v>1168.2</v>
      </c>
      <c r="D298" s="2">
        <v>1164</v>
      </c>
      <c r="E298" s="2">
        <v>1177.5999999999999</v>
      </c>
      <c r="F298" s="2">
        <v>1160.25</v>
      </c>
      <c r="G298" s="3">
        <f t="shared" si="14"/>
        <v>5.422153369480931E-3</v>
      </c>
      <c r="H298" s="2">
        <f t="shared" si="12"/>
        <v>17.349999999999909</v>
      </c>
      <c r="I298" s="3">
        <f t="shared" si="13"/>
        <v>1.4905498281786863E-2</v>
      </c>
    </row>
    <row r="299" spans="2:9" x14ac:dyDescent="0.25">
      <c r="B299" s="1">
        <v>35608</v>
      </c>
      <c r="C299" s="2">
        <v>1169.6500000000001</v>
      </c>
      <c r="D299" s="2">
        <v>1168.3</v>
      </c>
      <c r="E299" s="2">
        <v>1174.75</v>
      </c>
      <c r="F299" s="2">
        <v>1165.95</v>
      </c>
      <c r="G299" s="3">
        <f t="shared" si="14"/>
        <v>1.2412258174969715E-3</v>
      </c>
      <c r="H299" s="2">
        <f t="shared" si="12"/>
        <v>8.7999999999999545</v>
      </c>
      <c r="I299" s="3">
        <f t="shared" si="13"/>
        <v>7.5323119061884401E-3</v>
      </c>
    </row>
    <row r="300" spans="2:9" x14ac:dyDescent="0.25">
      <c r="B300" s="1">
        <v>35611</v>
      </c>
      <c r="C300" s="2">
        <v>1192.4000000000001</v>
      </c>
      <c r="D300" s="2">
        <v>1167.45</v>
      </c>
      <c r="E300" s="2">
        <v>1194.75</v>
      </c>
      <c r="F300" s="2">
        <v>1164.5</v>
      </c>
      <c r="G300" s="3">
        <f t="shared" si="14"/>
        <v>1.9450262899157966E-2</v>
      </c>
      <c r="H300" s="2">
        <f t="shared" si="12"/>
        <v>30.25</v>
      </c>
      <c r="I300" s="3">
        <f t="shared" si="13"/>
        <v>2.5911173926078203E-2</v>
      </c>
    </row>
    <row r="301" spans="2:9" x14ac:dyDescent="0.25">
      <c r="B301" s="1">
        <v>35612</v>
      </c>
      <c r="C301" s="2">
        <v>1200.45</v>
      </c>
      <c r="D301" s="2">
        <v>1201.3</v>
      </c>
      <c r="E301" s="2">
        <v>1206.0999999999999</v>
      </c>
      <c r="F301" s="2">
        <v>1193.55</v>
      </c>
      <c r="G301" s="3">
        <f t="shared" si="14"/>
        <v>6.7510902381751059E-3</v>
      </c>
      <c r="H301" s="2">
        <f t="shared" si="12"/>
        <v>12.549999999999955</v>
      </c>
      <c r="I301" s="3">
        <f t="shared" si="13"/>
        <v>1.0447015732955927E-2</v>
      </c>
    </row>
    <row r="302" spans="2:9" x14ac:dyDescent="0.25">
      <c r="B302" s="1">
        <v>35613</v>
      </c>
      <c r="C302" s="2">
        <v>1222.95</v>
      </c>
      <c r="D302" s="2">
        <v>1214.7</v>
      </c>
      <c r="E302" s="2">
        <v>1237.05</v>
      </c>
      <c r="F302" s="2">
        <v>1212.5999999999999</v>
      </c>
      <c r="G302" s="3">
        <f t="shared" si="14"/>
        <v>1.8742971385730334E-2</v>
      </c>
      <c r="H302" s="2">
        <f t="shared" si="12"/>
        <v>24.450000000000045</v>
      </c>
      <c r="I302" s="3">
        <f t="shared" si="13"/>
        <v>2.0128426772042515E-2</v>
      </c>
    </row>
    <row r="303" spans="2:9" x14ac:dyDescent="0.25">
      <c r="B303" s="1">
        <v>35614</v>
      </c>
      <c r="C303" s="2">
        <v>1214.9000000000001</v>
      </c>
      <c r="D303" s="2">
        <v>1222.45</v>
      </c>
      <c r="E303" s="2">
        <v>1235.45</v>
      </c>
      <c r="F303" s="2">
        <v>1209.45</v>
      </c>
      <c r="G303" s="3">
        <f t="shared" si="14"/>
        <v>-6.5824440901099956E-3</v>
      </c>
      <c r="H303" s="2">
        <f t="shared" si="12"/>
        <v>26</v>
      </c>
      <c r="I303" s="3">
        <f t="shared" si="13"/>
        <v>2.1268763548611395E-2</v>
      </c>
    </row>
    <row r="304" spans="2:9" x14ac:dyDescent="0.25">
      <c r="B304" s="1">
        <v>35615</v>
      </c>
      <c r="C304" s="2">
        <v>1216.0999999999999</v>
      </c>
      <c r="D304" s="2">
        <v>1218.95</v>
      </c>
      <c r="E304" s="2">
        <v>1222.5999999999999</v>
      </c>
      <c r="F304" s="2">
        <v>1209.45</v>
      </c>
      <c r="G304" s="3">
        <f t="shared" si="14"/>
        <v>9.8773561609988292E-4</v>
      </c>
      <c r="H304" s="2">
        <f t="shared" si="12"/>
        <v>13.149999999999864</v>
      </c>
      <c r="I304" s="3">
        <f t="shared" si="13"/>
        <v>1.0787973255670751E-2</v>
      </c>
    </row>
    <row r="305" spans="2:9" x14ac:dyDescent="0.25">
      <c r="B305" s="1">
        <v>35618</v>
      </c>
      <c r="C305" s="2">
        <v>1209.7</v>
      </c>
      <c r="D305" s="2">
        <v>1217.4000000000001</v>
      </c>
      <c r="E305" s="2">
        <v>1226.5999999999999</v>
      </c>
      <c r="F305" s="2">
        <v>1208.25</v>
      </c>
      <c r="G305" s="3">
        <f t="shared" si="14"/>
        <v>-5.2627251048432688E-3</v>
      </c>
      <c r="H305" s="2">
        <f t="shared" si="12"/>
        <v>18.349999999999909</v>
      </c>
      <c r="I305" s="3">
        <f t="shared" si="13"/>
        <v>1.507310662066692E-2</v>
      </c>
    </row>
    <row r="306" spans="2:9" x14ac:dyDescent="0.25">
      <c r="B306" s="1">
        <v>35619</v>
      </c>
      <c r="C306" s="2">
        <v>1198.25</v>
      </c>
      <c r="D306" s="2">
        <v>1205.0999999999999</v>
      </c>
      <c r="E306" s="2">
        <v>1205.8</v>
      </c>
      <c r="F306" s="2">
        <v>1193.3499999999999</v>
      </c>
      <c r="G306" s="3">
        <f t="shared" si="14"/>
        <v>-9.4651566504092566E-3</v>
      </c>
      <c r="H306" s="2">
        <f t="shared" si="12"/>
        <v>12.450000000000045</v>
      </c>
      <c r="I306" s="3">
        <f t="shared" si="13"/>
        <v>1.0331092855364739E-2</v>
      </c>
    </row>
    <row r="307" spans="2:9" x14ac:dyDescent="0.25">
      <c r="B307" s="1">
        <v>35620</v>
      </c>
      <c r="C307" s="2">
        <v>1236.55</v>
      </c>
      <c r="D307" s="2">
        <v>1211.5999999999999</v>
      </c>
      <c r="E307" s="2">
        <v>1239.55</v>
      </c>
      <c r="F307" s="2">
        <v>1211.5999999999999</v>
      </c>
      <c r="G307" s="3">
        <f t="shared" si="14"/>
        <v>3.196327978301694E-2</v>
      </c>
      <c r="H307" s="2">
        <f t="shared" si="12"/>
        <v>27.950000000000045</v>
      </c>
      <c r="I307" s="3">
        <f t="shared" si="13"/>
        <v>2.3068669527897035E-2</v>
      </c>
    </row>
    <row r="308" spans="2:9" x14ac:dyDescent="0.25">
      <c r="B308" s="1">
        <v>35621</v>
      </c>
      <c r="C308" s="2">
        <v>1239.1500000000001</v>
      </c>
      <c r="D308" s="2">
        <v>1248.0999999999999</v>
      </c>
      <c r="E308" s="2">
        <v>1252.7</v>
      </c>
      <c r="F308" s="2">
        <v>1234.95</v>
      </c>
      <c r="G308" s="3">
        <f t="shared" si="14"/>
        <v>2.1026242367878645E-3</v>
      </c>
      <c r="H308" s="2">
        <f t="shared" si="12"/>
        <v>17.75</v>
      </c>
      <c r="I308" s="3">
        <f t="shared" si="13"/>
        <v>1.422161685762359E-2</v>
      </c>
    </row>
    <row r="309" spans="2:9" x14ac:dyDescent="0.25">
      <c r="B309" s="1">
        <v>35622</v>
      </c>
      <c r="C309" s="2">
        <v>1221.0999999999999</v>
      </c>
      <c r="D309" s="2">
        <v>1233.5</v>
      </c>
      <c r="E309" s="2">
        <v>1233.5</v>
      </c>
      <c r="F309" s="2">
        <v>1217</v>
      </c>
      <c r="G309" s="3">
        <f t="shared" si="14"/>
        <v>-1.4566436670298333E-2</v>
      </c>
      <c r="H309" s="2">
        <f t="shared" si="12"/>
        <v>16.5</v>
      </c>
      <c r="I309" s="3">
        <f t="shared" si="13"/>
        <v>1.3376570733684636E-2</v>
      </c>
    </row>
    <row r="310" spans="2:9" x14ac:dyDescent="0.25">
      <c r="B310" s="1">
        <v>35625</v>
      </c>
      <c r="C310" s="2">
        <v>1187.05</v>
      </c>
      <c r="D310" s="2">
        <v>1212.4000000000001</v>
      </c>
      <c r="E310" s="2">
        <v>1215.5999999999999</v>
      </c>
      <c r="F310" s="2">
        <v>1176.5999999999999</v>
      </c>
      <c r="G310" s="3">
        <f t="shared" si="14"/>
        <v>-2.7884694128245013E-2</v>
      </c>
      <c r="H310" s="2">
        <f t="shared" si="12"/>
        <v>39</v>
      </c>
      <c r="I310" s="3">
        <f t="shared" si="13"/>
        <v>3.2167601451666111E-2</v>
      </c>
    </row>
    <row r="311" spans="2:9" x14ac:dyDescent="0.25">
      <c r="B311" s="1">
        <v>35626</v>
      </c>
      <c r="C311" s="2">
        <v>1183.3499999999999</v>
      </c>
      <c r="D311" s="2">
        <v>1190.5</v>
      </c>
      <c r="E311" s="2">
        <v>1195.4000000000001</v>
      </c>
      <c r="F311" s="2">
        <v>1180.75</v>
      </c>
      <c r="G311" s="3">
        <f t="shared" si="14"/>
        <v>-3.1169706415062892E-3</v>
      </c>
      <c r="H311" s="2">
        <f t="shared" si="12"/>
        <v>14.650000000000091</v>
      </c>
      <c r="I311" s="3">
        <f t="shared" si="13"/>
        <v>1.2305753884922378E-2</v>
      </c>
    </row>
    <row r="312" spans="2:9" x14ac:dyDescent="0.25">
      <c r="B312" s="1">
        <v>35627</v>
      </c>
      <c r="C312" s="2">
        <v>1183</v>
      </c>
      <c r="D312" s="2">
        <v>1195.55</v>
      </c>
      <c r="E312" s="2">
        <v>1207</v>
      </c>
      <c r="F312" s="2">
        <v>1179.25</v>
      </c>
      <c r="G312" s="3">
        <f t="shared" si="14"/>
        <v>-2.9577048210582824E-4</v>
      </c>
      <c r="H312" s="2">
        <f t="shared" si="12"/>
        <v>27.75</v>
      </c>
      <c r="I312" s="3">
        <f t="shared" si="13"/>
        <v>2.321107440090335E-2</v>
      </c>
    </row>
    <row r="313" spans="2:9" x14ac:dyDescent="0.25">
      <c r="B313" s="1">
        <v>35628</v>
      </c>
      <c r="C313" s="2">
        <v>1181.4000000000001</v>
      </c>
      <c r="D313" s="2">
        <v>1182.8499999999999</v>
      </c>
      <c r="E313" s="2">
        <v>1185.3</v>
      </c>
      <c r="F313" s="2">
        <v>1173</v>
      </c>
      <c r="G313" s="3">
        <f t="shared" si="14"/>
        <v>-1.3524936601858606E-3</v>
      </c>
      <c r="H313" s="2">
        <f t="shared" si="12"/>
        <v>12.299999999999955</v>
      </c>
      <c r="I313" s="3">
        <f t="shared" si="13"/>
        <v>1.0398613518197536E-2</v>
      </c>
    </row>
    <row r="314" spans="2:9" x14ac:dyDescent="0.25">
      <c r="B314" s="1">
        <v>35632</v>
      </c>
      <c r="C314" s="2">
        <v>1165</v>
      </c>
      <c r="D314" s="2">
        <v>1171.3499999999999</v>
      </c>
      <c r="E314" s="2">
        <v>1171.3499999999999</v>
      </c>
      <c r="F314" s="2">
        <v>1153.75</v>
      </c>
      <c r="G314" s="3">
        <f t="shared" si="14"/>
        <v>-1.3881835110885477E-2</v>
      </c>
      <c r="H314" s="2">
        <f t="shared" si="12"/>
        <v>17.599999999999909</v>
      </c>
      <c r="I314" s="3">
        <f t="shared" si="13"/>
        <v>1.5025398044990746E-2</v>
      </c>
    </row>
    <row r="315" spans="2:9" x14ac:dyDescent="0.25">
      <c r="B315" s="1">
        <v>35633</v>
      </c>
      <c r="C315" s="2">
        <v>1173.25</v>
      </c>
      <c r="D315" s="2">
        <v>1169.55</v>
      </c>
      <c r="E315" s="2">
        <v>1176.4000000000001</v>
      </c>
      <c r="F315" s="2">
        <v>1165.1500000000001</v>
      </c>
      <c r="G315" s="3">
        <f t="shared" si="14"/>
        <v>7.0815450643777478E-3</v>
      </c>
      <c r="H315" s="2">
        <f t="shared" si="12"/>
        <v>11.25</v>
      </c>
      <c r="I315" s="3">
        <f t="shared" si="13"/>
        <v>9.6190842631781459E-3</v>
      </c>
    </row>
    <row r="316" spans="2:9" x14ac:dyDescent="0.25">
      <c r="B316" s="1">
        <v>35634</v>
      </c>
      <c r="C316" s="2">
        <v>1200.7</v>
      </c>
      <c r="D316" s="2">
        <v>1184.05</v>
      </c>
      <c r="E316" s="2">
        <v>1201.75</v>
      </c>
      <c r="F316" s="2">
        <v>1183.9000000000001</v>
      </c>
      <c r="G316" s="3">
        <f t="shared" si="14"/>
        <v>2.3396548050287791E-2</v>
      </c>
      <c r="H316" s="2">
        <f t="shared" si="12"/>
        <v>17.849999999999909</v>
      </c>
      <c r="I316" s="3">
        <f t="shared" si="13"/>
        <v>1.5075376884422034E-2</v>
      </c>
    </row>
    <row r="317" spans="2:9" x14ac:dyDescent="0.25">
      <c r="B317" s="1">
        <v>35635</v>
      </c>
      <c r="C317" s="2">
        <v>1199.95</v>
      </c>
      <c r="D317" s="2">
        <v>1204.3499999999999</v>
      </c>
      <c r="E317" s="2">
        <v>1213.4000000000001</v>
      </c>
      <c r="F317" s="2">
        <v>1195.2</v>
      </c>
      <c r="G317" s="3">
        <f t="shared" si="14"/>
        <v>-6.246356292163302E-4</v>
      </c>
      <c r="H317" s="2">
        <f t="shared" si="12"/>
        <v>18.200000000000045</v>
      </c>
      <c r="I317" s="3">
        <f t="shared" si="13"/>
        <v>1.5111886079628054E-2</v>
      </c>
    </row>
    <row r="318" spans="2:9" x14ac:dyDescent="0.25">
      <c r="B318" s="1">
        <v>35636</v>
      </c>
      <c r="C318" s="2">
        <v>1185.05</v>
      </c>
      <c r="D318" s="2">
        <v>1194.75</v>
      </c>
      <c r="E318" s="2">
        <v>1195.95</v>
      </c>
      <c r="F318" s="2">
        <v>1179</v>
      </c>
      <c r="G318" s="3">
        <f t="shared" si="14"/>
        <v>-1.241718404933545E-2</v>
      </c>
      <c r="H318" s="2">
        <f t="shared" si="12"/>
        <v>16.950000000000045</v>
      </c>
      <c r="I318" s="3">
        <f t="shared" si="13"/>
        <v>1.4187068424356597E-2</v>
      </c>
    </row>
    <row r="319" spans="2:9" x14ac:dyDescent="0.25">
      <c r="B319" s="1">
        <v>35639</v>
      </c>
      <c r="C319" s="2">
        <v>1181.6500000000001</v>
      </c>
      <c r="D319" s="2">
        <v>1185.25</v>
      </c>
      <c r="E319" s="2">
        <v>1187.8499999999999</v>
      </c>
      <c r="F319" s="2">
        <v>1176.95</v>
      </c>
      <c r="G319" s="3">
        <f t="shared" si="14"/>
        <v>-2.8690772541242193E-3</v>
      </c>
      <c r="H319" s="2">
        <f t="shared" si="12"/>
        <v>10.899999999999864</v>
      </c>
      <c r="I319" s="3">
        <f t="shared" si="13"/>
        <v>9.1963720734021207E-3</v>
      </c>
    </row>
    <row r="320" spans="2:9" x14ac:dyDescent="0.25">
      <c r="B320" s="1">
        <v>35640</v>
      </c>
      <c r="C320" s="2">
        <v>1190.3</v>
      </c>
      <c r="D320" s="2">
        <v>1182.5999999999999</v>
      </c>
      <c r="E320" s="2">
        <v>1190.55</v>
      </c>
      <c r="F320" s="2">
        <v>1180.0999999999999</v>
      </c>
      <c r="G320" s="3">
        <f t="shared" si="14"/>
        <v>7.3202725003171931E-3</v>
      </c>
      <c r="H320" s="2">
        <f t="shared" si="12"/>
        <v>10.450000000000045</v>
      </c>
      <c r="I320" s="3">
        <f t="shared" si="13"/>
        <v>8.8364620328091042E-3</v>
      </c>
    </row>
    <row r="321" spans="2:9" x14ac:dyDescent="0.25">
      <c r="B321" s="1">
        <v>35641</v>
      </c>
      <c r="C321" s="2">
        <v>1197.9000000000001</v>
      </c>
      <c r="D321" s="2">
        <v>1196.6500000000001</v>
      </c>
      <c r="E321" s="2">
        <v>1205.8</v>
      </c>
      <c r="F321" s="2">
        <v>1195.8499999999999</v>
      </c>
      <c r="G321" s="3">
        <f t="shared" si="14"/>
        <v>6.3849449718560436E-3</v>
      </c>
      <c r="H321" s="2">
        <f t="shared" si="12"/>
        <v>9.9500000000000455</v>
      </c>
      <c r="I321" s="3">
        <f t="shared" si="13"/>
        <v>8.314879037312534E-3</v>
      </c>
    </row>
    <row r="322" spans="2:9" x14ac:dyDescent="0.25">
      <c r="B322" s="1">
        <v>35642</v>
      </c>
      <c r="C322" s="2">
        <v>1221.5</v>
      </c>
      <c r="D322" s="2">
        <v>1203.95</v>
      </c>
      <c r="E322" s="2">
        <v>1224.7</v>
      </c>
      <c r="F322" s="2">
        <v>1201.8499999999999</v>
      </c>
      <c r="G322" s="3">
        <f t="shared" si="14"/>
        <v>1.9701143668085841E-2</v>
      </c>
      <c r="H322" s="2">
        <f t="shared" si="12"/>
        <v>22.850000000000136</v>
      </c>
      <c r="I322" s="3">
        <f t="shared" si="13"/>
        <v>1.897919348810178E-2</v>
      </c>
    </row>
    <row r="323" spans="2:9" x14ac:dyDescent="0.25">
      <c r="B323" s="1">
        <v>35643</v>
      </c>
      <c r="C323" s="2">
        <v>1232.4000000000001</v>
      </c>
      <c r="D323" s="2">
        <v>1224.4000000000001</v>
      </c>
      <c r="E323" s="2">
        <v>1233.8499999999999</v>
      </c>
      <c r="F323" s="2">
        <v>1219.9000000000001</v>
      </c>
      <c r="G323" s="3">
        <f t="shared" si="14"/>
        <v>8.9234547687271348E-3</v>
      </c>
      <c r="H323" s="2">
        <f t="shared" si="12"/>
        <v>13.949999999999818</v>
      </c>
      <c r="I323" s="3">
        <f t="shared" si="13"/>
        <v>1.1393335511270678E-2</v>
      </c>
    </row>
    <row r="324" spans="2:9" x14ac:dyDescent="0.25">
      <c r="B324" s="1">
        <v>35646</v>
      </c>
      <c r="C324" s="2">
        <v>1250.4000000000001</v>
      </c>
      <c r="D324" s="2">
        <v>1238.75</v>
      </c>
      <c r="E324" s="2">
        <v>1254.5</v>
      </c>
      <c r="F324" s="2">
        <v>1237.95</v>
      </c>
      <c r="G324" s="3">
        <f t="shared" si="14"/>
        <v>1.4605647517039966E-2</v>
      </c>
      <c r="H324" s="2">
        <f t="shared" si="12"/>
        <v>16.549999999999955</v>
      </c>
      <c r="I324" s="3">
        <f t="shared" si="13"/>
        <v>1.3360242179616512E-2</v>
      </c>
    </row>
    <row r="325" spans="2:9" x14ac:dyDescent="0.25">
      <c r="B325" s="1">
        <v>35647</v>
      </c>
      <c r="C325" s="2">
        <v>1273.1500000000001</v>
      </c>
      <c r="D325" s="2">
        <v>1250.5</v>
      </c>
      <c r="E325" s="2">
        <v>1275.45</v>
      </c>
      <c r="F325" s="2">
        <v>1249.7</v>
      </c>
      <c r="G325" s="3">
        <f t="shared" si="14"/>
        <v>1.819417786308386E-2</v>
      </c>
      <c r="H325" s="2">
        <f t="shared" ref="H325:H388" si="15">E325-F325</f>
        <v>25.75</v>
      </c>
      <c r="I325" s="3">
        <f t="shared" si="13"/>
        <v>2.0591763294682128E-2</v>
      </c>
    </row>
    <row r="326" spans="2:9" x14ac:dyDescent="0.25">
      <c r="B326" s="1">
        <v>35648</v>
      </c>
      <c r="C326" s="2">
        <v>1292.95</v>
      </c>
      <c r="D326" s="2">
        <v>1273.6500000000001</v>
      </c>
      <c r="E326" s="2">
        <v>1297.0999999999999</v>
      </c>
      <c r="F326" s="2">
        <v>1273.6500000000001</v>
      </c>
      <c r="G326" s="3">
        <f t="shared" si="14"/>
        <v>1.5551977378941872E-2</v>
      </c>
      <c r="H326" s="2">
        <f t="shared" si="15"/>
        <v>23.449999999999818</v>
      </c>
      <c r="I326" s="3">
        <f t="shared" ref="I326:I389" si="16">H326/D326</f>
        <v>1.8411651552624204E-2</v>
      </c>
    </row>
    <row r="327" spans="2:9" x14ac:dyDescent="0.25">
      <c r="B327" s="1">
        <v>35649</v>
      </c>
      <c r="C327" s="2">
        <v>1269.6500000000001</v>
      </c>
      <c r="D327" s="2">
        <v>1292.8</v>
      </c>
      <c r="E327" s="2">
        <v>1292.8</v>
      </c>
      <c r="F327" s="2">
        <v>1259.05</v>
      </c>
      <c r="G327" s="3">
        <f t="shared" ref="G327:G390" si="17">C327/C326-1</f>
        <v>-1.8020805135542717E-2</v>
      </c>
      <c r="H327" s="2">
        <f t="shared" si="15"/>
        <v>33.75</v>
      </c>
      <c r="I327" s="3">
        <f t="shared" si="16"/>
        <v>2.6106126237623765E-2</v>
      </c>
    </row>
    <row r="328" spans="2:9" x14ac:dyDescent="0.25">
      <c r="B328" s="1">
        <v>35650</v>
      </c>
      <c r="C328" s="2">
        <v>1256.95</v>
      </c>
      <c r="D328" s="2">
        <v>1269.55</v>
      </c>
      <c r="E328" s="2">
        <v>1269.55</v>
      </c>
      <c r="F328" s="2">
        <v>1253.2</v>
      </c>
      <c r="G328" s="3">
        <f t="shared" si="17"/>
        <v>-1.0002756665222767E-2</v>
      </c>
      <c r="H328" s="2">
        <f t="shared" si="15"/>
        <v>16.349999999999909</v>
      </c>
      <c r="I328" s="3">
        <f t="shared" si="16"/>
        <v>1.2878579024063573E-2</v>
      </c>
    </row>
    <row r="329" spans="2:9" x14ac:dyDescent="0.25">
      <c r="B329" s="1">
        <v>35653</v>
      </c>
      <c r="C329" s="2">
        <v>1258.3499999999999</v>
      </c>
      <c r="D329" s="2">
        <v>1256.8499999999999</v>
      </c>
      <c r="E329" s="2">
        <v>1260</v>
      </c>
      <c r="F329" s="2">
        <v>1247.6500000000001</v>
      </c>
      <c r="G329" s="3">
        <f t="shared" si="17"/>
        <v>1.1138072317911085E-3</v>
      </c>
      <c r="H329" s="2">
        <f t="shared" si="15"/>
        <v>12.349999999999909</v>
      </c>
      <c r="I329" s="3">
        <f t="shared" si="16"/>
        <v>9.8261526832954683E-3</v>
      </c>
    </row>
    <row r="330" spans="2:9" x14ac:dyDescent="0.25">
      <c r="B330" s="1">
        <v>35654</v>
      </c>
      <c r="C330" s="2">
        <v>1248.45</v>
      </c>
      <c r="D330" s="2">
        <v>1258.5</v>
      </c>
      <c r="E330" s="2">
        <v>1272</v>
      </c>
      <c r="F330" s="2">
        <v>1243.95</v>
      </c>
      <c r="G330" s="3">
        <f t="shared" si="17"/>
        <v>-7.867445464298406E-3</v>
      </c>
      <c r="H330" s="2">
        <f t="shared" si="15"/>
        <v>28.049999999999955</v>
      </c>
      <c r="I330" s="3">
        <f t="shared" si="16"/>
        <v>2.2288438617401634E-2</v>
      </c>
    </row>
    <row r="331" spans="2:9" x14ac:dyDescent="0.25">
      <c r="B331" s="1">
        <v>35655</v>
      </c>
      <c r="C331" s="2">
        <v>1244.5999999999999</v>
      </c>
      <c r="D331" s="2">
        <v>1248.3</v>
      </c>
      <c r="E331" s="2">
        <v>1251.4000000000001</v>
      </c>
      <c r="F331" s="2">
        <v>1240.9000000000001</v>
      </c>
      <c r="G331" s="3">
        <f t="shared" si="17"/>
        <v>-3.0838239416878244E-3</v>
      </c>
      <c r="H331" s="2">
        <f t="shared" si="15"/>
        <v>10.5</v>
      </c>
      <c r="I331" s="3">
        <f t="shared" si="16"/>
        <v>8.4114395577986056E-3</v>
      </c>
    </row>
    <row r="332" spans="2:9" x14ac:dyDescent="0.25">
      <c r="B332" s="1">
        <v>35656</v>
      </c>
      <c r="C332" s="2">
        <v>1227.9000000000001</v>
      </c>
      <c r="D332" s="2">
        <v>1244.4000000000001</v>
      </c>
      <c r="E332" s="2">
        <v>1245.8</v>
      </c>
      <c r="F332" s="2">
        <v>1226.0999999999999</v>
      </c>
      <c r="G332" s="3">
        <f t="shared" si="17"/>
        <v>-1.3417965611441263E-2</v>
      </c>
      <c r="H332" s="2">
        <f t="shared" si="15"/>
        <v>19.700000000000045</v>
      </c>
      <c r="I332" s="3">
        <f t="shared" si="16"/>
        <v>1.5830922532947642E-2</v>
      </c>
    </row>
    <row r="333" spans="2:9" x14ac:dyDescent="0.25">
      <c r="B333" s="1">
        <v>35660</v>
      </c>
      <c r="C333" s="2">
        <v>1201.45</v>
      </c>
      <c r="D333" s="2">
        <v>1228.4000000000001</v>
      </c>
      <c r="E333" s="2">
        <v>1228.45</v>
      </c>
      <c r="F333" s="2">
        <v>1198.75</v>
      </c>
      <c r="G333" s="3">
        <f t="shared" si="17"/>
        <v>-2.1540842088117906E-2</v>
      </c>
      <c r="H333" s="2">
        <f t="shared" si="15"/>
        <v>29.700000000000045</v>
      </c>
      <c r="I333" s="3">
        <f t="shared" si="16"/>
        <v>2.4177792250081442E-2</v>
      </c>
    </row>
    <row r="334" spans="2:9" x14ac:dyDescent="0.25">
      <c r="B334" s="1">
        <v>35661</v>
      </c>
      <c r="C334" s="2">
        <v>1180.7</v>
      </c>
      <c r="D334" s="2">
        <v>1201.5</v>
      </c>
      <c r="E334" s="2">
        <v>1203.1500000000001</v>
      </c>
      <c r="F334" s="2">
        <v>1177.0999999999999</v>
      </c>
      <c r="G334" s="3">
        <f t="shared" si="17"/>
        <v>-1.7270797786008596E-2</v>
      </c>
      <c r="H334" s="2">
        <f t="shared" si="15"/>
        <v>26.050000000000182</v>
      </c>
      <c r="I334" s="3">
        <f t="shared" si="16"/>
        <v>2.1681231793591497E-2</v>
      </c>
    </row>
    <row r="335" spans="2:9" x14ac:dyDescent="0.25">
      <c r="B335" s="1">
        <v>35662</v>
      </c>
      <c r="C335" s="2">
        <v>1198.2</v>
      </c>
      <c r="D335" s="2">
        <v>1179.55</v>
      </c>
      <c r="E335" s="2">
        <v>1200.25</v>
      </c>
      <c r="F335" s="2">
        <v>1178.6500000000001</v>
      </c>
      <c r="G335" s="3">
        <f t="shared" si="17"/>
        <v>1.4821715931227164E-2</v>
      </c>
      <c r="H335" s="2">
        <f t="shared" si="15"/>
        <v>21.599999999999909</v>
      </c>
      <c r="I335" s="3">
        <f t="shared" si="16"/>
        <v>1.831206816158697E-2</v>
      </c>
    </row>
    <row r="336" spans="2:9" x14ac:dyDescent="0.25">
      <c r="B336" s="1">
        <v>35663</v>
      </c>
      <c r="C336" s="2">
        <v>1181.5</v>
      </c>
      <c r="D336" s="2">
        <v>1198.8</v>
      </c>
      <c r="E336" s="2">
        <v>1212.1500000000001</v>
      </c>
      <c r="F336" s="2">
        <v>1179.3</v>
      </c>
      <c r="G336" s="3">
        <f t="shared" si="17"/>
        <v>-1.3937573026206018E-2</v>
      </c>
      <c r="H336" s="2">
        <f t="shared" si="15"/>
        <v>32.850000000000136</v>
      </c>
      <c r="I336" s="3">
        <f t="shared" si="16"/>
        <v>2.7402402402402517E-2</v>
      </c>
    </row>
    <row r="337" spans="2:9" x14ac:dyDescent="0.25">
      <c r="B337" s="1">
        <v>35664</v>
      </c>
      <c r="C337" s="2">
        <v>1160.45</v>
      </c>
      <c r="D337" s="2">
        <v>1181.55</v>
      </c>
      <c r="E337" s="2">
        <v>1181.5999999999999</v>
      </c>
      <c r="F337" s="2">
        <v>1158.45</v>
      </c>
      <c r="G337" s="3">
        <f t="shared" si="17"/>
        <v>-1.7816335167160302E-2</v>
      </c>
      <c r="H337" s="2">
        <f t="shared" si="15"/>
        <v>23.149999999999864</v>
      </c>
      <c r="I337" s="3">
        <f t="shared" si="16"/>
        <v>1.9592907621344729E-2</v>
      </c>
    </row>
    <row r="338" spans="2:9" x14ac:dyDescent="0.25">
      <c r="B338" s="1">
        <v>35667</v>
      </c>
      <c r="C338" s="2">
        <v>1144.3</v>
      </c>
      <c r="D338" s="2">
        <v>1160.4000000000001</v>
      </c>
      <c r="E338" s="2">
        <v>1160.4000000000001</v>
      </c>
      <c r="F338" s="2">
        <v>1119.6500000000001</v>
      </c>
      <c r="G338" s="3">
        <f t="shared" si="17"/>
        <v>-1.3917014951096651E-2</v>
      </c>
      <c r="H338" s="2">
        <f t="shared" si="15"/>
        <v>40.75</v>
      </c>
      <c r="I338" s="3">
        <f t="shared" si="16"/>
        <v>3.511720096518442E-2</v>
      </c>
    </row>
    <row r="339" spans="2:9" x14ac:dyDescent="0.25">
      <c r="B339" s="1">
        <v>35668</v>
      </c>
      <c r="C339" s="2">
        <v>1151.75</v>
      </c>
      <c r="D339" s="2">
        <v>1144.55</v>
      </c>
      <c r="E339" s="2">
        <v>1160.45</v>
      </c>
      <c r="F339" s="2">
        <v>1144.05</v>
      </c>
      <c r="G339" s="3">
        <f t="shared" si="17"/>
        <v>6.5105304553001453E-3</v>
      </c>
      <c r="H339" s="2">
        <f t="shared" si="15"/>
        <v>16.400000000000091</v>
      </c>
      <c r="I339" s="3">
        <f t="shared" si="16"/>
        <v>1.4328775501288795E-2</v>
      </c>
    </row>
    <row r="340" spans="2:9" x14ac:dyDescent="0.25">
      <c r="B340" s="1">
        <v>35669</v>
      </c>
      <c r="C340" s="2">
        <v>1168.4000000000001</v>
      </c>
      <c r="D340" s="2">
        <v>1152.4000000000001</v>
      </c>
      <c r="E340" s="2">
        <v>1184.8499999999999</v>
      </c>
      <c r="F340" s="2">
        <v>1152.4000000000001</v>
      </c>
      <c r="G340" s="3">
        <f t="shared" si="17"/>
        <v>1.4456262209681103E-2</v>
      </c>
      <c r="H340" s="2">
        <f t="shared" si="15"/>
        <v>32.449999999999818</v>
      </c>
      <c r="I340" s="3">
        <f t="shared" si="16"/>
        <v>2.8158625477264679E-2</v>
      </c>
    </row>
    <row r="341" spans="2:9" x14ac:dyDescent="0.25">
      <c r="B341" s="1">
        <v>35670</v>
      </c>
      <c r="C341" s="2">
        <v>1134.6500000000001</v>
      </c>
      <c r="D341" s="2">
        <v>1168.4000000000001</v>
      </c>
      <c r="E341" s="2">
        <v>1168.4000000000001</v>
      </c>
      <c r="F341" s="2">
        <v>1132.25</v>
      </c>
      <c r="G341" s="3">
        <f t="shared" si="17"/>
        <v>-2.8885655597398197E-2</v>
      </c>
      <c r="H341" s="2">
        <f t="shared" si="15"/>
        <v>36.150000000000091</v>
      </c>
      <c r="I341" s="3">
        <f t="shared" si="16"/>
        <v>3.0939746662102096E-2</v>
      </c>
    </row>
    <row r="342" spans="2:9" x14ac:dyDescent="0.25">
      <c r="B342" s="1">
        <v>35671</v>
      </c>
      <c r="C342" s="2">
        <v>1105</v>
      </c>
      <c r="D342" s="2">
        <v>1134.2</v>
      </c>
      <c r="E342" s="2">
        <v>1134.2</v>
      </c>
      <c r="F342" s="2">
        <v>1098.9000000000001</v>
      </c>
      <c r="G342" s="3">
        <f t="shared" si="17"/>
        <v>-2.6131406160490145E-2</v>
      </c>
      <c r="H342" s="2">
        <f t="shared" si="15"/>
        <v>35.299999999999955</v>
      </c>
      <c r="I342" s="3">
        <f t="shared" si="16"/>
        <v>3.1123258684535315E-2</v>
      </c>
    </row>
    <row r="343" spans="2:9" x14ac:dyDescent="0.25">
      <c r="B343" s="1">
        <v>35674</v>
      </c>
      <c r="C343" s="2">
        <v>1104.7</v>
      </c>
      <c r="D343" s="2">
        <v>1105.45</v>
      </c>
      <c r="E343" s="2">
        <v>1115</v>
      </c>
      <c r="F343" s="2">
        <v>1097.95</v>
      </c>
      <c r="G343" s="3">
        <f t="shared" si="17"/>
        <v>-2.7149321266961568E-4</v>
      </c>
      <c r="H343" s="2">
        <f t="shared" si="15"/>
        <v>17.049999999999955</v>
      </c>
      <c r="I343" s="3">
        <f t="shared" si="16"/>
        <v>1.54235831561807E-2</v>
      </c>
    </row>
    <row r="344" spans="2:9" x14ac:dyDescent="0.25">
      <c r="B344" s="1">
        <v>35675</v>
      </c>
      <c r="C344" s="2">
        <v>1117.1500000000001</v>
      </c>
      <c r="D344" s="2">
        <v>1104.9000000000001</v>
      </c>
      <c r="E344" s="2">
        <v>1125.8499999999999</v>
      </c>
      <c r="F344" s="2">
        <v>1102.45</v>
      </c>
      <c r="G344" s="3">
        <f t="shared" si="17"/>
        <v>1.1270028061917348E-2</v>
      </c>
      <c r="H344" s="2">
        <f t="shared" si="15"/>
        <v>23.399999999999864</v>
      </c>
      <c r="I344" s="3">
        <f t="shared" si="16"/>
        <v>2.117838718436045E-2</v>
      </c>
    </row>
    <row r="345" spans="2:9" x14ac:dyDescent="0.25">
      <c r="B345" s="1">
        <v>35676</v>
      </c>
      <c r="C345" s="2">
        <v>1134.7</v>
      </c>
      <c r="D345" s="2">
        <v>1118.45</v>
      </c>
      <c r="E345" s="2">
        <v>1145.4000000000001</v>
      </c>
      <c r="F345" s="2">
        <v>1118.45</v>
      </c>
      <c r="G345" s="3">
        <f t="shared" si="17"/>
        <v>1.570961822494743E-2</v>
      </c>
      <c r="H345" s="2">
        <f t="shared" si="15"/>
        <v>26.950000000000045</v>
      </c>
      <c r="I345" s="3">
        <f t="shared" si="16"/>
        <v>2.409584693102065E-2</v>
      </c>
    </row>
    <row r="346" spans="2:9" x14ac:dyDescent="0.25">
      <c r="B346" s="1">
        <v>35677</v>
      </c>
      <c r="C346" s="2">
        <v>1137.1500000000001</v>
      </c>
      <c r="D346" s="2">
        <v>1134.3</v>
      </c>
      <c r="E346" s="2">
        <v>1138.8</v>
      </c>
      <c r="F346" s="2">
        <v>1123.7</v>
      </c>
      <c r="G346" s="3">
        <f t="shared" si="17"/>
        <v>2.1591610117210891E-3</v>
      </c>
      <c r="H346" s="2">
        <f t="shared" si="15"/>
        <v>15.099999999999909</v>
      </c>
      <c r="I346" s="3">
        <f t="shared" si="16"/>
        <v>1.3312174909635819E-2</v>
      </c>
    </row>
    <row r="347" spans="2:9" x14ac:dyDescent="0.25">
      <c r="B347" s="1">
        <v>35678</v>
      </c>
      <c r="C347" s="2">
        <v>1149.25</v>
      </c>
      <c r="D347" s="2">
        <v>1137.2</v>
      </c>
      <c r="E347" s="2">
        <v>1152.3</v>
      </c>
      <c r="F347" s="2">
        <v>1137.2</v>
      </c>
      <c r="G347" s="3">
        <f t="shared" si="17"/>
        <v>1.0640636679417836E-2</v>
      </c>
      <c r="H347" s="2">
        <f t="shared" si="15"/>
        <v>15.099999999999909</v>
      </c>
      <c r="I347" s="3">
        <f t="shared" si="16"/>
        <v>1.3278227224762493E-2</v>
      </c>
    </row>
    <row r="348" spans="2:9" x14ac:dyDescent="0.25">
      <c r="B348" s="1">
        <v>35681</v>
      </c>
      <c r="C348" s="2">
        <v>1158.25</v>
      </c>
      <c r="D348" s="2">
        <v>1148.7</v>
      </c>
      <c r="E348" s="2">
        <v>1160.8499999999999</v>
      </c>
      <c r="F348" s="2">
        <v>1136.8499999999999</v>
      </c>
      <c r="G348" s="3">
        <f t="shared" si="17"/>
        <v>7.8311942571243076E-3</v>
      </c>
      <c r="H348" s="2">
        <f t="shared" si="15"/>
        <v>24</v>
      </c>
      <c r="I348" s="3">
        <f t="shared" si="16"/>
        <v>2.0893183598850874E-2</v>
      </c>
    </row>
    <row r="349" spans="2:9" x14ac:dyDescent="0.25">
      <c r="B349" s="1">
        <v>35682</v>
      </c>
      <c r="C349" s="2">
        <v>1159.55</v>
      </c>
      <c r="D349" s="2">
        <v>1158.3</v>
      </c>
      <c r="E349" s="2">
        <v>1168.3499999999999</v>
      </c>
      <c r="F349" s="2">
        <v>1154.95</v>
      </c>
      <c r="G349" s="3">
        <f t="shared" si="17"/>
        <v>1.1223829052449119E-3</v>
      </c>
      <c r="H349" s="2">
        <f t="shared" si="15"/>
        <v>13.399999999999864</v>
      </c>
      <c r="I349" s="3">
        <f t="shared" si="16"/>
        <v>1.1568678235344784E-2</v>
      </c>
    </row>
    <row r="350" spans="2:9" x14ac:dyDescent="0.25">
      <c r="B350" s="1">
        <v>35683</v>
      </c>
      <c r="C350" s="2">
        <v>1154.55</v>
      </c>
      <c r="D350" s="2">
        <v>1159</v>
      </c>
      <c r="E350" s="2">
        <v>1159</v>
      </c>
      <c r="F350" s="2">
        <v>1143.95</v>
      </c>
      <c r="G350" s="3">
        <f t="shared" si="17"/>
        <v>-4.3120175930317917E-3</v>
      </c>
      <c r="H350" s="2">
        <f t="shared" si="15"/>
        <v>15.049999999999955</v>
      </c>
      <c r="I350" s="3">
        <f t="shared" si="16"/>
        <v>1.2985332182916268E-2</v>
      </c>
    </row>
    <row r="351" spans="2:9" x14ac:dyDescent="0.25">
      <c r="B351" s="1">
        <v>35684</v>
      </c>
      <c r="C351" s="2">
        <v>1154.3</v>
      </c>
      <c r="D351" s="2">
        <v>1154.5999999999999</v>
      </c>
      <c r="E351" s="2">
        <v>1163.3</v>
      </c>
      <c r="F351" s="2">
        <v>1152.55</v>
      </c>
      <c r="G351" s="3">
        <f t="shared" si="17"/>
        <v>-2.1653458057246944E-4</v>
      </c>
      <c r="H351" s="2">
        <f t="shared" si="15"/>
        <v>10.75</v>
      </c>
      <c r="I351" s="3">
        <f t="shared" si="16"/>
        <v>9.310583751948728E-3</v>
      </c>
    </row>
    <row r="352" spans="2:9" x14ac:dyDescent="0.25">
      <c r="B352" s="1">
        <v>35685</v>
      </c>
      <c r="C352" s="2">
        <v>1142.8499999999999</v>
      </c>
      <c r="D352" s="2">
        <v>1154.2</v>
      </c>
      <c r="E352" s="2">
        <v>1154.2</v>
      </c>
      <c r="F352" s="2">
        <v>1138.25</v>
      </c>
      <c r="G352" s="3">
        <f t="shared" si="17"/>
        <v>-9.9194316902019297E-3</v>
      </c>
      <c r="H352" s="2">
        <f t="shared" si="15"/>
        <v>15.950000000000045</v>
      </c>
      <c r="I352" s="3">
        <f t="shared" si="16"/>
        <v>1.3819095477386974E-2</v>
      </c>
    </row>
    <row r="353" spans="2:9" x14ac:dyDescent="0.25">
      <c r="B353" s="1">
        <v>35688</v>
      </c>
      <c r="C353" s="2">
        <v>1141</v>
      </c>
      <c r="D353" s="2">
        <v>1142.75</v>
      </c>
      <c r="E353" s="2">
        <v>1143.3499999999999</v>
      </c>
      <c r="F353" s="2">
        <v>1136.3</v>
      </c>
      <c r="G353" s="3">
        <f t="shared" si="17"/>
        <v>-1.618760117250706E-3</v>
      </c>
      <c r="H353" s="2">
        <f t="shared" si="15"/>
        <v>7.0499999999999545</v>
      </c>
      <c r="I353" s="3">
        <f t="shared" si="16"/>
        <v>6.1693283745350731E-3</v>
      </c>
    </row>
    <row r="354" spans="2:9" x14ac:dyDescent="0.25">
      <c r="B354" s="1">
        <v>35689</v>
      </c>
      <c r="C354" s="2">
        <v>1140.1500000000001</v>
      </c>
      <c r="D354" s="2">
        <v>1141.0999999999999</v>
      </c>
      <c r="E354" s="2">
        <v>1149.25</v>
      </c>
      <c r="F354" s="2">
        <v>1137.8</v>
      </c>
      <c r="G354" s="3">
        <f t="shared" si="17"/>
        <v>-7.4496056091144514E-4</v>
      </c>
      <c r="H354" s="2">
        <f t="shared" si="15"/>
        <v>11.450000000000045</v>
      </c>
      <c r="I354" s="3">
        <f t="shared" si="16"/>
        <v>1.0034177547980061E-2</v>
      </c>
    </row>
    <row r="355" spans="2:9" x14ac:dyDescent="0.25">
      <c r="B355" s="1">
        <v>35690</v>
      </c>
      <c r="C355" s="2">
        <v>1134.2</v>
      </c>
      <c r="D355" s="2">
        <v>1140.3</v>
      </c>
      <c r="E355" s="2">
        <v>1141.75</v>
      </c>
      <c r="F355" s="2">
        <v>1132.75</v>
      </c>
      <c r="G355" s="3">
        <f t="shared" si="17"/>
        <v>-5.2186115861948545E-3</v>
      </c>
      <c r="H355" s="2">
        <f t="shared" si="15"/>
        <v>9</v>
      </c>
      <c r="I355" s="3">
        <f t="shared" si="16"/>
        <v>7.8926598263614842E-3</v>
      </c>
    </row>
    <row r="356" spans="2:9" x14ac:dyDescent="0.25">
      <c r="B356" s="1">
        <v>35691</v>
      </c>
      <c r="C356" s="2">
        <v>1109.3499999999999</v>
      </c>
      <c r="D356" s="2">
        <v>1133.5999999999999</v>
      </c>
      <c r="E356" s="2">
        <v>1133.5999999999999</v>
      </c>
      <c r="F356" s="2">
        <v>1101.6500000000001</v>
      </c>
      <c r="G356" s="3">
        <f t="shared" si="17"/>
        <v>-2.1909716099453469E-2</v>
      </c>
      <c r="H356" s="2">
        <f t="shared" si="15"/>
        <v>31.949999999999818</v>
      </c>
      <c r="I356" s="3">
        <f t="shared" si="16"/>
        <v>2.8184544812985022E-2</v>
      </c>
    </row>
    <row r="357" spans="2:9" x14ac:dyDescent="0.25">
      <c r="B357" s="1">
        <v>35692</v>
      </c>
      <c r="C357" s="2">
        <v>1104.3</v>
      </c>
      <c r="D357" s="2">
        <v>1109.5999999999999</v>
      </c>
      <c r="E357" s="2">
        <v>1115.1500000000001</v>
      </c>
      <c r="F357" s="2">
        <v>1099.5999999999999</v>
      </c>
      <c r="G357" s="3">
        <f t="shared" si="17"/>
        <v>-4.5522152611889855E-3</v>
      </c>
      <c r="H357" s="2">
        <f t="shared" si="15"/>
        <v>15.550000000000182</v>
      </c>
      <c r="I357" s="3">
        <f t="shared" si="16"/>
        <v>1.4014059120403915E-2</v>
      </c>
    </row>
    <row r="358" spans="2:9" x14ac:dyDescent="0.25">
      <c r="B358" s="1">
        <v>35695</v>
      </c>
      <c r="C358" s="2">
        <v>1085</v>
      </c>
      <c r="D358" s="2">
        <v>1104.25</v>
      </c>
      <c r="E358" s="2">
        <v>1104.25</v>
      </c>
      <c r="F358" s="2">
        <v>1082.5</v>
      </c>
      <c r="G358" s="3">
        <f t="shared" si="17"/>
        <v>-1.7477134836548003E-2</v>
      </c>
      <c r="H358" s="2">
        <f t="shared" si="15"/>
        <v>21.75</v>
      </c>
      <c r="I358" s="3">
        <f t="shared" si="16"/>
        <v>1.9696626669685306E-2</v>
      </c>
    </row>
    <row r="359" spans="2:9" x14ac:dyDescent="0.25">
      <c r="B359" s="1">
        <v>35696</v>
      </c>
      <c r="C359" s="2">
        <v>1088.6500000000001</v>
      </c>
      <c r="D359" s="2">
        <v>1084.4000000000001</v>
      </c>
      <c r="E359" s="2">
        <v>1090.95</v>
      </c>
      <c r="F359" s="2">
        <v>1079.5999999999999</v>
      </c>
      <c r="G359" s="3">
        <f t="shared" si="17"/>
        <v>3.3640552995393147E-3</v>
      </c>
      <c r="H359" s="2">
        <f t="shared" si="15"/>
        <v>11.350000000000136</v>
      </c>
      <c r="I359" s="3">
        <f t="shared" si="16"/>
        <v>1.0466617484323253E-2</v>
      </c>
    </row>
    <row r="360" spans="2:9" x14ac:dyDescent="0.25">
      <c r="B360" s="1">
        <v>35697</v>
      </c>
      <c r="C360" s="2">
        <v>1100.8499999999999</v>
      </c>
      <c r="D360" s="2">
        <v>1089.1500000000001</v>
      </c>
      <c r="E360" s="2">
        <v>1108.1500000000001</v>
      </c>
      <c r="F360" s="2">
        <v>1089.1500000000001</v>
      </c>
      <c r="G360" s="3">
        <f t="shared" si="17"/>
        <v>1.1206540210352056E-2</v>
      </c>
      <c r="H360" s="2">
        <f t="shared" si="15"/>
        <v>19</v>
      </c>
      <c r="I360" s="3">
        <f t="shared" si="16"/>
        <v>1.7444796400863057E-2</v>
      </c>
    </row>
    <row r="361" spans="2:9" x14ac:dyDescent="0.25">
      <c r="B361" s="1">
        <v>35698</v>
      </c>
      <c r="C361" s="2">
        <v>1111.3499999999999</v>
      </c>
      <c r="D361" s="2">
        <v>1100.8499999999999</v>
      </c>
      <c r="E361" s="2">
        <v>1112.4000000000001</v>
      </c>
      <c r="F361" s="2">
        <v>1098.3499999999999</v>
      </c>
      <c r="G361" s="3">
        <f t="shared" si="17"/>
        <v>9.5380842076577821E-3</v>
      </c>
      <c r="H361" s="2">
        <f t="shared" si="15"/>
        <v>14.050000000000182</v>
      </c>
      <c r="I361" s="3">
        <f t="shared" si="16"/>
        <v>1.2762865058818353E-2</v>
      </c>
    </row>
    <row r="362" spans="2:9" x14ac:dyDescent="0.25">
      <c r="B362" s="1">
        <v>35699</v>
      </c>
      <c r="C362" s="2">
        <v>1116.0999999999999</v>
      </c>
      <c r="D362" s="2">
        <v>1111.6500000000001</v>
      </c>
      <c r="E362" s="2">
        <v>1122.25</v>
      </c>
      <c r="F362" s="2">
        <v>1111.6500000000001</v>
      </c>
      <c r="G362" s="3">
        <f t="shared" si="17"/>
        <v>4.2740810725694356E-3</v>
      </c>
      <c r="H362" s="2">
        <f t="shared" si="15"/>
        <v>10.599999999999909</v>
      </c>
      <c r="I362" s="3">
        <f t="shared" si="16"/>
        <v>9.5353753429585821E-3</v>
      </c>
    </row>
    <row r="363" spans="2:9" x14ac:dyDescent="0.25">
      <c r="B363" s="1">
        <v>35702</v>
      </c>
      <c r="C363" s="2">
        <v>1125.7</v>
      </c>
      <c r="D363" s="2">
        <v>1124.9000000000001</v>
      </c>
      <c r="E363" s="2">
        <v>1133.4000000000001</v>
      </c>
      <c r="F363" s="2">
        <v>1122.5999999999999</v>
      </c>
      <c r="G363" s="3">
        <f t="shared" si="17"/>
        <v>8.6013798046771228E-3</v>
      </c>
      <c r="H363" s="2">
        <f t="shared" si="15"/>
        <v>10.800000000000182</v>
      </c>
      <c r="I363" s="3">
        <f t="shared" si="16"/>
        <v>9.6008534091920894E-3</v>
      </c>
    </row>
    <row r="364" spans="2:9" x14ac:dyDescent="0.25">
      <c r="B364" s="1">
        <v>35703</v>
      </c>
      <c r="C364" s="2">
        <v>1123.8</v>
      </c>
      <c r="D364" s="2">
        <v>1125.6500000000001</v>
      </c>
      <c r="E364" s="2">
        <v>1125.6500000000001</v>
      </c>
      <c r="F364" s="2">
        <v>1112.5</v>
      </c>
      <c r="G364" s="3">
        <f t="shared" si="17"/>
        <v>-1.6878386781559174E-3</v>
      </c>
      <c r="H364" s="2">
        <f t="shared" si="15"/>
        <v>13.150000000000091</v>
      </c>
      <c r="I364" s="3">
        <f t="shared" si="16"/>
        <v>1.1682139208457416E-2</v>
      </c>
    </row>
    <row r="365" spans="2:9" x14ac:dyDescent="0.25">
      <c r="B365" s="1">
        <v>35704</v>
      </c>
      <c r="C365" s="2">
        <v>1114.7</v>
      </c>
      <c r="D365" s="2">
        <v>1123.45</v>
      </c>
      <c r="E365" s="2">
        <v>1123.45</v>
      </c>
      <c r="F365" s="2">
        <v>1102.45</v>
      </c>
      <c r="G365" s="3">
        <f t="shared" si="17"/>
        <v>-8.0975262502224199E-3</v>
      </c>
      <c r="H365" s="2">
        <f t="shared" si="15"/>
        <v>21</v>
      </c>
      <c r="I365" s="3">
        <f t="shared" si="16"/>
        <v>1.8692420668476567E-2</v>
      </c>
    </row>
    <row r="366" spans="2:9" x14ac:dyDescent="0.25">
      <c r="B366" s="1">
        <v>35712</v>
      </c>
      <c r="C366" s="2">
        <v>1134.55</v>
      </c>
      <c r="D366" s="2">
        <v>1119.0999999999999</v>
      </c>
      <c r="E366" s="2">
        <v>1135.95</v>
      </c>
      <c r="F366" s="2">
        <v>1118.6500000000001</v>
      </c>
      <c r="G366" s="3">
        <f t="shared" si="17"/>
        <v>1.7807481833677086E-2</v>
      </c>
      <c r="H366" s="2">
        <f t="shared" si="15"/>
        <v>17.299999999999955</v>
      </c>
      <c r="I366" s="3">
        <f t="shared" si="16"/>
        <v>1.5458850862300023E-2</v>
      </c>
    </row>
    <row r="367" spans="2:9" x14ac:dyDescent="0.25">
      <c r="B367" s="1">
        <v>35713</v>
      </c>
      <c r="C367" s="2">
        <v>1163.55</v>
      </c>
      <c r="D367" s="2">
        <v>1135.3</v>
      </c>
      <c r="E367" s="2">
        <v>1166.05</v>
      </c>
      <c r="F367" s="2">
        <v>1133.5999999999999</v>
      </c>
      <c r="G367" s="3">
        <f t="shared" si="17"/>
        <v>2.5560795028866101E-2</v>
      </c>
      <c r="H367" s="2">
        <f t="shared" si="15"/>
        <v>32.450000000000045</v>
      </c>
      <c r="I367" s="3">
        <f t="shared" si="16"/>
        <v>2.8582753457236015E-2</v>
      </c>
    </row>
    <row r="368" spans="2:9" x14ac:dyDescent="0.25">
      <c r="B368" s="1">
        <v>35716</v>
      </c>
      <c r="C368" s="2">
        <v>1156.95</v>
      </c>
      <c r="D368" s="2">
        <v>1165.5</v>
      </c>
      <c r="E368" s="2">
        <v>1177.5</v>
      </c>
      <c r="F368" s="2">
        <v>1153.8499999999999</v>
      </c>
      <c r="G368" s="3">
        <f t="shared" si="17"/>
        <v>-5.672295990717946E-3</v>
      </c>
      <c r="H368" s="2">
        <f t="shared" si="15"/>
        <v>23.650000000000091</v>
      </c>
      <c r="I368" s="3">
        <f t="shared" si="16"/>
        <v>2.0291720291720369E-2</v>
      </c>
    </row>
    <row r="369" spans="2:9" x14ac:dyDescent="0.25">
      <c r="B369" s="1">
        <v>35717</v>
      </c>
      <c r="C369" s="2">
        <v>1137.9000000000001</v>
      </c>
      <c r="D369" s="2">
        <v>1156.45</v>
      </c>
      <c r="E369" s="2">
        <v>1158.8</v>
      </c>
      <c r="F369" s="2">
        <v>1131</v>
      </c>
      <c r="G369" s="3">
        <f t="shared" si="17"/>
        <v>-1.646570724750418E-2</v>
      </c>
      <c r="H369" s="2">
        <f t="shared" si="15"/>
        <v>27.799999999999955</v>
      </c>
      <c r="I369" s="3">
        <f t="shared" si="16"/>
        <v>2.4039085131220505E-2</v>
      </c>
    </row>
    <row r="370" spans="2:9" x14ac:dyDescent="0.25">
      <c r="B370" s="1">
        <v>35718</v>
      </c>
      <c r="C370" s="2">
        <v>1150.45</v>
      </c>
      <c r="D370" s="2">
        <v>1138.45</v>
      </c>
      <c r="E370" s="2">
        <v>1152.6500000000001</v>
      </c>
      <c r="F370" s="2">
        <v>1138.45</v>
      </c>
      <c r="G370" s="3">
        <f t="shared" si="17"/>
        <v>1.1029088672115162E-2</v>
      </c>
      <c r="H370" s="2">
        <f t="shared" si="15"/>
        <v>14.200000000000045</v>
      </c>
      <c r="I370" s="3">
        <f t="shared" si="16"/>
        <v>1.2473099389520879E-2</v>
      </c>
    </row>
    <row r="371" spans="2:9" x14ac:dyDescent="0.25">
      <c r="B371" s="1">
        <v>35719</v>
      </c>
      <c r="C371" s="2">
        <v>1168.3499999999999</v>
      </c>
      <c r="D371" s="2">
        <v>1150.45</v>
      </c>
      <c r="E371" s="2">
        <v>1171.5999999999999</v>
      </c>
      <c r="F371" s="2">
        <v>1150.45</v>
      </c>
      <c r="G371" s="3">
        <f t="shared" si="17"/>
        <v>1.5559129036463837E-2</v>
      </c>
      <c r="H371" s="2">
        <f t="shared" si="15"/>
        <v>21.149999999999864</v>
      </c>
      <c r="I371" s="3">
        <f t="shared" si="16"/>
        <v>1.8384110565430798E-2</v>
      </c>
    </row>
    <row r="372" spans="2:9" x14ac:dyDescent="0.25">
      <c r="B372" s="1">
        <v>35720</v>
      </c>
      <c r="C372" s="2">
        <v>1177.8</v>
      </c>
      <c r="D372" s="2">
        <v>1168.75</v>
      </c>
      <c r="E372" s="2">
        <v>1181.1500000000001</v>
      </c>
      <c r="F372" s="2">
        <v>1168.7</v>
      </c>
      <c r="G372" s="3">
        <f t="shared" si="17"/>
        <v>8.0883296957248163E-3</v>
      </c>
      <c r="H372" s="2">
        <f t="shared" si="15"/>
        <v>12.450000000000045</v>
      </c>
      <c r="I372" s="3">
        <f t="shared" si="16"/>
        <v>1.0652406417112339E-2</v>
      </c>
    </row>
    <row r="373" spans="2:9" x14ac:dyDescent="0.25">
      <c r="B373" s="1">
        <v>35723</v>
      </c>
      <c r="C373" s="2">
        <v>1188.2</v>
      </c>
      <c r="D373" s="2">
        <v>1177.5</v>
      </c>
      <c r="E373" s="2">
        <v>1189.4000000000001</v>
      </c>
      <c r="F373" s="2">
        <v>1172.05</v>
      </c>
      <c r="G373" s="3">
        <f t="shared" si="17"/>
        <v>8.8300220750552327E-3</v>
      </c>
      <c r="H373" s="2">
        <f t="shared" si="15"/>
        <v>17.350000000000136</v>
      </c>
      <c r="I373" s="3">
        <f t="shared" si="16"/>
        <v>1.4734607218683768E-2</v>
      </c>
    </row>
    <row r="374" spans="2:9" x14ac:dyDescent="0.25">
      <c r="B374" s="1">
        <v>35724</v>
      </c>
      <c r="C374" s="2">
        <v>1174.95</v>
      </c>
      <c r="D374" s="2">
        <v>1188.2</v>
      </c>
      <c r="E374" s="2">
        <v>1192</v>
      </c>
      <c r="F374" s="2">
        <v>1171.2</v>
      </c>
      <c r="G374" s="3">
        <f t="shared" si="17"/>
        <v>-1.1151321326376085E-2</v>
      </c>
      <c r="H374" s="2">
        <f t="shared" si="15"/>
        <v>20.799999999999955</v>
      </c>
      <c r="I374" s="3">
        <f t="shared" si="16"/>
        <v>1.7505470459518561E-2</v>
      </c>
    </row>
    <row r="375" spans="2:9" x14ac:dyDescent="0.25">
      <c r="B375" s="1">
        <v>35725</v>
      </c>
      <c r="C375" s="2">
        <v>1169.8499999999999</v>
      </c>
      <c r="D375" s="2">
        <v>1175.55</v>
      </c>
      <c r="E375" s="2">
        <v>1184.9000000000001</v>
      </c>
      <c r="F375" s="2">
        <v>1168.3</v>
      </c>
      <c r="G375" s="3">
        <f t="shared" si="17"/>
        <v>-4.3406102387336665E-3</v>
      </c>
      <c r="H375" s="2">
        <f t="shared" si="15"/>
        <v>16.600000000000136</v>
      </c>
      <c r="I375" s="3">
        <f t="shared" si="16"/>
        <v>1.4121049721407118E-2</v>
      </c>
    </row>
    <row r="376" spans="2:9" x14ac:dyDescent="0.25">
      <c r="B376" s="1">
        <v>35726</v>
      </c>
      <c r="C376" s="2">
        <v>1151.6500000000001</v>
      </c>
      <c r="D376" s="2">
        <v>1169.4000000000001</v>
      </c>
      <c r="E376" s="2">
        <v>1171.05</v>
      </c>
      <c r="F376" s="2">
        <v>1140.8</v>
      </c>
      <c r="G376" s="3">
        <f t="shared" si="17"/>
        <v>-1.5557550113262208E-2</v>
      </c>
      <c r="H376" s="2">
        <f t="shared" si="15"/>
        <v>30.25</v>
      </c>
      <c r="I376" s="3">
        <f t="shared" si="16"/>
        <v>2.5867966478535998E-2</v>
      </c>
    </row>
    <row r="377" spans="2:9" x14ac:dyDescent="0.25">
      <c r="B377" s="1">
        <v>35727</v>
      </c>
      <c r="C377" s="2">
        <v>1136.6500000000001</v>
      </c>
      <c r="D377" s="2">
        <v>1151.45</v>
      </c>
      <c r="E377" s="2">
        <v>1151.45</v>
      </c>
      <c r="F377" s="2">
        <v>1122.55</v>
      </c>
      <c r="G377" s="3">
        <f t="shared" si="17"/>
        <v>-1.3024790517952467E-2</v>
      </c>
      <c r="H377" s="2">
        <f t="shared" si="15"/>
        <v>28.900000000000091</v>
      </c>
      <c r="I377" s="3">
        <f t="shared" si="16"/>
        <v>2.5098788484085362E-2</v>
      </c>
    </row>
    <row r="378" spans="2:9" x14ac:dyDescent="0.25">
      <c r="B378" s="1">
        <v>35730</v>
      </c>
      <c r="C378" s="2">
        <v>1120.8</v>
      </c>
      <c r="D378" s="2">
        <v>1136</v>
      </c>
      <c r="E378" s="2">
        <v>1136</v>
      </c>
      <c r="F378" s="2">
        <v>1116</v>
      </c>
      <c r="G378" s="3">
        <f t="shared" si="17"/>
        <v>-1.3944485989530797E-2</v>
      </c>
      <c r="H378" s="2">
        <f t="shared" si="15"/>
        <v>20</v>
      </c>
      <c r="I378" s="3">
        <f t="shared" si="16"/>
        <v>1.7605633802816902E-2</v>
      </c>
    </row>
    <row r="379" spans="2:9" x14ac:dyDescent="0.25">
      <c r="B379" s="1">
        <v>35731</v>
      </c>
      <c r="C379" s="2">
        <v>1032.5999999999999</v>
      </c>
      <c r="D379" s="2">
        <v>1120.5999999999999</v>
      </c>
      <c r="E379" s="2">
        <v>1120.5999999999999</v>
      </c>
      <c r="F379" s="2">
        <v>1028.2</v>
      </c>
      <c r="G379" s="3">
        <f t="shared" si="17"/>
        <v>-7.8693790149892973E-2</v>
      </c>
      <c r="H379" s="2">
        <f t="shared" si="15"/>
        <v>92.399999999999864</v>
      </c>
      <c r="I379" s="3">
        <f t="shared" si="16"/>
        <v>8.2455827235409493E-2</v>
      </c>
    </row>
    <row r="380" spans="2:9" x14ac:dyDescent="0.25">
      <c r="B380" s="1">
        <v>35732</v>
      </c>
      <c r="C380" s="2">
        <v>1107</v>
      </c>
      <c r="D380" s="2">
        <v>1033</v>
      </c>
      <c r="E380" s="2">
        <v>1108.5</v>
      </c>
      <c r="F380" s="2">
        <v>1033</v>
      </c>
      <c r="G380" s="3">
        <f t="shared" si="17"/>
        <v>7.2051133062173145E-2</v>
      </c>
      <c r="H380" s="2">
        <f t="shared" si="15"/>
        <v>75.5</v>
      </c>
      <c r="I380" s="3">
        <f t="shared" si="16"/>
        <v>7.3088092933204257E-2</v>
      </c>
    </row>
    <row r="381" spans="2:9" x14ac:dyDescent="0.25">
      <c r="B381" s="1">
        <v>35733</v>
      </c>
      <c r="C381" s="2">
        <v>1085.25</v>
      </c>
      <c r="D381" s="2">
        <v>1106.9000000000001</v>
      </c>
      <c r="E381" s="2">
        <v>1106.9000000000001</v>
      </c>
      <c r="F381" s="2">
        <v>1080.1500000000001</v>
      </c>
      <c r="G381" s="3">
        <f t="shared" si="17"/>
        <v>-1.9647696476964738E-2</v>
      </c>
      <c r="H381" s="2">
        <f t="shared" si="15"/>
        <v>26.75</v>
      </c>
      <c r="I381" s="3">
        <f t="shared" si="16"/>
        <v>2.416659138133526E-2</v>
      </c>
    </row>
    <row r="382" spans="2:9" x14ac:dyDescent="0.25">
      <c r="B382" s="1">
        <v>35737</v>
      </c>
      <c r="C382" s="2">
        <v>1084</v>
      </c>
      <c r="D382" s="2">
        <v>1085.75</v>
      </c>
      <c r="E382" s="2">
        <v>1096.05</v>
      </c>
      <c r="F382" s="2">
        <v>1071.2</v>
      </c>
      <c r="G382" s="3">
        <f t="shared" si="17"/>
        <v>-1.1518083390923417E-3</v>
      </c>
      <c r="H382" s="2">
        <f t="shared" si="15"/>
        <v>24.849999999999909</v>
      </c>
      <c r="I382" s="3">
        <f t="shared" si="16"/>
        <v>2.2887405019571642E-2</v>
      </c>
    </row>
    <row r="383" spans="2:9" x14ac:dyDescent="0.25">
      <c r="B383" s="1">
        <v>35738</v>
      </c>
      <c r="C383" s="2">
        <v>1090.2</v>
      </c>
      <c r="D383" s="2">
        <v>1083.8</v>
      </c>
      <c r="E383" s="2">
        <v>1097.05</v>
      </c>
      <c r="F383" s="2">
        <v>1079.55</v>
      </c>
      <c r="G383" s="3">
        <f t="shared" si="17"/>
        <v>5.7195571955719338E-3</v>
      </c>
      <c r="H383" s="2">
        <f t="shared" si="15"/>
        <v>17.5</v>
      </c>
      <c r="I383" s="3">
        <f t="shared" si="16"/>
        <v>1.6146890570215906E-2</v>
      </c>
    </row>
    <row r="384" spans="2:9" x14ac:dyDescent="0.25">
      <c r="B384" s="1">
        <v>35739</v>
      </c>
      <c r="C384" s="2">
        <v>1085</v>
      </c>
      <c r="D384" s="2">
        <v>1091.2</v>
      </c>
      <c r="E384" s="2">
        <v>1096.05</v>
      </c>
      <c r="F384" s="2">
        <v>1081.9000000000001</v>
      </c>
      <c r="G384" s="3">
        <f t="shared" si="17"/>
        <v>-4.7697670152265781E-3</v>
      </c>
      <c r="H384" s="2">
        <f t="shared" si="15"/>
        <v>14.149999999999864</v>
      </c>
      <c r="I384" s="3">
        <f t="shared" si="16"/>
        <v>1.2967375366568789E-2</v>
      </c>
    </row>
    <row r="385" spans="2:9" x14ac:dyDescent="0.25">
      <c r="B385" s="1">
        <v>35740</v>
      </c>
      <c r="C385" s="2">
        <v>1080.95</v>
      </c>
      <c r="D385" s="2">
        <v>1084.8</v>
      </c>
      <c r="E385" s="2">
        <v>1085.2</v>
      </c>
      <c r="F385" s="2">
        <v>1068.4000000000001</v>
      </c>
      <c r="G385" s="3">
        <f t="shared" si="17"/>
        <v>-3.7327188940091682E-3</v>
      </c>
      <c r="H385" s="2">
        <f t="shared" si="15"/>
        <v>16.799999999999955</v>
      </c>
      <c r="I385" s="3">
        <f t="shared" si="16"/>
        <v>1.5486725663716772E-2</v>
      </c>
    </row>
    <row r="386" spans="2:9" x14ac:dyDescent="0.25">
      <c r="B386" s="1">
        <v>35741</v>
      </c>
      <c r="C386" s="2">
        <v>1074.8</v>
      </c>
      <c r="D386" s="2">
        <v>1081.1500000000001</v>
      </c>
      <c r="E386" s="2">
        <v>1081.45</v>
      </c>
      <c r="F386" s="2">
        <v>1072.1500000000001</v>
      </c>
      <c r="G386" s="3">
        <f t="shared" si="17"/>
        <v>-5.6894398445812566E-3</v>
      </c>
      <c r="H386" s="2">
        <f t="shared" si="15"/>
        <v>9.2999999999999545</v>
      </c>
      <c r="I386" s="3">
        <f t="shared" si="16"/>
        <v>8.6019516255838261E-3</v>
      </c>
    </row>
    <row r="387" spans="2:9" x14ac:dyDescent="0.25">
      <c r="B387" s="1">
        <v>35744</v>
      </c>
      <c r="C387" s="2">
        <v>1065.9000000000001</v>
      </c>
      <c r="D387" s="2">
        <v>1074.5</v>
      </c>
      <c r="E387" s="2">
        <v>1074.5</v>
      </c>
      <c r="F387" s="2">
        <v>1064.4000000000001</v>
      </c>
      <c r="G387" s="3">
        <f t="shared" si="17"/>
        <v>-8.2806103461108282E-3</v>
      </c>
      <c r="H387" s="2">
        <f t="shared" si="15"/>
        <v>10.099999999999909</v>
      </c>
      <c r="I387" s="3">
        <f t="shared" si="16"/>
        <v>9.399720800372182E-3</v>
      </c>
    </row>
    <row r="388" spans="2:9" x14ac:dyDescent="0.25">
      <c r="B388" s="1">
        <v>35745</v>
      </c>
      <c r="C388" s="2">
        <v>1073.3499999999999</v>
      </c>
      <c r="D388" s="2">
        <v>1065.9000000000001</v>
      </c>
      <c r="E388" s="2">
        <v>1076.5</v>
      </c>
      <c r="F388" s="2">
        <v>1064.3</v>
      </c>
      <c r="G388" s="3">
        <f t="shared" si="17"/>
        <v>6.9893986302653754E-3</v>
      </c>
      <c r="H388" s="2">
        <f t="shared" si="15"/>
        <v>12.200000000000045</v>
      </c>
      <c r="I388" s="3">
        <f t="shared" si="16"/>
        <v>1.1445726616005295E-2</v>
      </c>
    </row>
    <row r="389" spans="2:9" x14ac:dyDescent="0.25">
      <c r="B389" s="1">
        <v>35746</v>
      </c>
      <c r="C389" s="2">
        <v>1045</v>
      </c>
      <c r="D389" s="2">
        <v>1073.3</v>
      </c>
      <c r="E389" s="2">
        <v>1073.3</v>
      </c>
      <c r="F389" s="2">
        <v>1042.3499999999999</v>
      </c>
      <c r="G389" s="3">
        <f t="shared" si="17"/>
        <v>-2.641263334420263E-2</v>
      </c>
      <c r="H389" s="2">
        <f t="shared" ref="H389:H452" si="18">E389-F389</f>
        <v>30.950000000000045</v>
      </c>
      <c r="I389" s="3">
        <f t="shared" si="16"/>
        <v>2.8836299263952342E-2</v>
      </c>
    </row>
    <row r="390" spans="2:9" x14ac:dyDescent="0.25">
      <c r="B390" s="1">
        <v>35747</v>
      </c>
      <c r="C390" s="2">
        <v>1022.4</v>
      </c>
      <c r="D390" s="2">
        <v>1044.55</v>
      </c>
      <c r="E390" s="2">
        <v>1044.55</v>
      </c>
      <c r="F390" s="2">
        <v>1013.1</v>
      </c>
      <c r="G390" s="3">
        <f t="shared" si="17"/>
        <v>-2.1626794258373216E-2</v>
      </c>
      <c r="H390" s="2">
        <f t="shared" si="18"/>
        <v>31.449999999999932</v>
      </c>
      <c r="I390" s="3">
        <f t="shared" ref="I390:I453" si="19">H390/D390</f>
        <v>3.0108659231247843E-2</v>
      </c>
    </row>
    <row r="391" spans="2:9" x14ac:dyDescent="0.25">
      <c r="B391" s="1">
        <v>35751</v>
      </c>
      <c r="C391" s="2">
        <v>1024.95</v>
      </c>
      <c r="D391" s="2">
        <v>1022.3</v>
      </c>
      <c r="E391" s="2">
        <v>1028.5</v>
      </c>
      <c r="F391" s="2">
        <v>1014.55</v>
      </c>
      <c r="G391" s="3">
        <f t="shared" ref="G391:G454" si="20">C391/C390-1</f>
        <v>2.4941314553992289E-3</v>
      </c>
      <c r="H391" s="2">
        <f t="shared" si="18"/>
        <v>13.950000000000045</v>
      </c>
      <c r="I391" s="3">
        <f t="shared" si="19"/>
        <v>1.3645700870585978E-2</v>
      </c>
    </row>
    <row r="392" spans="2:9" x14ac:dyDescent="0.25">
      <c r="B392" s="1">
        <v>35752</v>
      </c>
      <c r="C392" s="2">
        <v>1009.8</v>
      </c>
      <c r="D392" s="2">
        <v>1025.3</v>
      </c>
      <c r="E392" s="2">
        <v>1025.4000000000001</v>
      </c>
      <c r="F392" s="2">
        <v>1004.2</v>
      </c>
      <c r="G392" s="3">
        <f t="shared" si="20"/>
        <v>-1.4781208839455662E-2</v>
      </c>
      <c r="H392" s="2">
        <f t="shared" si="18"/>
        <v>21.200000000000045</v>
      </c>
      <c r="I392" s="3">
        <f t="shared" si="19"/>
        <v>2.0676875060957813E-2</v>
      </c>
    </row>
    <row r="393" spans="2:9" x14ac:dyDescent="0.25">
      <c r="B393" s="1">
        <v>35753</v>
      </c>
      <c r="C393">
        <v>987.85</v>
      </c>
      <c r="D393" s="2">
        <v>1009.55</v>
      </c>
      <c r="E393" s="2">
        <v>1009.55</v>
      </c>
      <c r="F393">
        <v>971.2</v>
      </c>
      <c r="G393" s="3">
        <f t="shared" si="20"/>
        <v>-2.1736977619330466E-2</v>
      </c>
      <c r="H393" s="2">
        <f t="shared" si="18"/>
        <v>38.349999999999909</v>
      </c>
      <c r="I393" s="3">
        <f t="shared" si="19"/>
        <v>3.7987222029617067E-2</v>
      </c>
    </row>
    <row r="394" spans="2:9" x14ac:dyDescent="0.25">
      <c r="B394" s="1">
        <v>35754</v>
      </c>
      <c r="C394">
        <v>995.15</v>
      </c>
      <c r="D394">
        <v>987.7</v>
      </c>
      <c r="E394" s="2">
        <v>1004.8</v>
      </c>
      <c r="F394">
        <v>974.2</v>
      </c>
      <c r="G394" s="3">
        <f t="shared" si="20"/>
        <v>7.3897858986686771E-3</v>
      </c>
      <c r="H394" s="2">
        <f t="shared" si="18"/>
        <v>30.599999999999909</v>
      </c>
      <c r="I394" s="3">
        <f t="shared" si="19"/>
        <v>3.0981067125645346E-2</v>
      </c>
    </row>
    <row r="395" spans="2:9" x14ac:dyDescent="0.25">
      <c r="B395" s="1">
        <v>35755</v>
      </c>
      <c r="C395" s="2">
        <v>1005.75</v>
      </c>
      <c r="D395">
        <v>994.85</v>
      </c>
      <c r="E395" s="2">
        <v>1014.5</v>
      </c>
      <c r="F395">
        <v>990.4</v>
      </c>
      <c r="G395" s="3">
        <f t="shared" si="20"/>
        <v>1.0651660553685494E-2</v>
      </c>
      <c r="H395" s="2">
        <f t="shared" si="18"/>
        <v>24.100000000000023</v>
      </c>
      <c r="I395" s="3">
        <f t="shared" si="19"/>
        <v>2.4224757501130845E-2</v>
      </c>
    </row>
    <row r="396" spans="2:9" x14ac:dyDescent="0.25">
      <c r="B396" s="1">
        <v>35758</v>
      </c>
      <c r="C396">
        <v>981.25</v>
      </c>
      <c r="D396" s="2">
        <v>1005.7</v>
      </c>
      <c r="E396" s="2">
        <v>1010.65</v>
      </c>
      <c r="F396">
        <v>979.75</v>
      </c>
      <c r="G396" s="3">
        <f t="shared" si="20"/>
        <v>-2.4359930400198904E-2</v>
      </c>
      <c r="H396" s="2">
        <f t="shared" si="18"/>
        <v>30.899999999999977</v>
      </c>
      <c r="I396" s="3">
        <f t="shared" si="19"/>
        <v>3.0724868250969449E-2</v>
      </c>
    </row>
    <row r="397" spans="2:9" x14ac:dyDescent="0.25">
      <c r="B397" s="1">
        <v>35759</v>
      </c>
      <c r="C397" s="2">
        <v>1010.7</v>
      </c>
      <c r="D397">
        <v>981.1</v>
      </c>
      <c r="E397" s="2">
        <v>1015.2</v>
      </c>
      <c r="F397">
        <v>974.7</v>
      </c>
      <c r="G397" s="3">
        <f t="shared" si="20"/>
        <v>3.0012738853503196E-2</v>
      </c>
      <c r="H397" s="2">
        <f t="shared" si="18"/>
        <v>40.5</v>
      </c>
      <c r="I397" s="3">
        <f t="shared" si="19"/>
        <v>4.1280195698705537E-2</v>
      </c>
    </row>
    <row r="398" spans="2:9" x14ac:dyDescent="0.25">
      <c r="B398" s="1">
        <v>35760</v>
      </c>
      <c r="C398" s="2">
        <v>1016.85</v>
      </c>
      <c r="D398" s="2">
        <v>1011.4</v>
      </c>
      <c r="E398" s="2">
        <v>1028.9000000000001</v>
      </c>
      <c r="F398" s="2">
        <v>1011.05</v>
      </c>
      <c r="G398" s="3">
        <f t="shared" si="20"/>
        <v>6.0848916592459723E-3</v>
      </c>
      <c r="H398" s="2">
        <f t="shared" si="18"/>
        <v>17.850000000000136</v>
      </c>
      <c r="I398" s="3">
        <f t="shared" si="19"/>
        <v>1.7648803638520998E-2</v>
      </c>
    </row>
    <row r="399" spans="2:9" x14ac:dyDescent="0.25">
      <c r="B399" s="1">
        <v>35761</v>
      </c>
      <c r="C399" s="2">
        <v>1046.75</v>
      </c>
      <c r="D399" s="2">
        <v>1016.95</v>
      </c>
      <c r="E399" s="2">
        <v>1048.95</v>
      </c>
      <c r="F399" s="2">
        <v>1011.9</v>
      </c>
      <c r="G399" s="3">
        <f t="shared" si="20"/>
        <v>2.9404533608693439E-2</v>
      </c>
      <c r="H399" s="2">
        <f t="shared" si="18"/>
        <v>37.050000000000068</v>
      </c>
      <c r="I399" s="3">
        <f t="shared" si="19"/>
        <v>3.6432469639608701E-2</v>
      </c>
    </row>
    <row r="400" spans="2:9" x14ac:dyDescent="0.25">
      <c r="B400" s="1">
        <v>35762</v>
      </c>
      <c r="C400" s="2">
        <v>1023.95</v>
      </c>
      <c r="D400" s="2">
        <v>1046.3499999999999</v>
      </c>
      <c r="E400" s="2">
        <v>1046.3499999999999</v>
      </c>
      <c r="F400" s="2">
        <v>1014.85</v>
      </c>
      <c r="G400" s="3">
        <f t="shared" si="20"/>
        <v>-2.1781705278242081E-2</v>
      </c>
      <c r="H400" s="2">
        <f t="shared" si="18"/>
        <v>31.499999999999886</v>
      </c>
      <c r="I400" s="3">
        <f t="shared" si="19"/>
        <v>3.0104649495866477E-2</v>
      </c>
    </row>
    <row r="401" spans="2:9" x14ac:dyDescent="0.25">
      <c r="B401" s="1">
        <v>35765</v>
      </c>
      <c r="C401" s="2">
        <v>1032.6500000000001</v>
      </c>
      <c r="D401" s="2">
        <v>1023.85</v>
      </c>
      <c r="E401" s="2">
        <v>1033.9000000000001</v>
      </c>
      <c r="F401" s="2">
        <v>1008.45</v>
      </c>
      <c r="G401" s="3">
        <f t="shared" si="20"/>
        <v>8.4965086185848637E-3</v>
      </c>
      <c r="H401" s="2">
        <f t="shared" si="18"/>
        <v>25.450000000000045</v>
      </c>
      <c r="I401" s="3">
        <f t="shared" si="19"/>
        <v>2.4857156810079644E-2</v>
      </c>
    </row>
    <row r="402" spans="2:9" x14ac:dyDescent="0.25">
      <c r="B402" s="1">
        <v>35766</v>
      </c>
      <c r="C402" s="2">
        <v>1029.8</v>
      </c>
      <c r="D402" s="2">
        <v>1033.1500000000001</v>
      </c>
      <c r="E402" s="2">
        <v>1041.25</v>
      </c>
      <c r="F402" s="2">
        <v>1024.8499999999999</v>
      </c>
      <c r="G402" s="3">
        <f t="shared" si="20"/>
        <v>-2.7598896044159771E-3</v>
      </c>
      <c r="H402" s="2">
        <f t="shared" si="18"/>
        <v>16.400000000000091</v>
      </c>
      <c r="I402" s="3">
        <f t="shared" si="19"/>
        <v>1.587378405846207E-2</v>
      </c>
    </row>
    <row r="403" spans="2:9" x14ac:dyDescent="0.25">
      <c r="B403" s="1">
        <v>35767</v>
      </c>
      <c r="C403" s="2">
        <v>1030.7</v>
      </c>
      <c r="D403" s="2">
        <v>1030.2</v>
      </c>
      <c r="E403" s="2">
        <v>1037.4000000000001</v>
      </c>
      <c r="F403" s="2">
        <v>1022.05</v>
      </c>
      <c r="G403" s="3">
        <f t="shared" si="20"/>
        <v>8.7395610798224332E-4</v>
      </c>
      <c r="H403" s="2">
        <f t="shared" si="18"/>
        <v>15.350000000000136</v>
      </c>
      <c r="I403" s="3">
        <f t="shared" si="19"/>
        <v>1.4900019413706209E-2</v>
      </c>
    </row>
    <row r="404" spans="2:9" x14ac:dyDescent="0.25">
      <c r="B404" s="1">
        <v>35768</v>
      </c>
      <c r="C404" s="2">
        <v>1011.75</v>
      </c>
      <c r="D404" s="2">
        <v>1030.2</v>
      </c>
      <c r="E404" s="2">
        <v>1036.5999999999999</v>
      </c>
      <c r="F404" s="2">
        <v>1007.8</v>
      </c>
      <c r="G404" s="3">
        <f t="shared" si="20"/>
        <v>-1.838556320946938E-2</v>
      </c>
      <c r="H404" s="2">
        <f t="shared" si="18"/>
        <v>28.799999999999955</v>
      </c>
      <c r="I404" s="3">
        <f t="shared" si="19"/>
        <v>2.7955736750145559E-2</v>
      </c>
    </row>
    <row r="405" spans="2:9" x14ac:dyDescent="0.25">
      <c r="B405" s="1">
        <v>35769</v>
      </c>
      <c r="C405" s="2">
        <v>1006.3</v>
      </c>
      <c r="D405" s="2">
        <v>1011.4</v>
      </c>
      <c r="E405" s="2">
        <v>1024.3499999999999</v>
      </c>
      <c r="F405" s="2">
        <v>1002.45</v>
      </c>
      <c r="G405" s="3">
        <f t="shared" si="20"/>
        <v>-5.3867062021251133E-3</v>
      </c>
      <c r="H405" s="2">
        <f t="shared" si="18"/>
        <v>21.899999999999864</v>
      </c>
      <c r="I405" s="3">
        <f t="shared" si="19"/>
        <v>2.1653154043899409E-2</v>
      </c>
    </row>
    <row r="406" spans="2:9" x14ac:dyDescent="0.25">
      <c r="B406" s="1">
        <v>35772</v>
      </c>
      <c r="C406" s="2">
        <v>1008.8</v>
      </c>
      <c r="D406" s="2">
        <v>1006.65</v>
      </c>
      <c r="E406" s="2">
        <v>1014.15</v>
      </c>
      <c r="F406" s="2">
        <v>1003.2</v>
      </c>
      <c r="G406" s="3">
        <f t="shared" si="20"/>
        <v>2.4843486037959828E-3</v>
      </c>
      <c r="H406" s="2">
        <f t="shared" si="18"/>
        <v>10.949999999999932</v>
      </c>
      <c r="I406" s="3">
        <f t="shared" si="19"/>
        <v>1.0877663537475718E-2</v>
      </c>
    </row>
    <row r="407" spans="2:9" x14ac:dyDescent="0.25">
      <c r="B407" s="1">
        <v>35773</v>
      </c>
      <c r="C407">
        <v>984.05</v>
      </c>
      <c r="D407" s="2">
        <v>1008.5</v>
      </c>
      <c r="E407" s="2">
        <v>1011.5</v>
      </c>
      <c r="F407">
        <v>979.7</v>
      </c>
      <c r="G407" s="3">
        <f t="shared" si="20"/>
        <v>-2.4534099920697883E-2</v>
      </c>
      <c r="H407" s="2">
        <f t="shared" si="18"/>
        <v>31.799999999999955</v>
      </c>
      <c r="I407" s="3">
        <f t="shared" si="19"/>
        <v>3.1531978185423852E-2</v>
      </c>
    </row>
    <row r="408" spans="2:9" x14ac:dyDescent="0.25">
      <c r="B408" s="1">
        <v>35774</v>
      </c>
      <c r="C408">
        <v>971.9</v>
      </c>
      <c r="D408">
        <v>983.2</v>
      </c>
      <c r="E408">
        <v>983.2</v>
      </c>
      <c r="F408">
        <v>965.85</v>
      </c>
      <c r="G408" s="3">
        <f t="shared" si="20"/>
        <v>-1.2346933590772768E-2</v>
      </c>
      <c r="H408" s="2">
        <f t="shared" si="18"/>
        <v>17.350000000000023</v>
      </c>
      <c r="I408" s="3">
        <f t="shared" si="19"/>
        <v>1.7646460537021992E-2</v>
      </c>
    </row>
    <row r="409" spans="2:9" x14ac:dyDescent="0.25">
      <c r="B409" s="1">
        <v>35775</v>
      </c>
      <c r="C409">
        <v>973.65</v>
      </c>
      <c r="D409">
        <v>971.7</v>
      </c>
      <c r="E409">
        <v>978.8</v>
      </c>
      <c r="F409">
        <v>943</v>
      </c>
      <c r="G409" s="3">
        <f t="shared" si="20"/>
        <v>1.8005967692149571E-3</v>
      </c>
      <c r="H409" s="2">
        <f t="shared" si="18"/>
        <v>35.799999999999955</v>
      </c>
      <c r="I409" s="3">
        <f t="shared" si="19"/>
        <v>3.6842646907481687E-2</v>
      </c>
    </row>
    <row r="410" spans="2:9" x14ac:dyDescent="0.25">
      <c r="B410" s="1">
        <v>35776</v>
      </c>
      <c r="C410">
        <v>965.15</v>
      </c>
      <c r="D410">
        <v>973.7</v>
      </c>
      <c r="E410">
        <v>979.1</v>
      </c>
      <c r="F410">
        <v>963.85</v>
      </c>
      <c r="G410" s="3">
        <f t="shared" si="20"/>
        <v>-8.7300364607405534E-3</v>
      </c>
      <c r="H410" s="2">
        <f t="shared" si="18"/>
        <v>15.25</v>
      </c>
      <c r="I410" s="3">
        <f t="shared" si="19"/>
        <v>1.5661908185272671E-2</v>
      </c>
    </row>
    <row r="411" spans="2:9" x14ac:dyDescent="0.25">
      <c r="B411" s="1">
        <v>35779</v>
      </c>
      <c r="C411">
        <v>979.85</v>
      </c>
      <c r="D411">
        <v>965</v>
      </c>
      <c r="E411">
        <v>980.65</v>
      </c>
      <c r="F411">
        <v>957.2</v>
      </c>
      <c r="G411" s="3">
        <f t="shared" si="20"/>
        <v>1.523079314096254E-2</v>
      </c>
      <c r="H411" s="2">
        <f t="shared" si="18"/>
        <v>23.449999999999932</v>
      </c>
      <c r="I411" s="3">
        <f t="shared" si="19"/>
        <v>2.4300518134714955E-2</v>
      </c>
    </row>
    <row r="412" spans="2:9" x14ac:dyDescent="0.25">
      <c r="B412" s="1">
        <v>35780</v>
      </c>
      <c r="C412" s="2">
        <v>1002.35</v>
      </c>
      <c r="D412">
        <v>980</v>
      </c>
      <c r="E412" s="2">
        <v>1007.75</v>
      </c>
      <c r="F412">
        <v>979.8</v>
      </c>
      <c r="G412" s="3">
        <f t="shared" si="20"/>
        <v>2.2962698372199775E-2</v>
      </c>
      <c r="H412" s="2">
        <f t="shared" si="18"/>
        <v>27.950000000000045</v>
      </c>
      <c r="I412" s="3">
        <f t="shared" si="19"/>
        <v>2.8520408163265353E-2</v>
      </c>
    </row>
    <row r="413" spans="2:9" x14ac:dyDescent="0.25">
      <c r="B413" s="1">
        <v>35781</v>
      </c>
      <c r="C413" s="2">
        <v>1013.15</v>
      </c>
      <c r="D413" s="2">
        <v>1002.25</v>
      </c>
      <c r="E413" s="2">
        <v>1017.6</v>
      </c>
      <c r="F413" s="2">
        <v>1002.15</v>
      </c>
      <c r="G413" s="3">
        <f t="shared" si="20"/>
        <v>1.0774679503167572E-2</v>
      </c>
      <c r="H413" s="2">
        <f t="shared" si="18"/>
        <v>15.450000000000045</v>
      </c>
      <c r="I413" s="3">
        <f t="shared" si="19"/>
        <v>1.5415315540034967E-2</v>
      </c>
    </row>
    <row r="414" spans="2:9" x14ac:dyDescent="0.25">
      <c r="B414" s="1">
        <v>35782</v>
      </c>
      <c r="C414" s="2">
        <v>1009.7</v>
      </c>
      <c r="D414" s="2">
        <v>1013.5</v>
      </c>
      <c r="E414" s="2">
        <v>1023.85</v>
      </c>
      <c r="F414" s="2">
        <v>1008.15</v>
      </c>
      <c r="G414" s="3">
        <f t="shared" si="20"/>
        <v>-3.4052213393870323E-3</v>
      </c>
      <c r="H414" s="2">
        <f t="shared" si="18"/>
        <v>15.700000000000045</v>
      </c>
      <c r="I414" s="3">
        <f t="shared" si="19"/>
        <v>1.5490873211642867E-2</v>
      </c>
    </row>
    <row r="415" spans="2:9" x14ac:dyDescent="0.25">
      <c r="B415" s="1">
        <v>35783</v>
      </c>
      <c r="C415" s="2">
        <v>1028.4000000000001</v>
      </c>
      <c r="D415" s="2">
        <v>1009.3</v>
      </c>
      <c r="E415" s="2">
        <v>1029.75</v>
      </c>
      <c r="F415" s="2">
        <v>1006.8</v>
      </c>
      <c r="G415" s="3">
        <f t="shared" si="20"/>
        <v>1.8520352579974197E-2</v>
      </c>
      <c r="H415" s="2">
        <f t="shared" si="18"/>
        <v>22.950000000000045</v>
      </c>
      <c r="I415" s="3">
        <f t="shared" si="19"/>
        <v>2.2738531655602939E-2</v>
      </c>
    </row>
    <row r="416" spans="2:9" x14ac:dyDescent="0.25">
      <c r="B416" s="1">
        <v>35786</v>
      </c>
      <c r="C416" s="2">
        <v>1051.4000000000001</v>
      </c>
      <c r="D416" s="2">
        <v>1028.45</v>
      </c>
      <c r="E416" s="2">
        <v>1053.4000000000001</v>
      </c>
      <c r="F416" s="2">
        <v>1028.45</v>
      </c>
      <c r="G416" s="3">
        <f t="shared" si="20"/>
        <v>2.2364838584208568E-2</v>
      </c>
      <c r="H416" s="2">
        <f t="shared" si="18"/>
        <v>24.950000000000045</v>
      </c>
      <c r="I416" s="3">
        <f t="shared" si="19"/>
        <v>2.4259808449608677E-2</v>
      </c>
    </row>
    <row r="417" spans="2:9" x14ac:dyDescent="0.25">
      <c r="B417" s="1">
        <v>35787</v>
      </c>
      <c r="C417" s="2">
        <v>1054.8</v>
      </c>
      <c r="D417" s="2">
        <v>1051.45</v>
      </c>
      <c r="E417" s="2">
        <v>1066.25</v>
      </c>
      <c r="F417" s="2">
        <v>1049.55</v>
      </c>
      <c r="G417" s="3">
        <f t="shared" si="20"/>
        <v>3.2337835267262083E-3</v>
      </c>
      <c r="H417" s="2">
        <f t="shared" si="18"/>
        <v>16.700000000000045</v>
      </c>
      <c r="I417" s="3">
        <f t="shared" si="19"/>
        <v>1.5882828474963188E-2</v>
      </c>
    </row>
    <row r="418" spans="2:9" x14ac:dyDescent="0.25">
      <c r="B418" s="1">
        <v>35788</v>
      </c>
      <c r="C418" s="2">
        <v>1054.1500000000001</v>
      </c>
      <c r="D418" s="2">
        <v>1054.8</v>
      </c>
      <c r="E418" s="2">
        <v>1055.5</v>
      </c>
      <c r="F418" s="2">
        <v>1032.95</v>
      </c>
      <c r="G418" s="3">
        <f t="shared" si="20"/>
        <v>-6.1623056503590234E-4</v>
      </c>
      <c r="H418" s="2">
        <f t="shared" si="18"/>
        <v>22.549999999999955</v>
      </c>
      <c r="I418" s="3">
        <f t="shared" si="19"/>
        <v>2.1378460371634392E-2</v>
      </c>
    </row>
    <row r="419" spans="2:9" x14ac:dyDescent="0.25">
      <c r="B419" s="1">
        <v>35790</v>
      </c>
      <c r="C419" s="2">
        <v>1061.45</v>
      </c>
      <c r="D419" s="2">
        <v>1054.1500000000001</v>
      </c>
      <c r="E419" s="2">
        <v>1066</v>
      </c>
      <c r="F419" s="2">
        <v>1054.1500000000001</v>
      </c>
      <c r="G419" s="3">
        <f t="shared" si="20"/>
        <v>6.9250106721054916E-3</v>
      </c>
      <c r="H419" s="2">
        <f t="shared" si="18"/>
        <v>11.849999999999909</v>
      </c>
      <c r="I419" s="3">
        <f t="shared" si="19"/>
        <v>1.1241284447184849E-2</v>
      </c>
    </row>
    <row r="420" spans="2:9" x14ac:dyDescent="0.25">
      <c r="B420" s="1">
        <v>35793</v>
      </c>
      <c r="C420" s="2">
        <v>1079</v>
      </c>
      <c r="D420" s="2">
        <v>1061.6500000000001</v>
      </c>
      <c r="E420" s="2">
        <v>1081.5</v>
      </c>
      <c r="F420" s="2">
        <v>1060.2</v>
      </c>
      <c r="G420" s="3">
        <f t="shared" si="20"/>
        <v>1.6533986527862865E-2</v>
      </c>
      <c r="H420" s="2">
        <f t="shared" si="18"/>
        <v>21.299999999999955</v>
      </c>
      <c r="I420" s="3">
        <f t="shared" si="19"/>
        <v>2.0063109310978149E-2</v>
      </c>
    </row>
    <row r="421" spans="2:9" x14ac:dyDescent="0.25">
      <c r="B421" s="1">
        <v>35794</v>
      </c>
      <c r="C421" s="2">
        <v>1058.5</v>
      </c>
      <c r="D421" s="2">
        <v>1078.75</v>
      </c>
      <c r="E421" s="2">
        <v>1080.2</v>
      </c>
      <c r="F421" s="2">
        <v>1054.55</v>
      </c>
      <c r="G421" s="3">
        <f t="shared" si="20"/>
        <v>-1.8999073215940632E-2</v>
      </c>
      <c r="H421" s="2">
        <f t="shared" si="18"/>
        <v>25.650000000000091</v>
      </c>
      <c r="I421" s="3">
        <f t="shared" si="19"/>
        <v>2.3777520278099738E-2</v>
      </c>
    </row>
    <row r="422" spans="2:9" x14ac:dyDescent="0.25">
      <c r="B422" s="1">
        <v>35795</v>
      </c>
      <c r="C422" s="2">
        <v>1079.4000000000001</v>
      </c>
      <c r="D422" s="2">
        <v>1058.45</v>
      </c>
      <c r="E422" s="2">
        <v>1083.3499999999999</v>
      </c>
      <c r="F422" s="2">
        <v>1057.75</v>
      </c>
      <c r="G422" s="3">
        <f t="shared" si="20"/>
        <v>1.9744922059518277E-2</v>
      </c>
      <c r="H422" s="2">
        <f t="shared" si="18"/>
        <v>25.599999999999909</v>
      </c>
      <c r="I422" s="3">
        <f t="shared" si="19"/>
        <v>2.4186310170532296E-2</v>
      </c>
    </row>
    <row r="423" spans="2:9" x14ac:dyDescent="0.25">
      <c r="B423" s="1">
        <v>35796</v>
      </c>
      <c r="C423" s="2">
        <v>1081.2</v>
      </c>
      <c r="D423" s="2">
        <v>1078.95</v>
      </c>
      <c r="E423" s="2">
        <v>1084.5</v>
      </c>
      <c r="F423" s="2">
        <v>1074.1500000000001</v>
      </c>
      <c r="G423" s="3">
        <f t="shared" si="20"/>
        <v>1.6675931072818173E-3</v>
      </c>
      <c r="H423" s="2">
        <f t="shared" si="18"/>
        <v>10.349999999999909</v>
      </c>
      <c r="I423" s="3">
        <f t="shared" si="19"/>
        <v>9.5926595300986229E-3</v>
      </c>
    </row>
    <row r="424" spans="2:9" x14ac:dyDescent="0.25">
      <c r="B424" s="1">
        <v>35797</v>
      </c>
      <c r="C424" s="2">
        <v>1086.2</v>
      </c>
      <c r="D424" s="2">
        <v>1081</v>
      </c>
      <c r="E424" s="2">
        <v>1091.3</v>
      </c>
      <c r="F424" s="2">
        <v>1081</v>
      </c>
      <c r="G424" s="3">
        <f t="shared" si="20"/>
        <v>4.6244913059563242E-3</v>
      </c>
      <c r="H424" s="2">
        <f t="shared" si="18"/>
        <v>10.299999999999955</v>
      </c>
      <c r="I424" s="3">
        <f t="shared" si="19"/>
        <v>9.5282146160961655E-3</v>
      </c>
    </row>
    <row r="425" spans="2:9" x14ac:dyDescent="0.25">
      <c r="B425" s="1">
        <v>35800</v>
      </c>
      <c r="C425" s="2">
        <v>1091.6500000000001</v>
      </c>
      <c r="D425" s="2">
        <v>1086.5999999999999</v>
      </c>
      <c r="E425" s="2">
        <v>1102.1500000000001</v>
      </c>
      <c r="F425" s="2">
        <v>1086.5999999999999</v>
      </c>
      <c r="G425" s="3">
        <f t="shared" si="20"/>
        <v>5.0174921745536061E-3</v>
      </c>
      <c r="H425" s="2">
        <f t="shared" si="18"/>
        <v>15.550000000000182</v>
      </c>
      <c r="I425" s="3">
        <f t="shared" si="19"/>
        <v>1.4310693907601863E-2</v>
      </c>
    </row>
    <row r="426" spans="2:9" x14ac:dyDescent="0.25">
      <c r="B426" s="1">
        <v>35801</v>
      </c>
      <c r="C426" s="2">
        <v>1079.1500000000001</v>
      </c>
      <c r="D426" s="2">
        <v>1091.25</v>
      </c>
      <c r="E426" s="2">
        <v>1091.25</v>
      </c>
      <c r="F426" s="2">
        <v>1074.0999999999999</v>
      </c>
      <c r="G426" s="3">
        <f t="shared" si="20"/>
        <v>-1.1450556497045739E-2</v>
      </c>
      <c r="H426" s="2">
        <f t="shared" si="18"/>
        <v>17.150000000000091</v>
      </c>
      <c r="I426" s="3">
        <f t="shared" si="19"/>
        <v>1.5715922107674769E-2</v>
      </c>
    </row>
    <row r="427" spans="2:9" x14ac:dyDescent="0.25">
      <c r="B427" s="1">
        <v>35802</v>
      </c>
      <c r="C427" s="2">
        <v>1082.4000000000001</v>
      </c>
      <c r="D427" s="2">
        <v>1079.95</v>
      </c>
      <c r="E427" s="2">
        <v>1097.3</v>
      </c>
      <c r="F427" s="2">
        <v>1071.75</v>
      </c>
      <c r="G427" s="3">
        <f t="shared" si="20"/>
        <v>3.0116295232358592E-3</v>
      </c>
      <c r="H427" s="2">
        <f t="shared" si="18"/>
        <v>25.549999999999955</v>
      </c>
      <c r="I427" s="3">
        <f t="shared" si="19"/>
        <v>2.3658502708458682E-2</v>
      </c>
    </row>
    <row r="428" spans="2:9" x14ac:dyDescent="0.25">
      <c r="B428" s="1">
        <v>35803</v>
      </c>
      <c r="C428" s="2">
        <v>1057.75</v>
      </c>
      <c r="D428" s="2">
        <v>1082.05</v>
      </c>
      <c r="E428" s="2">
        <v>1082.05</v>
      </c>
      <c r="F428" s="2">
        <v>1054</v>
      </c>
      <c r="G428" s="3">
        <f t="shared" si="20"/>
        <v>-2.2773466371027395E-2</v>
      </c>
      <c r="H428" s="2">
        <f t="shared" si="18"/>
        <v>28.049999999999955</v>
      </c>
      <c r="I428" s="3">
        <f t="shared" si="19"/>
        <v>2.5923016496465001E-2</v>
      </c>
    </row>
    <row r="429" spans="2:9" x14ac:dyDescent="0.25">
      <c r="B429" s="1">
        <v>35804</v>
      </c>
      <c r="C429" s="2">
        <v>1033.55</v>
      </c>
      <c r="D429" s="2">
        <v>1057.6500000000001</v>
      </c>
      <c r="E429" s="2">
        <v>1057.6500000000001</v>
      </c>
      <c r="F429" s="2">
        <v>1028.7</v>
      </c>
      <c r="G429" s="3">
        <f t="shared" si="20"/>
        <v>-2.2878752068069108E-2</v>
      </c>
      <c r="H429" s="2">
        <f t="shared" si="18"/>
        <v>28.950000000000045</v>
      </c>
      <c r="I429" s="3">
        <f t="shared" si="19"/>
        <v>2.7372003971067975E-2</v>
      </c>
    </row>
    <row r="430" spans="2:9" x14ac:dyDescent="0.25">
      <c r="B430" s="1">
        <v>35807</v>
      </c>
      <c r="C430">
        <v>995.8</v>
      </c>
      <c r="D430" s="2">
        <v>1033.2</v>
      </c>
      <c r="E430" s="2">
        <v>1033.2</v>
      </c>
      <c r="F430">
        <v>992.5</v>
      </c>
      <c r="G430" s="3">
        <f t="shared" si="20"/>
        <v>-3.6524599680712089E-2</v>
      </c>
      <c r="H430" s="2">
        <f t="shared" si="18"/>
        <v>40.700000000000045</v>
      </c>
      <c r="I430" s="3">
        <f t="shared" si="19"/>
        <v>3.9392179636082117E-2</v>
      </c>
    </row>
    <row r="431" spans="2:9" x14ac:dyDescent="0.25">
      <c r="B431" s="1">
        <v>35808</v>
      </c>
      <c r="C431">
        <v>999.1</v>
      </c>
      <c r="D431">
        <v>995.7</v>
      </c>
      <c r="E431" s="2">
        <v>1016.8</v>
      </c>
      <c r="F431">
        <v>995.7</v>
      </c>
      <c r="G431" s="3">
        <f t="shared" si="20"/>
        <v>3.313918457521714E-3</v>
      </c>
      <c r="H431" s="2">
        <f t="shared" si="18"/>
        <v>21.099999999999909</v>
      </c>
      <c r="I431" s="3">
        <f t="shared" si="19"/>
        <v>2.1191121823842432E-2</v>
      </c>
    </row>
    <row r="432" spans="2:9" x14ac:dyDescent="0.25">
      <c r="B432" s="1">
        <v>35809</v>
      </c>
      <c r="C432">
        <v>997.55</v>
      </c>
      <c r="D432">
        <v>999.45</v>
      </c>
      <c r="E432" s="2">
        <v>1019.85</v>
      </c>
      <c r="F432">
        <v>990.75</v>
      </c>
      <c r="G432" s="3">
        <f t="shared" si="20"/>
        <v>-1.5513962566310324E-3</v>
      </c>
      <c r="H432" s="2">
        <f t="shared" si="18"/>
        <v>29.100000000000023</v>
      </c>
      <c r="I432" s="3">
        <f t="shared" si="19"/>
        <v>2.9116013807594199E-2</v>
      </c>
    </row>
    <row r="433" spans="2:9" x14ac:dyDescent="0.25">
      <c r="B433" s="1">
        <v>35810</v>
      </c>
      <c r="C433">
        <v>989.65</v>
      </c>
      <c r="D433">
        <v>997.5</v>
      </c>
      <c r="E433" s="2">
        <v>1001.3</v>
      </c>
      <c r="F433">
        <v>975.65</v>
      </c>
      <c r="G433" s="3">
        <f t="shared" si="20"/>
        <v>-7.9194025362137044E-3</v>
      </c>
      <c r="H433" s="2">
        <f t="shared" si="18"/>
        <v>25.649999999999977</v>
      </c>
      <c r="I433" s="3">
        <f t="shared" si="19"/>
        <v>2.5714285714285693E-2</v>
      </c>
    </row>
    <row r="434" spans="2:9" x14ac:dyDescent="0.25">
      <c r="B434" s="1">
        <v>35811</v>
      </c>
      <c r="C434">
        <v>997.8</v>
      </c>
      <c r="D434">
        <v>990.05</v>
      </c>
      <c r="E434">
        <v>999.8</v>
      </c>
      <c r="F434">
        <v>987.1</v>
      </c>
      <c r="G434" s="3">
        <f t="shared" si="20"/>
        <v>8.2352346789269504E-3</v>
      </c>
      <c r="H434" s="2">
        <f t="shared" si="18"/>
        <v>12.699999999999932</v>
      </c>
      <c r="I434" s="3">
        <f t="shared" si="19"/>
        <v>1.2827634967930844E-2</v>
      </c>
    </row>
    <row r="435" spans="2:9" x14ac:dyDescent="0.25">
      <c r="B435" s="1">
        <v>35814</v>
      </c>
      <c r="C435" s="2">
        <v>1017.25</v>
      </c>
      <c r="D435">
        <v>998.3</v>
      </c>
      <c r="E435" s="2">
        <v>1019.75</v>
      </c>
      <c r="F435">
        <v>992.05</v>
      </c>
      <c r="G435" s="3">
        <f t="shared" si="20"/>
        <v>1.949288434556018E-2</v>
      </c>
      <c r="H435" s="2">
        <f t="shared" si="18"/>
        <v>27.700000000000045</v>
      </c>
      <c r="I435" s="3">
        <f t="shared" si="19"/>
        <v>2.7747170189321893E-2</v>
      </c>
    </row>
    <row r="436" spans="2:9" x14ac:dyDescent="0.25">
      <c r="B436" s="1">
        <v>35815</v>
      </c>
      <c r="C436" s="2">
        <v>1011.45</v>
      </c>
      <c r="D436" s="2">
        <v>1017.25</v>
      </c>
      <c r="E436" s="2">
        <v>1029.6500000000001</v>
      </c>
      <c r="F436" s="2">
        <v>1008.8</v>
      </c>
      <c r="G436" s="3">
        <f t="shared" si="20"/>
        <v>-5.701646596215193E-3</v>
      </c>
      <c r="H436" s="2">
        <f t="shared" si="18"/>
        <v>20.850000000000136</v>
      </c>
      <c r="I436" s="3">
        <f t="shared" si="19"/>
        <v>2.04964364708775E-2</v>
      </c>
    </row>
    <row r="437" spans="2:9" x14ac:dyDescent="0.25">
      <c r="B437" s="1">
        <v>35816</v>
      </c>
      <c r="C437" s="2">
        <v>1012.4</v>
      </c>
      <c r="D437" s="2">
        <v>1011.6</v>
      </c>
      <c r="E437" s="2">
        <v>1017.75</v>
      </c>
      <c r="F437" s="2">
        <v>1003.9</v>
      </c>
      <c r="G437" s="3">
        <f t="shared" si="20"/>
        <v>9.3924563745106937E-4</v>
      </c>
      <c r="H437" s="2">
        <f t="shared" si="18"/>
        <v>13.850000000000023</v>
      </c>
      <c r="I437" s="3">
        <f t="shared" si="19"/>
        <v>1.3691182285488358E-2</v>
      </c>
    </row>
    <row r="438" spans="2:9" x14ac:dyDescent="0.25">
      <c r="B438" s="1">
        <v>35817</v>
      </c>
      <c r="C438">
        <v>992.35</v>
      </c>
      <c r="D438" s="2">
        <v>1012.2</v>
      </c>
      <c r="E438" s="2">
        <v>1012.2</v>
      </c>
      <c r="F438">
        <v>990.85</v>
      </c>
      <c r="G438" s="3">
        <f t="shared" si="20"/>
        <v>-1.9804425128407743E-2</v>
      </c>
      <c r="H438" s="2">
        <f t="shared" si="18"/>
        <v>21.350000000000023</v>
      </c>
      <c r="I438" s="3">
        <f t="shared" si="19"/>
        <v>2.1092669432918418E-2</v>
      </c>
    </row>
    <row r="439" spans="2:9" x14ac:dyDescent="0.25">
      <c r="B439" s="1">
        <v>35818</v>
      </c>
      <c r="C439">
        <v>986.8</v>
      </c>
      <c r="D439">
        <v>992.2</v>
      </c>
      <c r="E439">
        <v>992.45</v>
      </c>
      <c r="F439">
        <v>984.55</v>
      </c>
      <c r="G439" s="3">
        <f t="shared" si="20"/>
        <v>-5.592784803748696E-3</v>
      </c>
      <c r="H439" s="2">
        <f t="shared" si="18"/>
        <v>7.9000000000000909</v>
      </c>
      <c r="I439" s="3">
        <f t="shared" si="19"/>
        <v>7.9621044144326646E-3</v>
      </c>
    </row>
    <row r="440" spans="2:9" x14ac:dyDescent="0.25">
      <c r="B440" s="1">
        <v>35822</v>
      </c>
      <c r="C440">
        <v>963.3</v>
      </c>
      <c r="D440">
        <v>986.9</v>
      </c>
      <c r="E440">
        <v>988</v>
      </c>
      <c r="F440">
        <v>959.4</v>
      </c>
      <c r="G440" s="3">
        <f t="shared" si="20"/>
        <v>-2.3814349412241587E-2</v>
      </c>
      <c r="H440" s="2">
        <f t="shared" si="18"/>
        <v>28.600000000000023</v>
      </c>
      <c r="I440" s="3">
        <f t="shared" si="19"/>
        <v>2.8979633194852594E-2</v>
      </c>
    </row>
    <row r="441" spans="2:9" x14ac:dyDescent="0.25">
      <c r="B441" s="1">
        <v>35823</v>
      </c>
      <c r="C441">
        <v>944.8</v>
      </c>
      <c r="D441">
        <v>962.65</v>
      </c>
      <c r="E441">
        <v>969.7</v>
      </c>
      <c r="F441">
        <v>940.1</v>
      </c>
      <c r="G441" s="3">
        <f t="shared" si="20"/>
        <v>-1.9204816775666989E-2</v>
      </c>
      <c r="H441" s="2">
        <f t="shared" si="18"/>
        <v>29.600000000000023</v>
      </c>
      <c r="I441" s="3">
        <f t="shared" si="19"/>
        <v>3.0748454786267098E-2</v>
      </c>
    </row>
    <row r="442" spans="2:9" x14ac:dyDescent="0.25">
      <c r="B442" s="1">
        <v>35824</v>
      </c>
      <c r="C442">
        <v>941.35</v>
      </c>
      <c r="D442">
        <v>944.55</v>
      </c>
      <c r="E442">
        <v>944.55</v>
      </c>
      <c r="F442">
        <v>929.05</v>
      </c>
      <c r="G442" s="3">
        <f t="shared" si="20"/>
        <v>-3.6515664690939253E-3</v>
      </c>
      <c r="H442" s="2">
        <f t="shared" si="18"/>
        <v>15.5</v>
      </c>
      <c r="I442" s="3">
        <f t="shared" si="19"/>
        <v>1.6409930654809168E-2</v>
      </c>
    </row>
    <row r="443" spans="2:9" x14ac:dyDescent="0.25">
      <c r="B443" s="1">
        <v>35825</v>
      </c>
      <c r="C443">
        <v>963.45</v>
      </c>
      <c r="D443">
        <v>941.4</v>
      </c>
      <c r="E443">
        <v>965.3</v>
      </c>
      <c r="F443">
        <v>941.4</v>
      </c>
      <c r="G443" s="3">
        <f t="shared" si="20"/>
        <v>2.3476921442608933E-2</v>
      </c>
      <c r="H443" s="2">
        <f t="shared" si="18"/>
        <v>23.899999999999977</v>
      </c>
      <c r="I443" s="3">
        <f t="shared" si="19"/>
        <v>2.5387720416401083E-2</v>
      </c>
    </row>
    <row r="444" spans="2:9" x14ac:dyDescent="0.25">
      <c r="B444" s="1">
        <v>35828</v>
      </c>
      <c r="C444">
        <v>976.6</v>
      </c>
      <c r="D444">
        <v>963.45</v>
      </c>
      <c r="E444">
        <v>978.05</v>
      </c>
      <c r="F444">
        <v>962.25</v>
      </c>
      <c r="G444" s="3">
        <f t="shared" si="20"/>
        <v>1.364886605428417E-2</v>
      </c>
      <c r="H444" s="2">
        <f t="shared" si="18"/>
        <v>15.799999999999955</v>
      </c>
      <c r="I444" s="3">
        <f t="shared" si="19"/>
        <v>1.6399397996782347E-2</v>
      </c>
    </row>
    <row r="445" spans="2:9" x14ac:dyDescent="0.25">
      <c r="B445" s="1">
        <v>35829</v>
      </c>
      <c r="C445">
        <v>975.25</v>
      </c>
      <c r="D445">
        <v>977.05</v>
      </c>
      <c r="E445">
        <v>979.55</v>
      </c>
      <c r="F445">
        <v>967.85</v>
      </c>
      <c r="G445" s="3">
        <f t="shared" si="20"/>
        <v>-1.3823469178784187E-3</v>
      </c>
      <c r="H445" s="2">
        <f t="shared" si="18"/>
        <v>11.699999999999932</v>
      </c>
      <c r="I445" s="3">
        <f t="shared" si="19"/>
        <v>1.197482216877328E-2</v>
      </c>
    </row>
    <row r="446" spans="2:9" x14ac:dyDescent="0.25">
      <c r="B446" s="1">
        <v>35830</v>
      </c>
      <c r="C446">
        <v>967.95</v>
      </c>
      <c r="D446">
        <v>975.9</v>
      </c>
      <c r="E446">
        <v>988.4</v>
      </c>
      <c r="F446">
        <v>965.45</v>
      </c>
      <c r="G446" s="3">
        <f t="shared" si="20"/>
        <v>-7.4852601896948645E-3</v>
      </c>
      <c r="H446" s="2">
        <f t="shared" si="18"/>
        <v>22.949999999999932</v>
      </c>
      <c r="I446" s="3">
        <f t="shared" si="19"/>
        <v>2.3516753765754617E-2</v>
      </c>
    </row>
    <row r="447" spans="2:9" x14ac:dyDescent="0.25">
      <c r="B447" s="1">
        <v>35831</v>
      </c>
      <c r="C447">
        <v>976.1</v>
      </c>
      <c r="D447">
        <v>968.15</v>
      </c>
      <c r="E447">
        <v>980.45</v>
      </c>
      <c r="F447">
        <v>968.15</v>
      </c>
      <c r="G447" s="3">
        <f t="shared" si="20"/>
        <v>8.419856397541281E-3</v>
      </c>
      <c r="H447" s="2">
        <f t="shared" si="18"/>
        <v>12.300000000000068</v>
      </c>
      <c r="I447" s="3">
        <f t="shared" si="19"/>
        <v>1.2704642875587532E-2</v>
      </c>
    </row>
    <row r="448" spans="2:9" x14ac:dyDescent="0.25">
      <c r="B448" s="1">
        <v>35832</v>
      </c>
      <c r="C448">
        <v>977.65</v>
      </c>
      <c r="D448">
        <v>976.1</v>
      </c>
      <c r="E448">
        <v>981.2</v>
      </c>
      <c r="F448">
        <v>971.9</v>
      </c>
      <c r="G448" s="3">
        <f t="shared" si="20"/>
        <v>1.5879520540926784E-3</v>
      </c>
      <c r="H448" s="2">
        <f t="shared" si="18"/>
        <v>9.3000000000000682</v>
      </c>
      <c r="I448" s="3">
        <f t="shared" si="19"/>
        <v>9.5277123245569792E-3</v>
      </c>
    </row>
    <row r="449" spans="2:9" x14ac:dyDescent="0.25">
      <c r="B449" s="1">
        <v>35835</v>
      </c>
      <c r="C449">
        <v>976.1</v>
      </c>
      <c r="D449">
        <v>977.55</v>
      </c>
      <c r="E449">
        <v>980.75</v>
      </c>
      <c r="F449">
        <v>973.1</v>
      </c>
      <c r="G449" s="3">
        <f t="shared" si="20"/>
        <v>-1.5854344601851089E-3</v>
      </c>
      <c r="H449" s="2">
        <f t="shared" si="18"/>
        <v>7.6499999999999773</v>
      </c>
      <c r="I449" s="3">
        <f t="shared" si="19"/>
        <v>7.8256866656436774E-3</v>
      </c>
    </row>
    <row r="450" spans="2:9" x14ac:dyDescent="0.25">
      <c r="B450" s="1">
        <v>35836</v>
      </c>
      <c r="C450">
        <v>963.7</v>
      </c>
      <c r="D450">
        <v>976.1</v>
      </c>
      <c r="E450">
        <v>976.1</v>
      </c>
      <c r="F450">
        <v>962</v>
      </c>
      <c r="G450" s="3">
        <f t="shared" si="20"/>
        <v>-1.2703616432742537E-2</v>
      </c>
      <c r="H450" s="2">
        <f t="shared" si="18"/>
        <v>14.100000000000023</v>
      </c>
      <c r="I450" s="3">
        <f t="shared" si="19"/>
        <v>1.4445241266263726E-2</v>
      </c>
    </row>
    <row r="451" spans="2:9" x14ac:dyDescent="0.25">
      <c r="B451" s="1">
        <v>35837</v>
      </c>
      <c r="C451">
        <v>958.9</v>
      </c>
      <c r="D451">
        <v>964.25</v>
      </c>
      <c r="E451">
        <v>971.75</v>
      </c>
      <c r="F451">
        <v>956</v>
      </c>
      <c r="G451" s="3">
        <f t="shared" si="20"/>
        <v>-4.9808031545087728E-3</v>
      </c>
      <c r="H451" s="2">
        <f t="shared" si="18"/>
        <v>15.75</v>
      </c>
      <c r="I451" s="3">
        <f t="shared" si="19"/>
        <v>1.6333938294010888E-2</v>
      </c>
    </row>
    <row r="452" spans="2:9" x14ac:dyDescent="0.25">
      <c r="B452" s="1">
        <v>35838</v>
      </c>
      <c r="C452">
        <v>956.65</v>
      </c>
      <c r="D452">
        <v>959.05</v>
      </c>
      <c r="E452">
        <v>960.25</v>
      </c>
      <c r="F452">
        <v>949.65</v>
      </c>
      <c r="G452" s="3">
        <f t="shared" si="20"/>
        <v>-2.3464386275940941E-3</v>
      </c>
      <c r="H452" s="2">
        <f t="shared" si="18"/>
        <v>10.600000000000023</v>
      </c>
      <c r="I452" s="3">
        <f t="shared" si="19"/>
        <v>1.1052604139513084E-2</v>
      </c>
    </row>
    <row r="453" spans="2:9" x14ac:dyDescent="0.25">
      <c r="B453" s="1">
        <v>35839</v>
      </c>
      <c r="C453">
        <v>974.55</v>
      </c>
      <c r="D453">
        <v>956.8</v>
      </c>
      <c r="E453">
        <v>978.15</v>
      </c>
      <c r="F453">
        <v>956.8</v>
      </c>
      <c r="G453" s="3">
        <f t="shared" si="20"/>
        <v>1.8711127371557001E-2</v>
      </c>
      <c r="H453" s="2">
        <f t="shared" ref="H453:H516" si="21">E453-F453</f>
        <v>21.350000000000023</v>
      </c>
      <c r="I453" s="3">
        <f t="shared" si="19"/>
        <v>2.2313963210702364E-2</v>
      </c>
    </row>
    <row r="454" spans="2:9" x14ac:dyDescent="0.25">
      <c r="B454" s="1">
        <v>35843</v>
      </c>
      <c r="C454">
        <v>991.7</v>
      </c>
      <c r="D454">
        <v>974.65</v>
      </c>
      <c r="E454" s="2">
        <v>1002.15</v>
      </c>
      <c r="F454">
        <v>974.65</v>
      </c>
      <c r="G454" s="3">
        <f t="shared" si="20"/>
        <v>1.7597865681596714E-2</v>
      </c>
      <c r="H454" s="2">
        <f t="shared" si="21"/>
        <v>27.5</v>
      </c>
      <c r="I454" s="3">
        <f t="shared" ref="I454:I517" si="22">H454/D454</f>
        <v>2.8215256758836505E-2</v>
      </c>
    </row>
    <row r="455" spans="2:9" x14ac:dyDescent="0.25">
      <c r="B455" s="1">
        <v>35844</v>
      </c>
      <c r="C455">
        <v>988.85</v>
      </c>
      <c r="D455">
        <v>992.15</v>
      </c>
      <c r="E455">
        <v>997.8</v>
      </c>
      <c r="F455">
        <v>984</v>
      </c>
      <c r="G455" s="3">
        <f t="shared" ref="G455:G518" si="23">C455/C454-1</f>
        <v>-2.8738529797317502E-3</v>
      </c>
      <c r="H455" s="2">
        <f t="shared" si="21"/>
        <v>13.799999999999955</v>
      </c>
      <c r="I455" s="3">
        <f t="shared" si="22"/>
        <v>1.3909187118883188E-2</v>
      </c>
    </row>
    <row r="456" spans="2:9" x14ac:dyDescent="0.25">
      <c r="B456" s="1">
        <v>35845</v>
      </c>
      <c r="C456">
        <v>997.55</v>
      </c>
      <c r="D456">
        <v>988.95</v>
      </c>
      <c r="E456" s="2">
        <v>1001.1</v>
      </c>
      <c r="F456">
        <v>988.95</v>
      </c>
      <c r="G456" s="3">
        <f t="shared" si="23"/>
        <v>8.7980988016382877E-3</v>
      </c>
      <c r="H456" s="2">
        <f t="shared" si="21"/>
        <v>12.149999999999977</v>
      </c>
      <c r="I456" s="3">
        <f t="shared" si="22"/>
        <v>1.2285757621719982E-2</v>
      </c>
    </row>
    <row r="457" spans="2:9" x14ac:dyDescent="0.25">
      <c r="B457" s="1">
        <v>35846</v>
      </c>
      <c r="C457">
        <v>993.65</v>
      </c>
      <c r="D457">
        <v>997.1</v>
      </c>
      <c r="E457" s="2">
        <v>1006.25</v>
      </c>
      <c r="F457">
        <v>991.85</v>
      </c>
      <c r="G457" s="3">
        <f t="shared" si="23"/>
        <v>-3.909578467244712E-3</v>
      </c>
      <c r="H457" s="2">
        <f t="shared" si="21"/>
        <v>14.399999999999977</v>
      </c>
      <c r="I457" s="3">
        <f t="shared" si="22"/>
        <v>1.4441881456223023E-2</v>
      </c>
    </row>
    <row r="458" spans="2:9" x14ac:dyDescent="0.25">
      <c r="B458" s="1">
        <v>35849</v>
      </c>
      <c r="C458" s="2">
        <v>1009.6</v>
      </c>
      <c r="D458">
        <v>994.1</v>
      </c>
      <c r="E458" s="2">
        <v>1011.7</v>
      </c>
      <c r="F458">
        <v>994.1</v>
      </c>
      <c r="G458" s="3">
        <f t="shared" si="23"/>
        <v>1.6051929753937655E-2</v>
      </c>
      <c r="H458" s="2">
        <f t="shared" si="21"/>
        <v>17.600000000000023</v>
      </c>
      <c r="I458" s="3">
        <f t="shared" si="22"/>
        <v>1.7704456292123551E-2</v>
      </c>
    </row>
    <row r="459" spans="2:9" x14ac:dyDescent="0.25">
      <c r="B459" s="1">
        <v>35850</v>
      </c>
      <c r="C459" s="2">
        <v>1014.1</v>
      </c>
      <c r="D459" s="2">
        <v>1009.5</v>
      </c>
      <c r="E459" s="2">
        <v>1017.55</v>
      </c>
      <c r="F459" s="2">
        <v>1007.4</v>
      </c>
      <c r="G459" s="3">
        <f t="shared" si="23"/>
        <v>4.4572107765452618E-3</v>
      </c>
      <c r="H459" s="2">
        <f t="shared" si="21"/>
        <v>10.149999999999977</v>
      </c>
      <c r="I459" s="3">
        <f t="shared" si="22"/>
        <v>1.0054482417038116E-2</v>
      </c>
    </row>
    <row r="460" spans="2:9" x14ac:dyDescent="0.25">
      <c r="B460" s="1">
        <v>35851</v>
      </c>
      <c r="C460" s="2">
        <v>1036.05</v>
      </c>
      <c r="D460" s="2">
        <v>1014.1</v>
      </c>
      <c r="E460" s="2">
        <v>1037.1500000000001</v>
      </c>
      <c r="F460" s="2">
        <v>1014.1</v>
      </c>
      <c r="G460" s="3">
        <f t="shared" si="23"/>
        <v>2.1644808204319022E-2</v>
      </c>
      <c r="H460" s="2">
        <f t="shared" si="21"/>
        <v>23.050000000000068</v>
      </c>
      <c r="I460" s="3">
        <f t="shared" si="22"/>
        <v>2.2729513854649511E-2</v>
      </c>
    </row>
    <row r="461" spans="2:9" x14ac:dyDescent="0.25">
      <c r="B461" s="1">
        <v>35852</v>
      </c>
      <c r="C461" s="2">
        <v>1045.8</v>
      </c>
      <c r="D461" s="2">
        <v>1036.3</v>
      </c>
      <c r="E461" s="2">
        <v>1048.55</v>
      </c>
      <c r="F461" s="2">
        <v>1032.4000000000001</v>
      </c>
      <c r="G461" s="3">
        <f t="shared" si="23"/>
        <v>9.4107427247720477E-3</v>
      </c>
      <c r="H461" s="2">
        <f t="shared" si="21"/>
        <v>16.149999999999864</v>
      </c>
      <c r="I461" s="3">
        <f t="shared" si="22"/>
        <v>1.5584290263437097E-2</v>
      </c>
    </row>
    <row r="462" spans="2:9" x14ac:dyDescent="0.25">
      <c r="B462" s="1">
        <v>35853</v>
      </c>
      <c r="C462" s="2">
        <v>1060.75</v>
      </c>
      <c r="D462" s="2">
        <v>1045.8499999999999</v>
      </c>
      <c r="E462" s="2">
        <v>1064.1500000000001</v>
      </c>
      <c r="F462" s="2">
        <v>1045.75</v>
      </c>
      <c r="G462" s="3">
        <f t="shared" si="23"/>
        <v>1.4295276343469165E-2</v>
      </c>
      <c r="H462" s="2">
        <f t="shared" si="21"/>
        <v>18.400000000000091</v>
      </c>
      <c r="I462" s="3">
        <f t="shared" si="22"/>
        <v>1.7593345125974175E-2</v>
      </c>
    </row>
    <row r="463" spans="2:9" x14ac:dyDescent="0.25">
      <c r="B463" s="1">
        <v>35856</v>
      </c>
      <c r="C463" s="2">
        <v>1098.2</v>
      </c>
      <c r="D463" s="2">
        <v>1060.9000000000001</v>
      </c>
      <c r="E463" s="2">
        <v>1100.8</v>
      </c>
      <c r="F463" s="2">
        <v>1060.9000000000001</v>
      </c>
      <c r="G463" s="3">
        <f t="shared" si="23"/>
        <v>3.5305208578835678E-2</v>
      </c>
      <c r="H463" s="2">
        <f t="shared" si="21"/>
        <v>39.899999999999864</v>
      </c>
      <c r="I463" s="3">
        <f t="shared" si="22"/>
        <v>3.7609576774436666E-2</v>
      </c>
    </row>
    <row r="464" spans="2:9" x14ac:dyDescent="0.25">
      <c r="B464" s="1">
        <v>35857</v>
      </c>
      <c r="C464" s="2">
        <v>1063.5</v>
      </c>
      <c r="D464" s="2">
        <v>1099.25</v>
      </c>
      <c r="E464" s="2">
        <v>1101.95</v>
      </c>
      <c r="F464" s="2">
        <v>1046.75</v>
      </c>
      <c r="G464" s="3">
        <f t="shared" si="23"/>
        <v>-3.1597158987433982E-2</v>
      </c>
      <c r="H464" s="2">
        <f t="shared" si="21"/>
        <v>55.200000000000045</v>
      </c>
      <c r="I464" s="3">
        <f t="shared" si="22"/>
        <v>5.0216056402092375E-2</v>
      </c>
    </row>
    <row r="465" spans="2:9" x14ac:dyDescent="0.25">
      <c r="B465" s="1">
        <v>35858</v>
      </c>
      <c r="C465" s="2">
        <v>1092.3499999999999</v>
      </c>
      <c r="D465" s="2">
        <v>1062.7</v>
      </c>
      <c r="E465" s="2">
        <v>1094.45</v>
      </c>
      <c r="F465" s="2">
        <v>1062.7</v>
      </c>
      <c r="G465" s="3">
        <f t="shared" si="23"/>
        <v>2.7127409496944033E-2</v>
      </c>
      <c r="H465" s="2">
        <f t="shared" si="21"/>
        <v>31.75</v>
      </c>
      <c r="I465" s="3">
        <f t="shared" si="22"/>
        <v>2.987672908628964E-2</v>
      </c>
    </row>
    <row r="466" spans="2:9" x14ac:dyDescent="0.25">
      <c r="B466" s="1">
        <v>35859</v>
      </c>
      <c r="C466" s="2">
        <v>1083.3499999999999</v>
      </c>
      <c r="D466" s="2">
        <v>1091.95</v>
      </c>
      <c r="E466" s="2">
        <v>1098.9000000000001</v>
      </c>
      <c r="F466" s="2">
        <v>1079.95</v>
      </c>
      <c r="G466" s="3">
        <f t="shared" si="23"/>
        <v>-8.2391174989701055E-3</v>
      </c>
      <c r="H466" s="2">
        <f t="shared" si="21"/>
        <v>18.950000000000045</v>
      </c>
      <c r="I466" s="3">
        <f t="shared" si="22"/>
        <v>1.7354274463116486E-2</v>
      </c>
    </row>
    <row r="467" spans="2:9" x14ac:dyDescent="0.25">
      <c r="B467" s="1">
        <v>35860</v>
      </c>
      <c r="C467" s="2">
        <v>1081.45</v>
      </c>
      <c r="D467" s="2">
        <v>1083.3</v>
      </c>
      <c r="E467" s="2">
        <v>1086</v>
      </c>
      <c r="F467" s="2">
        <v>1073.25</v>
      </c>
      <c r="G467" s="3">
        <f t="shared" si="23"/>
        <v>-1.7538191720125607E-3</v>
      </c>
      <c r="H467" s="2">
        <f t="shared" si="21"/>
        <v>12.75</v>
      </c>
      <c r="I467" s="3">
        <f t="shared" si="22"/>
        <v>1.1769592910551095E-2</v>
      </c>
    </row>
    <row r="468" spans="2:9" x14ac:dyDescent="0.25">
      <c r="B468" s="1">
        <v>35863</v>
      </c>
      <c r="C468" s="2">
        <v>1099.5</v>
      </c>
      <c r="D468" s="2">
        <v>1081.95</v>
      </c>
      <c r="E468" s="2">
        <v>1100.4000000000001</v>
      </c>
      <c r="F468" s="2">
        <v>1081.95</v>
      </c>
      <c r="G468" s="3">
        <f t="shared" si="23"/>
        <v>1.6690554348328668E-2</v>
      </c>
      <c r="H468" s="2">
        <f t="shared" si="21"/>
        <v>18.450000000000045</v>
      </c>
      <c r="I468" s="3">
        <f t="shared" si="22"/>
        <v>1.705254401774578E-2</v>
      </c>
    </row>
    <row r="469" spans="2:9" x14ac:dyDescent="0.25">
      <c r="B469" s="1">
        <v>35864</v>
      </c>
      <c r="C469" s="2">
        <v>1086.05</v>
      </c>
      <c r="D469" s="2">
        <v>1099.3499999999999</v>
      </c>
      <c r="E469" s="2">
        <v>1102.8499999999999</v>
      </c>
      <c r="F469" s="2">
        <v>1082.7</v>
      </c>
      <c r="G469" s="3">
        <f t="shared" si="23"/>
        <v>-1.2232833105957241E-2</v>
      </c>
      <c r="H469" s="2">
        <f t="shared" si="21"/>
        <v>20.149999999999864</v>
      </c>
      <c r="I469" s="3">
        <f t="shared" si="22"/>
        <v>1.8329012598353449E-2</v>
      </c>
    </row>
    <row r="470" spans="2:9" x14ac:dyDescent="0.25">
      <c r="B470" s="1">
        <v>35865</v>
      </c>
      <c r="C470" s="2">
        <v>1083</v>
      </c>
      <c r="D470" s="2">
        <v>1086.6500000000001</v>
      </c>
      <c r="E470" s="2">
        <v>1102.5999999999999</v>
      </c>
      <c r="F470" s="2">
        <v>1074.55</v>
      </c>
      <c r="G470" s="3">
        <f t="shared" si="23"/>
        <v>-2.8083421573591449E-3</v>
      </c>
      <c r="H470" s="2">
        <f t="shared" si="21"/>
        <v>28.049999999999955</v>
      </c>
      <c r="I470" s="3">
        <f t="shared" si="22"/>
        <v>2.5813279344775182E-2</v>
      </c>
    </row>
    <row r="471" spans="2:9" x14ac:dyDescent="0.25">
      <c r="B471" s="1">
        <v>35866</v>
      </c>
      <c r="C471" s="2">
        <v>1077.5</v>
      </c>
      <c r="D471" s="2">
        <v>1083.3499999999999</v>
      </c>
      <c r="E471" s="2">
        <v>1083.95</v>
      </c>
      <c r="F471" s="2">
        <v>1072.4000000000001</v>
      </c>
      <c r="G471" s="3">
        <f t="shared" si="23"/>
        <v>-5.078485687903922E-3</v>
      </c>
      <c r="H471" s="2">
        <f t="shared" si="21"/>
        <v>11.549999999999955</v>
      </c>
      <c r="I471" s="3">
        <f t="shared" si="22"/>
        <v>1.0661374440393183E-2</v>
      </c>
    </row>
    <row r="472" spans="2:9" x14ac:dyDescent="0.25">
      <c r="B472" s="1">
        <v>35870</v>
      </c>
      <c r="C472" s="2">
        <v>1090.45</v>
      </c>
      <c r="D472" s="2">
        <v>1077.75</v>
      </c>
      <c r="E472" s="2">
        <v>1102.5999999999999</v>
      </c>
      <c r="F472" s="2">
        <v>1077.75</v>
      </c>
      <c r="G472" s="3">
        <f t="shared" si="23"/>
        <v>1.2018561484918866E-2</v>
      </c>
      <c r="H472" s="2">
        <f t="shared" si="21"/>
        <v>24.849999999999909</v>
      </c>
      <c r="I472" s="3">
        <f t="shared" si="22"/>
        <v>2.3057295291115665E-2</v>
      </c>
    </row>
    <row r="473" spans="2:9" x14ac:dyDescent="0.25">
      <c r="B473" s="1">
        <v>35871</v>
      </c>
      <c r="C473" s="2">
        <v>1083.3</v>
      </c>
      <c r="D473" s="2">
        <v>1090.25</v>
      </c>
      <c r="E473" s="2">
        <v>1090.25</v>
      </c>
      <c r="F473" s="2">
        <v>1072.7</v>
      </c>
      <c r="G473" s="3">
        <f t="shared" si="23"/>
        <v>-6.5569260397084772E-3</v>
      </c>
      <c r="H473" s="2">
        <f t="shared" si="21"/>
        <v>17.549999999999955</v>
      </c>
      <c r="I473" s="3">
        <f t="shared" si="22"/>
        <v>1.6097225407016698E-2</v>
      </c>
    </row>
    <row r="474" spans="2:9" x14ac:dyDescent="0.25">
      <c r="B474" s="1">
        <v>35872</v>
      </c>
      <c r="C474" s="2">
        <v>1103.3499999999999</v>
      </c>
      <c r="D474" s="2">
        <v>1083.8499999999999</v>
      </c>
      <c r="E474" s="2">
        <v>1108.2</v>
      </c>
      <c r="F474" s="2">
        <v>1083.8499999999999</v>
      </c>
      <c r="G474" s="3">
        <f t="shared" si="23"/>
        <v>1.85082617926704E-2</v>
      </c>
      <c r="H474" s="2">
        <f t="shared" si="21"/>
        <v>24.350000000000136</v>
      </c>
      <c r="I474" s="3">
        <f t="shared" si="22"/>
        <v>2.2466208423674989E-2</v>
      </c>
    </row>
    <row r="475" spans="2:9" x14ac:dyDescent="0.25">
      <c r="B475" s="1">
        <v>35873</v>
      </c>
      <c r="C475" s="2">
        <v>1105.8</v>
      </c>
      <c r="D475" s="2">
        <v>1103.8</v>
      </c>
      <c r="E475" s="2">
        <v>1113.45</v>
      </c>
      <c r="F475" s="2">
        <v>1099.8</v>
      </c>
      <c r="G475" s="3">
        <f t="shared" si="23"/>
        <v>2.2205102641954522E-3</v>
      </c>
      <c r="H475" s="2">
        <f t="shared" si="21"/>
        <v>13.650000000000091</v>
      </c>
      <c r="I475" s="3">
        <f t="shared" si="22"/>
        <v>1.2366370719333296E-2</v>
      </c>
    </row>
    <row r="476" spans="2:9" x14ac:dyDescent="0.25">
      <c r="B476" s="1">
        <v>35874</v>
      </c>
      <c r="C476" s="2">
        <v>1109.5999999999999</v>
      </c>
      <c r="D476" s="2">
        <v>1105.5</v>
      </c>
      <c r="E476" s="2">
        <v>1112.4000000000001</v>
      </c>
      <c r="F476" s="2">
        <v>1097.75</v>
      </c>
      <c r="G476" s="3">
        <f t="shared" si="23"/>
        <v>3.4364261168384758E-3</v>
      </c>
      <c r="H476" s="2">
        <f t="shared" si="21"/>
        <v>14.650000000000091</v>
      </c>
      <c r="I476" s="3">
        <f t="shared" si="22"/>
        <v>1.3251922207146169E-2</v>
      </c>
    </row>
    <row r="477" spans="2:9" x14ac:dyDescent="0.25">
      <c r="B477" s="1">
        <v>35877</v>
      </c>
      <c r="C477" s="2">
        <v>1124.0999999999999</v>
      </c>
      <c r="D477" s="2">
        <v>1110.0999999999999</v>
      </c>
      <c r="E477" s="2">
        <v>1124.8</v>
      </c>
      <c r="F477" s="2">
        <v>1110.0999999999999</v>
      </c>
      <c r="G477" s="3">
        <f t="shared" si="23"/>
        <v>1.3067772170151315E-2</v>
      </c>
      <c r="H477" s="2">
        <f t="shared" si="21"/>
        <v>14.700000000000045</v>
      </c>
      <c r="I477" s="3">
        <f t="shared" si="22"/>
        <v>1.3242050265741868E-2</v>
      </c>
    </row>
    <row r="478" spans="2:9" x14ac:dyDescent="0.25">
      <c r="B478" s="1">
        <v>35878</v>
      </c>
      <c r="C478" s="2">
        <v>1120.8499999999999</v>
      </c>
      <c r="D478" s="2">
        <v>1124.25</v>
      </c>
      <c r="E478" s="2">
        <v>1137.8</v>
      </c>
      <c r="F478" s="2">
        <v>1117.3499999999999</v>
      </c>
      <c r="G478" s="3">
        <f t="shared" si="23"/>
        <v>-2.8912018503691739E-3</v>
      </c>
      <c r="H478" s="2">
        <f t="shared" si="21"/>
        <v>20.450000000000045</v>
      </c>
      <c r="I478" s="3">
        <f t="shared" si="22"/>
        <v>1.8189904380698285E-2</v>
      </c>
    </row>
    <row r="479" spans="2:9" x14ac:dyDescent="0.25">
      <c r="B479" s="1">
        <v>35879</v>
      </c>
      <c r="C479" s="2">
        <v>1146.95</v>
      </c>
      <c r="D479" s="2">
        <v>1121.45</v>
      </c>
      <c r="E479" s="2">
        <v>1149.3499999999999</v>
      </c>
      <c r="F479" s="2">
        <v>1121.45</v>
      </c>
      <c r="G479" s="3">
        <f t="shared" si="23"/>
        <v>2.3285899094437346E-2</v>
      </c>
      <c r="H479" s="2">
        <f t="shared" si="21"/>
        <v>27.899999999999864</v>
      </c>
      <c r="I479" s="3">
        <f t="shared" si="22"/>
        <v>2.4878505506264088E-2</v>
      </c>
    </row>
    <row r="480" spans="2:9" x14ac:dyDescent="0.25">
      <c r="B480" s="1">
        <v>35880</v>
      </c>
      <c r="C480" s="2">
        <v>1129.5</v>
      </c>
      <c r="D480" s="2">
        <v>1147.6500000000001</v>
      </c>
      <c r="E480" s="2">
        <v>1156.7</v>
      </c>
      <c r="F480" s="2">
        <v>1127.3</v>
      </c>
      <c r="G480" s="3">
        <f t="shared" si="23"/>
        <v>-1.5214263917346038E-2</v>
      </c>
      <c r="H480" s="2">
        <f t="shared" si="21"/>
        <v>29.400000000000091</v>
      </c>
      <c r="I480" s="3">
        <f t="shared" si="22"/>
        <v>2.5617566331198615E-2</v>
      </c>
    </row>
    <row r="481" spans="2:9" x14ac:dyDescent="0.25">
      <c r="B481" s="1">
        <v>35881</v>
      </c>
      <c r="C481" s="2">
        <v>1140.3499999999999</v>
      </c>
      <c r="D481" s="2">
        <v>1129.5</v>
      </c>
      <c r="E481" s="2">
        <v>1142.0999999999999</v>
      </c>
      <c r="F481" s="2">
        <v>1121.2</v>
      </c>
      <c r="G481" s="3">
        <f t="shared" si="23"/>
        <v>9.6060203629924068E-3</v>
      </c>
      <c r="H481" s="2">
        <f t="shared" si="21"/>
        <v>20.899999999999864</v>
      </c>
      <c r="I481" s="3">
        <f t="shared" si="22"/>
        <v>1.8503762726870175E-2</v>
      </c>
    </row>
    <row r="482" spans="2:9" x14ac:dyDescent="0.25">
      <c r="B482" s="1">
        <v>35884</v>
      </c>
      <c r="C482" s="2">
        <v>1124.8499999999999</v>
      </c>
      <c r="D482" s="2">
        <v>1140.5999999999999</v>
      </c>
      <c r="E482" s="2">
        <v>1146.6500000000001</v>
      </c>
      <c r="F482" s="2">
        <v>1122.95</v>
      </c>
      <c r="G482" s="3">
        <f t="shared" si="23"/>
        <v>-1.3592318147937044E-2</v>
      </c>
      <c r="H482" s="2">
        <f t="shared" si="21"/>
        <v>23.700000000000045</v>
      </c>
      <c r="I482" s="3">
        <f t="shared" si="22"/>
        <v>2.0778537611783315E-2</v>
      </c>
    </row>
    <row r="483" spans="2:9" x14ac:dyDescent="0.25">
      <c r="B483" s="1">
        <v>35885</v>
      </c>
      <c r="C483" s="2">
        <v>1116.9000000000001</v>
      </c>
      <c r="D483" s="2">
        <v>1124.75</v>
      </c>
      <c r="E483" s="2">
        <v>1127.5</v>
      </c>
      <c r="F483" s="2">
        <v>1111.8499999999999</v>
      </c>
      <c r="G483" s="3">
        <f t="shared" si="23"/>
        <v>-7.0676090145350701E-3</v>
      </c>
      <c r="H483" s="2">
        <f t="shared" si="21"/>
        <v>15.650000000000091</v>
      </c>
      <c r="I483" s="3">
        <f t="shared" si="22"/>
        <v>1.3914203156257026E-2</v>
      </c>
    </row>
    <row r="484" spans="2:9" x14ac:dyDescent="0.25">
      <c r="B484" s="1">
        <v>35886</v>
      </c>
      <c r="C484" s="2">
        <v>1150.0999999999999</v>
      </c>
      <c r="D484" s="2">
        <v>1117.1500000000001</v>
      </c>
      <c r="E484" s="2">
        <v>1151</v>
      </c>
      <c r="F484" s="2">
        <v>1117.1500000000001</v>
      </c>
      <c r="G484" s="3">
        <f t="shared" si="23"/>
        <v>2.9725132061956927E-2</v>
      </c>
      <c r="H484" s="2">
        <f t="shared" si="21"/>
        <v>33.849999999999909</v>
      </c>
      <c r="I484" s="3">
        <f t="shared" si="22"/>
        <v>3.0300317772904182E-2</v>
      </c>
    </row>
    <row r="485" spans="2:9" x14ac:dyDescent="0.25">
      <c r="B485" s="1">
        <v>35887</v>
      </c>
      <c r="C485" s="2">
        <v>1157.4000000000001</v>
      </c>
      <c r="D485" s="2">
        <v>1150.4000000000001</v>
      </c>
      <c r="E485" s="2">
        <v>1169.55</v>
      </c>
      <c r="F485" s="2">
        <v>1150.4000000000001</v>
      </c>
      <c r="G485" s="3">
        <f t="shared" si="23"/>
        <v>6.3472741500740781E-3</v>
      </c>
      <c r="H485" s="2">
        <f t="shared" si="21"/>
        <v>19.149999999999864</v>
      </c>
      <c r="I485" s="3">
        <f t="shared" si="22"/>
        <v>1.6646383866481103E-2</v>
      </c>
    </row>
    <row r="486" spans="2:9" x14ac:dyDescent="0.25">
      <c r="B486" s="1">
        <v>35888</v>
      </c>
      <c r="C486" s="2">
        <v>1173.45</v>
      </c>
      <c r="D486" s="2">
        <v>1157.9000000000001</v>
      </c>
      <c r="E486" s="2">
        <v>1174.55</v>
      </c>
      <c r="F486" s="2">
        <v>1157.3</v>
      </c>
      <c r="G486" s="3">
        <f t="shared" si="23"/>
        <v>1.386728875064791E-2</v>
      </c>
      <c r="H486" s="2">
        <f t="shared" si="21"/>
        <v>17.25</v>
      </c>
      <c r="I486" s="3">
        <f t="shared" si="22"/>
        <v>1.4897659556092926E-2</v>
      </c>
    </row>
    <row r="487" spans="2:9" x14ac:dyDescent="0.25">
      <c r="B487" s="1">
        <v>35891</v>
      </c>
      <c r="C487" s="2">
        <v>1187.0999999999999</v>
      </c>
      <c r="D487" s="2">
        <v>1173.55</v>
      </c>
      <c r="E487" s="2">
        <v>1191.55</v>
      </c>
      <c r="F487" s="2">
        <v>1173.55</v>
      </c>
      <c r="G487" s="3">
        <f t="shared" si="23"/>
        <v>1.1632366099961544E-2</v>
      </c>
      <c r="H487" s="2">
        <f t="shared" si="21"/>
        <v>18</v>
      </c>
      <c r="I487" s="3">
        <f t="shared" si="22"/>
        <v>1.5338076775595417E-2</v>
      </c>
    </row>
    <row r="488" spans="2:9" x14ac:dyDescent="0.25">
      <c r="B488" s="1">
        <v>35892</v>
      </c>
      <c r="C488" s="2">
        <v>1187.8</v>
      </c>
      <c r="D488" s="2">
        <v>1187.3499999999999</v>
      </c>
      <c r="E488" s="2">
        <v>1199.55</v>
      </c>
      <c r="F488" s="2">
        <v>1184</v>
      </c>
      <c r="G488" s="3">
        <f t="shared" si="23"/>
        <v>5.896723106730839E-4</v>
      </c>
      <c r="H488" s="2">
        <f t="shared" si="21"/>
        <v>15.549999999999955</v>
      </c>
      <c r="I488" s="3">
        <f t="shared" si="22"/>
        <v>1.3096391123089196E-2</v>
      </c>
    </row>
    <row r="489" spans="2:9" x14ac:dyDescent="0.25">
      <c r="B489" s="1">
        <v>35894</v>
      </c>
      <c r="C489" s="2">
        <v>1209.5999999999999</v>
      </c>
      <c r="D489" s="2">
        <v>1189.4000000000001</v>
      </c>
      <c r="E489" s="2">
        <v>1224.25</v>
      </c>
      <c r="F489" s="2">
        <v>1189.4000000000001</v>
      </c>
      <c r="G489" s="3">
        <f t="shared" si="23"/>
        <v>1.8353258124263361E-2</v>
      </c>
      <c r="H489" s="2">
        <f t="shared" si="21"/>
        <v>34.849999999999909</v>
      </c>
      <c r="I489" s="3">
        <f t="shared" si="22"/>
        <v>2.9300487640827228E-2</v>
      </c>
    </row>
    <row r="490" spans="2:9" x14ac:dyDescent="0.25">
      <c r="B490" s="1">
        <v>35895</v>
      </c>
      <c r="C490" s="2">
        <v>1192.4000000000001</v>
      </c>
      <c r="D490" s="2">
        <v>1209.75</v>
      </c>
      <c r="E490" s="2">
        <v>1209.9000000000001</v>
      </c>
      <c r="F490" s="2">
        <v>1189.45</v>
      </c>
      <c r="G490" s="3">
        <f t="shared" si="23"/>
        <v>-1.4219576719576521E-2</v>
      </c>
      <c r="H490" s="2">
        <f t="shared" si="21"/>
        <v>20.450000000000045</v>
      </c>
      <c r="I490" s="3">
        <f t="shared" si="22"/>
        <v>1.690431907418892E-2</v>
      </c>
    </row>
    <row r="491" spans="2:9" x14ac:dyDescent="0.25">
      <c r="B491" s="1">
        <v>35898</v>
      </c>
      <c r="C491" s="2">
        <v>1159.45</v>
      </c>
      <c r="D491" s="2">
        <v>1191.6500000000001</v>
      </c>
      <c r="E491" s="2">
        <v>1191.6500000000001</v>
      </c>
      <c r="F491" s="2">
        <v>1156.8499999999999</v>
      </c>
      <c r="G491" s="3">
        <f t="shared" si="23"/>
        <v>-2.7633344515263336E-2</v>
      </c>
      <c r="H491" s="2">
        <f t="shared" si="21"/>
        <v>34.800000000000182</v>
      </c>
      <c r="I491" s="3">
        <f t="shared" si="22"/>
        <v>2.9203205639239858E-2</v>
      </c>
    </row>
    <row r="492" spans="2:9" x14ac:dyDescent="0.25">
      <c r="B492" s="1">
        <v>35900</v>
      </c>
      <c r="C492" s="2">
        <v>1206.3</v>
      </c>
      <c r="D492" s="2">
        <v>1159.55</v>
      </c>
      <c r="E492" s="2">
        <v>1210.5999999999999</v>
      </c>
      <c r="F492" s="2">
        <v>1159.55</v>
      </c>
      <c r="G492" s="3">
        <f t="shared" si="23"/>
        <v>4.0407089568329724E-2</v>
      </c>
      <c r="H492" s="2">
        <f t="shared" si="21"/>
        <v>51.049999999999955</v>
      </c>
      <c r="I492" s="3">
        <f t="shared" si="22"/>
        <v>4.4025699624854434E-2</v>
      </c>
    </row>
    <row r="493" spans="2:9" x14ac:dyDescent="0.25">
      <c r="B493" s="1">
        <v>35901</v>
      </c>
      <c r="C493" s="2">
        <v>1197.05</v>
      </c>
      <c r="D493" s="2">
        <v>1206.3499999999999</v>
      </c>
      <c r="E493" s="2">
        <v>1215.05</v>
      </c>
      <c r="F493" s="2">
        <v>1194.5</v>
      </c>
      <c r="G493" s="3">
        <f t="shared" si="23"/>
        <v>-7.6680759346763327E-3</v>
      </c>
      <c r="H493" s="2">
        <f t="shared" si="21"/>
        <v>20.549999999999955</v>
      </c>
      <c r="I493" s="3">
        <f t="shared" si="22"/>
        <v>1.7034857213909693E-2</v>
      </c>
    </row>
    <row r="494" spans="2:9" x14ac:dyDescent="0.25">
      <c r="B494" s="1">
        <v>35902</v>
      </c>
      <c r="C494" s="2">
        <v>1210</v>
      </c>
      <c r="D494" s="2">
        <v>1197.05</v>
      </c>
      <c r="E494" s="2">
        <v>1211.8</v>
      </c>
      <c r="F494" s="2">
        <v>1189.75</v>
      </c>
      <c r="G494" s="3">
        <f t="shared" si="23"/>
        <v>1.0818261559667475E-2</v>
      </c>
      <c r="H494" s="2">
        <f t="shared" si="21"/>
        <v>22.049999999999955</v>
      </c>
      <c r="I494" s="3">
        <f t="shared" si="22"/>
        <v>1.8420283196190598E-2</v>
      </c>
    </row>
    <row r="495" spans="2:9" x14ac:dyDescent="0.25">
      <c r="B495" s="1">
        <v>35905</v>
      </c>
      <c r="C495" s="2">
        <v>1207.1500000000001</v>
      </c>
      <c r="D495" s="2">
        <v>1210.05</v>
      </c>
      <c r="E495" s="2">
        <v>1222.55</v>
      </c>
      <c r="F495" s="2">
        <v>1202.2</v>
      </c>
      <c r="G495" s="3">
        <f t="shared" si="23"/>
        <v>-2.3553719008263529E-3</v>
      </c>
      <c r="H495" s="2">
        <f t="shared" si="21"/>
        <v>20.349999999999909</v>
      </c>
      <c r="I495" s="3">
        <f t="shared" si="22"/>
        <v>1.6817486880707333E-2</v>
      </c>
    </row>
    <row r="496" spans="2:9" x14ac:dyDescent="0.25">
      <c r="B496" s="1">
        <v>35906</v>
      </c>
      <c r="C496" s="2">
        <v>1212.75</v>
      </c>
      <c r="D496" s="2">
        <v>1207.2</v>
      </c>
      <c r="E496" s="2">
        <v>1218.95</v>
      </c>
      <c r="F496" s="2">
        <v>1207.2</v>
      </c>
      <c r="G496" s="3">
        <f t="shared" si="23"/>
        <v>4.6390258045809762E-3</v>
      </c>
      <c r="H496" s="2">
        <f t="shared" si="21"/>
        <v>11.75</v>
      </c>
      <c r="I496" s="3">
        <f t="shared" si="22"/>
        <v>9.7332670642809802E-3</v>
      </c>
    </row>
    <row r="497" spans="2:9" x14ac:dyDescent="0.25">
      <c r="B497" s="1">
        <v>35907</v>
      </c>
      <c r="C497" s="2">
        <v>1210.8</v>
      </c>
      <c r="D497" s="2">
        <v>1212.95</v>
      </c>
      <c r="E497" s="2">
        <v>1247.1500000000001</v>
      </c>
      <c r="F497" s="2">
        <v>1208</v>
      </c>
      <c r="G497" s="3">
        <f t="shared" si="23"/>
        <v>-1.6079158936301852E-3</v>
      </c>
      <c r="H497" s="2">
        <f t="shared" si="21"/>
        <v>39.150000000000091</v>
      </c>
      <c r="I497" s="3">
        <f t="shared" si="22"/>
        <v>3.2276680819489749E-2</v>
      </c>
    </row>
    <row r="498" spans="2:9" x14ac:dyDescent="0.25">
      <c r="B498" s="1">
        <v>35908</v>
      </c>
      <c r="C498" s="2">
        <v>1182.0999999999999</v>
      </c>
      <c r="D498" s="2">
        <v>1210.25</v>
      </c>
      <c r="E498" s="2">
        <v>1211.3</v>
      </c>
      <c r="F498" s="2">
        <v>1179.75</v>
      </c>
      <c r="G498" s="3">
        <f t="shared" si="23"/>
        <v>-2.3703336636934247E-2</v>
      </c>
      <c r="H498" s="2">
        <f t="shared" si="21"/>
        <v>31.549999999999955</v>
      </c>
      <c r="I498" s="3">
        <f t="shared" si="22"/>
        <v>2.606899400950213E-2</v>
      </c>
    </row>
    <row r="499" spans="2:9" x14ac:dyDescent="0.25">
      <c r="B499" s="1">
        <v>35909</v>
      </c>
      <c r="C499" s="2">
        <v>1173.8</v>
      </c>
      <c r="D499" s="2">
        <v>1182.1500000000001</v>
      </c>
      <c r="E499" s="2">
        <v>1183.75</v>
      </c>
      <c r="F499" s="2">
        <v>1144.8499999999999</v>
      </c>
      <c r="G499" s="3">
        <f t="shared" si="23"/>
        <v>-7.0214025886135012E-3</v>
      </c>
      <c r="H499" s="2">
        <f t="shared" si="21"/>
        <v>38.900000000000091</v>
      </c>
      <c r="I499" s="3">
        <f t="shared" si="22"/>
        <v>3.2906145582201993E-2</v>
      </c>
    </row>
    <row r="500" spans="2:9" x14ac:dyDescent="0.25">
      <c r="B500" s="1">
        <v>35912</v>
      </c>
      <c r="C500" s="2">
        <v>1164.3499999999999</v>
      </c>
      <c r="D500" s="2">
        <v>1173.8499999999999</v>
      </c>
      <c r="E500" s="2">
        <v>1180.2</v>
      </c>
      <c r="F500" s="2">
        <v>1161.2</v>
      </c>
      <c r="G500" s="3">
        <f t="shared" si="23"/>
        <v>-8.0507752598398818E-3</v>
      </c>
      <c r="H500" s="2">
        <f t="shared" si="21"/>
        <v>19</v>
      </c>
      <c r="I500" s="3">
        <f t="shared" si="22"/>
        <v>1.6186054436256762E-2</v>
      </c>
    </row>
    <row r="501" spans="2:9" x14ac:dyDescent="0.25">
      <c r="B501" s="1">
        <v>35913</v>
      </c>
      <c r="C501" s="2">
        <v>1146.8</v>
      </c>
      <c r="D501" s="2">
        <v>1164.0999999999999</v>
      </c>
      <c r="E501" s="2">
        <v>1164.3</v>
      </c>
      <c r="F501" s="2">
        <v>1144.55</v>
      </c>
      <c r="G501" s="3">
        <f t="shared" si="23"/>
        <v>-1.5072787392107156E-2</v>
      </c>
      <c r="H501" s="2">
        <f t="shared" si="21"/>
        <v>19.75</v>
      </c>
      <c r="I501" s="3">
        <f t="shared" si="22"/>
        <v>1.6965896400652866E-2</v>
      </c>
    </row>
    <row r="502" spans="2:9" x14ac:dyDescent="0.25">
      <c r="B502" s="1">
        <v>35914</v>
      </c>
      <c r="C502" s="2">
        <v>1151.0999999999999</v>
      </c>
      <c r="D502" s="2">
        <v>1151.3</v>
      </c>
      <c r="E502" s="2">
        <v>1178.05</v>
      </c>
      <c r="F502" s="2">
        <v>1147</v>
      </c>
      <c r="G502" s="3">
        <f t="shared" si="23"/>
        <v>3.7495640041855793E-3</v>
      </c>
      <c r="H502" s="2">
        <f t="shared" si="21"/>
        <v>31.049999999999955</v>
      </c>
      <c r="I502" s="3">
        <f t="shared" si="22"/>
        <v>2.69695127247459E-2</v>
      </c>
    </row>
    <row r="503" spans="2:9" x14ac:dyDescent="0.25">
      <c r="B503" s="1">
        <v>35915</v>
      </c>
      <c r="C503" s="2">
        <v>1159.3499999999999</v>
      </c>
      <c r="D503" s="2">
        <v>1151.4000000000001</v>
      </c>
      <c r="E503" s="2">
        <v>1161</v>
      </c>
      <c r="F503" s="2">
        <v>1137.8</v>
      </c>
      <c r="G503" s="3">
        <f t="shared" si="23"/>
        <v>7.167057597081028E-3</v>
      </c>
      <c r="H503" s="2">
        <f t="shared" si="21"/>
        <v>23.200000000000045</v>
      </c>
      <c r="I503" s="3">
        <f t="shared" si="22"/>
        <v>2.0149383359388609E-2</v>
      </c>
    </row>
    <row r="504" spans="2:9" x14ac:dyDescent="0.25">
      <c r="B504" s="1">
        <v>35919</v>
      </c>
      <c r="C504" s="2">
        <v>1185.1500000000001</v>
      </c>
      <c r="D504" s="2">
        <v>1159.8</v>
      </c>
      <c r="E504" s="2">
        <v>1185.75</v>
      </c>
      <c r="F504" s="2">
        <v>1159.8</v>
      </c>
      <c r="G504" s="3">
        <f t="shared" si="23"/>
        <v>2.2253849139604265E-2</v>
      </c>
      <c r="H504" s="2">
        <f t="shared" si="21"/>
        <v>25.950000000000045</v>
      </c>
      <c r="I504" s="3">
        <f t="shared" si="22"/>
        <v>2.2374547335747584E-2</v>
      </c>
    </row>
    <row r="505" spans="2:9" x14ac:dyDescent="0.25">
      <c r="B505" s="1">
        <v>35920</v>
      </c>
      <c r="C505" s="2">
        <v>1188.0999999999999</v>
      </c>
      <c r="D505" s="2">
        <v>1185.2</v>
      </c>
      <c r="E505" s="2">
        <v>1191.25</v>
      </c>
      <c r="F505" s="2">
        <v>1177.3</v>
      </c>
      <c r="G505" s="3">
        <f t="shared" si="23"/>
        <v>2.489136396236713E-3</v>
      </c>
      <c r="H505" s="2">
        <f t="shared" si="21"/>
        <v>13.950000000000045</v>
      </c>
      <c r="I505" s="3">
        <f t="shared" si="22"/>
        <v>1.1770165372932876E-2</v>
      </c>
    </row>
    <row r="506" spans="2:9" x14ac:dyDescent="0.25">
      <c r="B506" s="1">
        <v>35921</v>
      </c>
      <c r="C506" s="2">
        <v>1172.45</v>
      </c>
      <c r="D506" s="2">
        <v>1188</v>
      </c>
      <c r="E506" s="2">
        <v>1196.7</v>
      </c>
      <c r="F506" s="2">
        <v>1169.1500000000001</v>
      </c>
      <c r="G506" s="3">
        <f t="shared" si="23"/>
        <v>-1.3172291894621546E-2</v>
      </c>
      <c r="H506" s="2">
        <f t="shared" si="21"/>
        <v>27.549999999999955</v>
      </c>
      <c r="I506" s="3">
        <f t="shared" si="22"/>
        <v>2.3190235690235653E-2</v>
      </c>
    </row>
    <row r="507" spans="2:9" x14ac:dyDescent="0.25">
      <c r="B507" s="1">
        <v>35923</v>
      </c>
      <c r="C507" s="2">
        <v>1161.55</v>
      </c>
      <c r="D507" s="2">
        <v>1172.0999999999999</v>
      </c>
      <c r="E507" s="2">
        <v>1172.2</v>
      </c>
      <c r="F507" s="2">
        <v>1157.3</v>
      </c>
      <c r="G507" s="3">
        <f t="shared" si="23"/>
        <v>-9.29677171734411E-3</v>
      </c>
      <c r="H507" s="2">
        <f t="shared" si="21"/>
        <v>14.900000000000091</v>
      </c>
      <c r="I507" s="3">
        <f t="shared" si="22"/>
        <v>1.2712225919290242E-2</v>
      </c>
    </row>
    <row r="508" spans="2:9" x14ac:dyDescent="0.25">
      <c r="B508" s="1">
        <v>35926</v>
      </c>
      <c r="C508" s="2">
        <v>1160.3</v>
      </c>
      <c r="D508" s="2">
        <v>1162.2</v>
      </c>
      <c r="E508" s="2">
        <v>1162.95</v>
      </c>
      <c r="F508" s="2">
        <v>1156.45</v>
      </c>
      <c r="G508" s="3">
        <f t="shared" si="23"/>
        <v>-1.0761482501829844E-3</v>
      </c>
      <c r="H508" s="2">
        <f t="shared" si="21"/>
        <v>6.5</v>
      </c>
      <c r="I508" s="3">
        <f t="shared" si="22"/>
        <v>5.5928411633109614E-3</v>
      </c>
    </row>
    <row r="509" spans="2:9" x14ac:dyDescent="0.25">
      <c r="B509" s="1">
        <v>35927</v>
      </c>
      <c r="C509" s="2">
        <v>1132.25</v>
      </c>
      <c r="D509" s="2">
        <v>1160.1500000000001</v>
      </c>
      <c r="E509" s="2">
        <v>1160.1500000000001</v>
      </c>
      <c r="F509" s="2">
        <v>1100.0999999999999</v>
      </c>
      <c r="G509" s="3">
        <f t="shared" si="23"/>
        <v>-2.4174782383866167E-2</v>
      </c>
      <c r="H509" s="2">
        <f t="shared" si="21"/>
        <v>60.050000000000182</v>
      </c>
      <c r="I509" s="3">
        <f t="shared" si="22"/>
        <v>5.1760548204973646E-2</v>
      </c>
    </row>
    <row r="510" spans="2:9" x14ac:dyDescent="0.25">
      <c r="B510" s="1">
        <v>35928</v>
      </c>
      <c r="C510" s="2">
        <v>1094.0999999999999</v>
      </c>
      <c r="D510" s="2">
        <v>1132.0999999999999</v>
      </c>
      <c r="E510" s="2">
        <v>1132.0999999999999</v>
      </c>
      <c r="F510" s="2">
        <v>1091.25</v>
      </c>
      <c r="G510" s="3">
        <f t="shared" si="23"/>
        <v>-3.3693972179289156E-2</v>
      </c>
      <c r="H510" s="2">
        <f t="shared" si="21"/>
        <v>40.849999999999909</v>
      </c>
      <c r="I510" s="3">
        <f t="shared" si="22"/>
        <v>3.608338485999462E-2</v>
      </c>
    </row>
    <row r="511" spans="2:9" x14ac:dyDescent="0.25">
      <c r="B511" s="1">
        <v>35929</v>
      </c>
      <c r="C511" s="2">
        <v>1118.6500000000001</v>
      </c>
      <c r="D511" s="2">
        <v>1094.05</v>
      </c>
      <c r="E511" s="2">
        <v>1121.75</v>
      </c>
      <c r="F511" s="2">
        <v>1081.5999999999999</v>
      </c>
      <c r="G511" s="3">
        <f t="shared" si="23"/>
        <v>2.243853395484896E-2</v>
      </c>
      <c r="H511" s="2">
        <f t="shared" si="21"/>
        <v>40.150000000000091</v>
      </c>
      <c r="I511" s="3">
        <f t="shared" si="22"/>
        <v>3.6698505552762758E-2</v>
      </c>
    </row>
    <row r="512" spans="2:9" x14ac:dyDescent="0.25">
      <c r="B512" s="1">
        <v>35930</v>
      </c>
      <c r="C512" s="2">
        <v>1110.0999999999999</v>
      </c>
      <c r="D512" s="2">
        <v>1119.1500000000001</v>
      </c>
      <c r="E512" s="2">
        <v>1130.4000000000001</v>
      </c>
      <c r="F512" s="2">
        <v>1104.2</v>
      </c>
      <c r="G512" s="3">
        <f t="shared" si="23"/>
        <v>-7.6431412863721127E-3</v>
      </c>
      <c r="H512" s="2">
        <f t="shared" si="21"/>
        <v>26.200000000000045</v>
      </c>
      <c r="I512" s="3">
        <f t="shared" si="22"/>
        <v>2.3410624134387745E-2</v>
      </c>
    </row>
    <row r="513" spans="2:9" x14ac:dyDescent="0.25">
      <c r="B513" s="1">
        <v>35933</v>
      </c>
      <c r="C513" s="2">
        <v>1119.8</v>
      </c>
      <c r="D513" s="2">
        <v>1110.6500000000001</v>
      </c>
      <c r="E513" s="2">
        <v>1130</v>
      </c>
      <c r="F513" s="2">
        <v>1110.6500000000001</v>
      </c>
      <c r="G513" s="3">
        <f t="shared" si="23"/>
        <v>8.7379515358976256E-3</v>
      </c>
      <c r="H513" s="2">
        <f t="shared" si="21"/>
        <v>19.349999999999909</v>
      </c>
      <c r="I513" s="3">
        <f t="shared" si="22"/>
        <v>1.7422230225543518E-2</v>
      </c>
    </row>
    <row r="514" spans="2:9" x14ac:dyDescent="0.25">
      <c r="B514" s="1">
        <v>35934</v>
      </c>
      <c r="C514" s="2">
        <v>1121.75</v>
      </c>
      <c r="D514" s="2">
        <v>1119.8</v>
      </c>
      <c r="E514" s="2">
        <v>1125.1500000000001</v>
      </c>
      <c r="F514" s="2">
        <v>1116.2</v>
      </c>
      <c r="G514" s="3">
        <f t="shared" si="23"/>
        <v>1.7413823897125535E-3</v>
      </c>
      <c r="H514" s="2">
        <f t="shared" si="21"/>
        <v>8.9500000000000455</v>
      </c>
      <c r="I514" s="3">
        <f t="shared" si="22"/>
        <v>7.9924986604751266E-3</v>
      </c>
    </row>
    <row r="515" spans="2:9" x14ac:dyDescent="0.25">
      <c r="B515" s="1">
        <v>35935</v>
      </c>
      <c r="C515" s="2">
        <v>1141.3</v>
      </c>
      <c r="D515" s="2">
        <v>1121.7</v>
      </c>
      <c r="E515" s="2">
        <v>1142.95</v>
      </c>
      <c r="F515" s="2">
        <v>1121.7</v>
      </c>
      <c r="G515" s="3">
        <f t="shared" si="23"/>
        <v>1.7428125696456354E-2</v>
      </c>
      <c r="H515" s="2">
        <f t="shared" si="21"/>
        <v>21.25</v>
      </c>
      <c r="I515" s="3">
        <f t="shared" si="22"/>
        <v>1.8944459302843896E-2</v>
      </c>
    </row>
    <row r="516" spans="2:9" x14ac:dyDescent="0.25">
      <c r="B516" s="1">
        <v>35936</v>
      </c>
      <c r="C516" s="2">
        <v>1126.1500000000001</v>
      </c>
      <c r="D516" s="2">
        <v>1141.6500000000001</v>
      </c>
      <c r="E516" s="2">
        <v>1146.3499999999999</v>
      </c>
      <c r="F516" s="2">
        <v>1120.3499999999999</v>
      </c>
      <c r="G516" s="3">
        <f t="shared" si="23"/>
        <v>-1.327433628318575E-2</v>
      </c>
      <c r="H516" s="2">
        <f t="shared" si="21"/>
        <v>26</v>
      </c>
      <c r="I516" s="3">
        <f t="shared" si="22"/>
        <v>2.2774055095694825E-2</v>
      </c>
    </row>
    <row r="517" spans="2:9" x14ac:dyDescent="0.25">
      <c r="B517" s="1">
        <v>35937</v>
      </c>
      <c r="C517" s="2">
        <v>1126.55</v>
      </c>
      <c r="D517" s="2">
        <v>1126.0999999999999</v>
      </c>
      <c r="E517" s="2">
        <v>1131.25</v>
      </c>
      <c r="F517" s="2">
        <v>1118.5</v>
      </c>
      <c r="G517" s="3">
        <f t="shared" si="23"/>
        <v>3.5519246991944087E-4</v>
      </c>
      <c r="H517" s="2">
        <f t="shared" ref="H517:H580" si="24">E517-F517</f>
        <v>12.75</v>
      </c>
      <c r="I517" s="3">
        <f t="shared" si="22"/>
        <v>1.1322262676494095E-2</v>
      </c>
    </row>
    <row r="518" spans="2:9" x14ac:dyDescent="0.25">
      <c r="B518" s="1">
        <v>35940</v>
      </c>
      <c r="C518" s="2">
        <v>1122.95</v>
      </c>
      <c r="D518" s="2">
        <v>1125.9000000000001</v>
      </c>
      <c r="E518" s="2">
        <v>1127</v>
      </c>
      <c r="F518" s="2">
        <v>1111.2</v>
      </c>
      <c r="G518" s="3">
        <f t="shared" si="23"/>
        <v>-3.1955971772223979E-3</v>
      </c>
      <c r="H518" s="2">
        <f t="shared" si="24"/>
        <v>15.799999999999955</v>
      </c>
      <c r="I518" s="3">
        <f t="shared" ref="I518:I581" si="25">H518/D518</f>
        <v>1.4033217870148284E-2</v>
      </c>
    </row>
    <row r="519" spans="2:9" x14ac:dyDescent="0.25">
      <c r="B519" s="1">
        <v>35941</v>
      </c>
      <c r="C519" s="2">
        <v>1104.45</v>
      </c>
      <c r="D519" s="2">
        <v>1123.1500000000001</v>
      </c>
      <c r="E519" s="2">
        <v>1123.1500000000001</v>
      </c>
      <c r="F519" s="2">
        <v>1101.55</v>
      </c>
      <c r="G519" s="3">
        <f t="shared" ref="G519:G582" si="26">C519/C518-1</f>
        <v>-1.6474464579901205E-2</v>
      </c>
      <c r="H519" s="2">
        <f t="shared" si="24"/>
        <v>21.600000000000136</v>
      </c>
      <c r="I519" s="3">
        <f t="shared" si="25"/>
        <v>1.9231625339447212E-2</v>
      </c>
    </row>
    <row r="520" spans="2:9" x14ac:dyDescent="0.25">
      <c r="B520" s="1">
        <v>35942</v>
      </c>
      <c r="C520" s="2">
        <v>1090.95</v>
      </c>
      <c r="D520" s="2">
        <v>1104.05</v>
      </c>
      <c r="E520" s="2">
        <v>1107.2</v>
      </c>
      <c r="F520" s="2">
        <v>1089</v>
      </c>
      <c r="G520" s="3">
        <f t="shared" si="26"/>
        <v>-1.2223278554936878E-2</v>
      </c>
      <c r="H520" s="2">
        <f t="shared" si="24"/>
        <v>18.200000000000045</v>
      </c>
      <c r="I520" s="3">
        <f t="shared" si="25"/>
        <v>1.6484760653955932E-2</v>
      </c>
    </row>
    <row r="521" spans="2:9" x14ac:dyDescent="0.25">
      <c r="B521" s="1">
        <v>35943</v>
      </c>
      <c r="C521" s="2">
        <v>1075.55</v>
      </c>
      <c r="D521" s="2">
        <v>1090.5</v>
      </c>
      <c r="E521" s="2">
        <v>1097</v>
      </c>
      <c r="F521" s="2">
        <v>1073.3</v>
      </c>
      <c r="G521" s="3">
        <f t="shared" si="26"/>
        <v>-1.4116137311517618E-2</v>
      </c>
      <c r="H521" s="2">
        <f t="shared" si="24"/>
        <v>23.700000000000045</v>
      </c>
      <c r="I521" s="3">
        <f t="shared" si="25"/>
        <v>2.1733149931224251E-2</v>
      </c>
    </row>
    <row r="522" spans="2:9" x14ac:dyDescent="0.25">
      <c r="B522" s="1">
        <v>35944</v>
      </c>
      <c r="C522" s="2">
        <v>1063.1500000000001</v>
      </c>
      <c r="D522" s="2">
        <v>1075.3499999999999</v>
      </c>
      <c r="E522" s="2">
        <v>1077.1500000000001</v>
      </c>
      <c r="F522" s="2">
        <v>1037.95</v>
      </c>
      <c r="G522" s="3">
        <f t="shared" si="26"/>
        <v>-1.1528985170377815E-2</v>
      </c>
      <c r="H522" s="2">
        <f t="shared" si="24"/>
        <v>39.200000000000045</v>
      </c>
      <c r="I522" s="3">
        <f t="shared" si="25"/>
        <v>3.6453247779792669E-2</v>
      </c>
    </row>
    <row r="523" spans="2:9" x14ac:dyDescent="0.25">
      <c r="B523" s="1">
        <v>35947</v>
      </c>
      <c r="C523" s="2">
        <v>1053.75</v>
      </c>
      <c r="D523" s="2">
        <v>1064.0999999999999</v>
      </c>
      <c r="E523" s="2">
        <v>1100</v>
      </c>
      <c r="F523" s="2">
        <v>1049.4000000000001</v>
      </c>
      <c r="G523" s="3">
        <f t="shared" si="26"/>
        <v>-8.8416498142314115E-3</v>
      </c>
      <c r="H523" s="2">
        <f t="shared" si="24"/>
        <v>50.599999999999909</v>
      </c>
      <c r="I523" s="3">
        <f t="shared" si="25"/>
        <v>4.7551921811859708E-2</v>
      </c>
    </row>
    <row r="524" spans="2:9" x14ac:dyDescent="0.25">
      <c r="B524" s="1">
        <v>35948</v>
      </c>
      <c r="C524" s="2">
        <v>1019.6</v>
      </c>
      <c r="D524" s="2">
        <v>1053.4000000000001</v>
      </c>
      <c r="E524" s="2">
        <v>1053.6500000000001</v>
      </c>
      <c r="F524" s="2">
        <v>1016.25</v>
      </c>
      <c r="G524" s="3">
        <f t="shared" si="26"/>
        <v>-3.2408066429418736E-2</v>
      </c>
      <c r="H524" s="2">
        <f t="shared" si="24"/>
        <v>37.400000000000091</v>
      </c>
      <c r="I524" s="3">
        <f t="shared" si="25"/>
        <v>3.5504082020125394E-2</v>
      </c>
    </row>
    <row r="525" spans="2:9" x14ac:dyDescent="0.25">
      <c r="B525" s="1">
        <v>35949</v>
      </c>
      <c r="C525" s="2">
        <v>1033.9000000000001</v>
      </c>
      <c r="D525" s="2">
        <v>1019.35</v>
      </c>
      <c r="E525" s="2">
        <v>1037.3</v>
      </c>
      <c r="F525" s="2">
        <v>1009.95</v>
      </c>
      <c r="G525" s="3">
        <f t="shared" si="26"/>
        <v>1.402510788544542E-2</v>
      </c>
      <c r="H525" s="2">
        <f t="shared" si="24"/>
        <v>27.349999999999909</v>
      </c>
      <c r="I525" s="3">
        <f t="shared" si="25"/>
        <v>2.6830823564035815E-2</v>
      </c>
    </row>
    <row r="526" spans="2:9" x14ac:dyDescent="0.25">
      <c r="B526" s="1">
        <v>35950</v>
      </c>
      <c r="C526" s="2">
        <v>1027</v>
      </c>
      <c r="D526" s="2">
        <v>1034.0999999999999</v>
      </c>
      <c r="E526" s="2">
        <v>1044.4000000000001</v>
      </c>
      <c r="F526" s="2">
        <v>1023.35</v>
      </c>
      <c r="G526" s="3">
        <f t="shared" si="26"/>
        <v>-6.6737595512139647E-3</v>
      </c>
      <c r="H526" s="2">
        <f t="shared" si="24"/>
        <v>21.050000000000068</v>
      </c>
      <c r="I526" s="3">
        <f t="shared" si="25"/>
        <v>2.0355865003384654E-2</v>
      </c>
    </row>
    <row r="527" spans="2:9" x14ac:dyDescent="0.25">
      <c r="B527" s="1">
        <v>35951</v>
      </c>
      <c r="C527">
        <v>993.5</v>
      </c>
      <c r="D527" s="2">
        <v>1026.5999999999999</v>
      </c>
      <c r="E527" s="2">
        <v>1026.5999999999999</v>
      </c>
      <c r="F527">
        <v>989.2</v>
      </c>
      <c r="G527" s="3">
        <f t="shared" si="26"/>
        <v>-3.2619279454722538E-2</v>
      </c>
      <c r="H527" s="2">
        <f t="shared" si="24"/>
        <v>37.399999999999864</v>
      </c>
      <c r="I527" s="3">
        <f t="shared" si="25"/>
        <v>3.6430937073835837E-2</v>
      </c>
    </row>
    <row r="528" spans="2:9" x14ac:dyDescent="0.25">
      <c r="B528" s="1">
        <v>35954</v>
      </c>
      <c r="C528">
        <v>968.6</v>
      </c>
      <c r="D528">
        <v>993.5</v>
      </c>
      <c r="E528" s="2">
        <v>1003.15</v>
      </c>
      <c r="F528">
        <v>936.55</v>
      </c>
      <c r="G528" s="3">
        <f t="shared" si="26"/>
        <v>-2.5062908907901305E-2</v>
      </c>
      <c r="H528" s="2">
        <f t="shared" si="24"/>
        <v>66.600000000000023</v>
      </c>
      <c r="I528" s="3">
        <f t="shared" si="25"/>
        <v>6.7035732259687994E-2</v>
      </c>
    </row>
    <row r="529" spans="2:9" x14ac:dyDescent="0.25">
      <c r="B529" s="1">
        <v>35955</v>
      </c>
      <c r="C529">
        <v>995.05</v>
      </c>
      <c r="D529">
        <v>968.9</v>
      </c>
      <c r="E529" s="2">
        <v>1002.45</v>
      </c>
      <c r="F529">
        <v>964.7</v>
      </c>
      <c r="G529" s="3">
        <f t="shared" si="26"/>
        <v>2.7307454057402314E-2</v>
      </c>
      <c r="H529" s="2">
        <f t="shared" si="24"/>
        <v>37.75</v>
      </c>
      <c r="I529" s="3">
        <f t="shared" si="25"/>
        <v>3.8961709154711532E-2</v>
      </c>
    </row>
    <row r="530" spans="2:9" x14ac:dyDescent="0.25">
      <c r="B530" s="1">
        <v>35956</v>
      </c>
      <c r="C530">
        <v>962.9</v>
      </c>
      <c r="D530">
        <v>994.55</v>
      </c>
      <c r="E530">
        <v>998.65</v>
      </c>
      <c r="F530">
        <v>959.6</v>
      </c>
      <c r="G530" s="3">
        <f t="shared" si="26"/>
        <v>-3.2309934174162058E-2</v>
      </c>
      <c r="H530" s="2">
        <f t="shared" si="24"/>
        <v>39.049999999999955</v>
      </c>
      <c r="I530" s="3">
        <f t="shared" si="25"/>
        <v>3.9263988738625466E-2</v>
      </c>
    </row>
    <row r="531" spans="2:9" x14ac:dyDescent="0.25">
      <c r="B531" s="1">
        <v>35957</v>
      </c>
      <c r="C531">
        <v>961.35</v>
      </c>
      <c r="D531">
        <v>962.15</v>
      </c>
      <c r="E531">
        <v>964.65</v>
      </c>
      <c r="F531">
        <v>929.95</v>
      </c>
      <c r="G531" s="3">
        <f t="shared" si="26"/>
        <v>-1.6097206355799587E-3</v>
      </c>
      <c r="H531" s="2">
        <f t="shared" si="24"/>
        <v>34.699999999999932</v>
      </c>
      <c r="I531" s="3">
        <f t="shared" si="25"/>
        <v>3.6065062620173498E-2</v>
      </c>
    </row>
    <row r="532" spans="2:9" x14ac:dyDescent="0.25">
      <c r="B532" s="1">
        <v>35958</v>
      </c>
      <c r="C532">
        <v>971.15</v>
      </c>
      <c r="D532">
        <v>961.6</v>
      </c>
      <c r="E532">
        <v>987.3</v>
      </c>
      <c r="F532">
        <v>961.6</v>
      </c>
      <c r="G532" s="3">
        <f t="shared" si="26"/>
        <v>1.0193998023612538E-2</v>
      </c>
      <c r="H532" s="2">
        <f t="shared" si="24"/>
        <v>25.699999999999932</v>
      </c>
      <c r="I532" s="3">
        <f t="shared" si="25"/>
        <v>2.672628951747081E-2</v>
      </c>
    </row>
    <row r="533" spans="2:9" x14ac:dyDescent="0.25">
      <c r="B533" s="1">
        <v>35961</v>
      </c>
      <c r="C533">
        <v>916.8</v>
      </c>
      <c r="D533">
        <v>970.95</v>
      </c>
      <c r="E533">
        <v>970.95</v>
      </c>
      <c r="F533">
        <v>914.3</v>
      </c>
      <c r="G533" s="3">
        <f t="shared" si="26"/>
        <v>-5.5964578077536964E-2</v>
      </c>
      <c r="H533" s="2">
        <f t="shared" si="24"/>
        <v>56.650000000000091</v>
      </c>
      <c r="I533" s="3">
        <f t="shared" si="25"/>
        <v>5.8344919923786071E-2</v>
      </c>
    </row>
    <row r="534" spans="2:9" x14ac:dyDescent="0.25">
      <c r="B534" s="1">
        <v>35962</v>
      </c>
      <c r="C534">
        <v>910.1</v>
      </c>
      <c r="D534">
        <v>916.25</v>
      </c>
      <c r="E534">
        <v>916.25</v>
      </c>
      <c r="F534">
        <v>862.15</v>
      </c>
      <c r="G534" s="3">
        <f t="shared" si="26"/>
        <v>-7.3080279232110579E-3</v>
      </c>
      <c r="H534" s="2">
        <f t="shared" si="24"/>
        <v>54.100000000000023</v>
      </c>
      <c r="I534" s="3">
        <f t="shared" si="25"/>
        <v>5.9045020463847228E-2</v>
      </c>
    </row>
    <row r="535" spans="2:9" x14ac:dyDescent="0.25">
      <c r="B535" s="1">
        <v>35963</v>
      </c>
      <c r="C535">
        <v>976.5</v>
      </c>
      <c r="D535">
        <v>910.9</v>
      </c>
      <c r="E535">
        <v>980.3</v>
      </c>
      <c r="F535">
        <v>910.9</v>
      </c>
      <c r="G535" s="3">
        <f t="shared" si="26"/>
        <v>7.2959015492803037E-2</v>
      </c>
      <c r="H535" s="2">
        <f t="shared" si="24"/>
        <v>69.399999999999977</v>
      </c>
      <c r="I535" s="3">
        <f t="shared" si="25"/>
        <v>7.6188385113623872E-2</v>
      </c>
    </row>
    <row r="536" spans="2:9" x14ac:dyDescent="0.25">
      <c r="B536" s="1">
        <v>35964</v>
      </c>
      <c r="C536">
        <v>956.15</v>
      </c>
      <c r="D536">
        <v>977</v>
      </c>
      <c r="E536">
        <v>990.15</v>
      </c>
      <c r="F536">
        <v>952.65</v>
      </c>
      <c r="G536" s="3">
        <f t="shared" si="26"/>
        <v>-2.0839733742959554E-2</v>
      </c>
      <c r="H536" s="2">
        <f t="shared" si="24"/>
        <v>37.5</v>
      </c>
      <c r="I536" s="3">
        <f t="shared" si="25"/>
        <v>3.8382804503582398E-2</v>
      </c>
    </row>
    <row r="537" spans="2:9" x14ac:dyDescent="0.25">
      <c r="B537" s="1">
        <v>35965</v>
      </c>
      <c r="C537">
        <v>913.25</v>
      </c>
      <c r="D537">
        <v>955.05</v>
      </c>
      <c r="E537">
        <v>955.05</v>
      </c>
      <c r="F537">
        <v>910.55</v>
      </c>
      <c r="G537" s="3">
        <f t="shared" si="26"/>
        <v>-4.4867437117607101E-2</v>
      </c>
      <c r="H537" s="2">
        <f t="shared" si="24"/>
        <v>44.5</v>
      </c>
      <c r="I537" s="3">
        <f t="shared" si="25"/>
        <v>4.6594419140359146E-2</v>
      </c>
    </row>
    <row r="538" spans="2:9" x14ac:dyDescent="0.25">
      <c r="B538" s="1">
        <v>35968</v>
      </c>
      <c r="C538">
        <v>880.2</v>
      </c>
      <c r="D538">
        <v>912.9</v>
      </c>
      <c r="E538">
        <v>912.9</v>
      </c>
      <c r="F538">
        <v>853.3</v>
      </c>
      <c r="G538" s="3">
        <f t="shared" si="26"/>
        <v>-3.6189433342458166E-2</v>
      </c>
      <c r="H538" s="2">
        <f t="shared" si="24"/>
        <v>59.600000000000023</v>
      </c>
      <c r="I538" s="3">
        <f t="shared" si="25"/>
        <v>6.528644977544093E-2</v>
      </c>
    </row>
    <row r="539" spans="2:9" x14ac:dyDescent="0.25">
      <c r="B539" s="1">
        <v>35969</v>
      </c>
      <c r="C539">
        <v>875.6</v>
      </c>
      <c r="D539">
        <v>882.2</v>
      </c>
      <c r="E539">
        <v>882.2</v>
      </c>
      <c r="F539">
        <v>853.05</v>
      </c>
      <c r="G539" s="3">
        <f t="shared" si="26"/>
        <v>-5.2260849806862186E-3</v>
      </c>
      <c r="H539" s="2">
        <f t="shared" si="24"/>
        <v>29.150000000000091</v>
      </c>
      <c r="I539" s="3">
        <f t="shared" si="25"/>
        <v>3.3042394014962694E-2</v>
      </c>
    </row>
    <row r="540" spans="2:9" x14ac:dyDescent="0.25">
      <c r="B540" s="1">
        <v>35970</v>
      </c>
      <c r="C540">
        <v>908.5</v>
      </c>
      <c r="D540">
        <v>875.45</v>
      </c>
      <c r="E540">
        <v>910.05</v>
      </c>
      <c r="F540">
        <v>873.6</v>
      </c>
      <c r="G540" s="3">
        <f t="shared" si="26"/>
        <v>3.7574234810415774E-2</v>
      </c>
      <c r="H540" s="2">
        <f t="shared" si="24"/>
        <v>36.449999999999932</v>
      </c>
      <c r="I540" s="3">
        <f t="shared" si="25"/>
        <v>4.1635730195899175E-2</v>
      </c>
    </row>
    <row r="541" spans="2:9" x14ac:dyDescent="0.25">
      <c r="B541" s="1">
        <v>35971</v>
      </c>
      <c r="C541">
        <v>932.15</v>
      </c>
      <c r="D541">
        <v>908.65</v>
      </c>
      <c r="E541">
        <v>939.15</v>
      </c>
      <c r="F541">
        <v>908.65</v>
      </c>
      <c r="G541" s="3">
        <f t="shared" si="26"/>
        <v>2.6031920748486481E-2</v>
      </c>
      <c r="H541" s="2">
        <f t="shared" si="24"/>
        <v>30.5</v>
      </c>
      <c r="I541" s="3">
        <f t="shared" si="25"/>
        <v>3.3566279645628132E-2</v>
      </c>
    </row>
    <row r="542" spans="2:9" x14ac:dyDescent="0.25">
      <c r="B542" s="1">
        <v>35972</v>
      </c>
      <c r="C542">
        <v>924.35</v>
      </c>
      <c r="D542">
        <v>931.8</v>
      </c>
      <c r="E542">
        <v>932.5</v>
      </c>
      <c r="F542">
        <v>914.45</v>
      </c>
      <c r="G542" s="3">
        <f t="shared" si="26"/>
        <v>-8.367751971249171E-3</v>
      </c>
      <c r="H542" s="2">
        <f t="shared" si="24"/>
        <v>18.049999999999955</v>
      </c>
      <c r="I542" s="3">
        <f t="shared" si="25"/>
        <v>1.9371109680188833E-2</v>
      </c>
    </row>
    <row r="543" spans="2:9" x14ac:dyDescent="0.25">
      <c r="B543" s="1">
        <v>35975</v>
      </c>
      <c r="C543">
        <v>949.1</v>
      </c>
      <c r="D543">
        <v>923.2</v>
      </c>
      <c r="E543">
        <v>951.2</v>
      </c>
      <c r="F543">
        <v>916.65</v>
      </c>
      <c r="G543" s="3">
        <f t="shared" si="26"/>
        <v>2.6775572023584049E-2</v>
      </c>
      <c r="H543" s="2">
        <f t="shared" si="24"/>
        <v>34.550000000000068</v>
      </c>
      <c r="I543" s="3">
        <f t="shared" si="25"/>
        <v>3.7424176776429882E-2</v>
      </c>
    </row>
    <row r="544" spans="2:9" x14ac:dyDescent="0.25">
      <c r="B544" s="1">
        <v>35976</v>
      </c>
      <c r="C544">
        <v>941.65</v>
      </c>
      <c r="D544">
        <v>949.45</v>
      </c>
      <c r="E544">
        <v>952.75</v>
      </c>
      <c r="F544">
        <v>933</v>
      </c>
      <c r="G544" s="3">
        <f t="shared" si="26"/>
        <v>-7.8495416710568922E-3</v>
      </c>
      <c r="H544" s="2">
        <f t="shared" si="24"/>
        <v>19.75</v>
      </c>
      <c r="I544" s="3">
        <f t="shared" si="25"/>
        <v>2.0801516667544366E-2</v>
      </c>
    </row>
    <row r="545" spans="2:9" x14ac:dyDescent="0.25">
      <c r="B545" s="1">
        <v>35977</v>
      </c>
      <c r="C545">
        <v>942.25</v>
      </c>
      <c r="D545">
        <v>941.6</v>
      </c>
      <c r="E545">
        <v>945.55</v>
      </c>
      <c r="F545">
        <v>916.5</v>
      </c>
      <c r="G545" s="3">
        <f t="shared" si="26"/>
        <v>6.3717941910468312E-4</v>
      </c>
      <c r="H545" s="2">
        <f t="shared" si="24"/>
        <v>29.049999999999955</v>
      </c>
      <c r="I545" s="3">
        <f t="shared" si="25"/>
        <v>3.0851741716227649E-2</v>
      </c>
    </row>
    <row r="546" spans="2:9" x14ac:dyDescent="0.25">
      <c r="B546" s="1">
        <v>35978</v>
      </c>
      <c r="C546">
        <v>919.9</v>
      </c>
      <c r="D546">
        <v>941.65</v>
      </c>
      <c r="E546">
        <v>941.65</v>
      </c>
      <c r="F546">
        <v>918.1</v>
      </c>
      <c r="G546" s="3">
        <f t="shared" si="26"/>
        <v>-2.3719819580790724E-2</v>
      </c>
      <c r="H546" s="2">
        <f t="shared" si="24"/>
        <v>23.549999999999955</v>
      </c>
      <c r="I546" s="3">
        <f t="shared" si="25"/>
        <v>2.5009292199861897E-2</v>
      </c>
    </row>
    <row r="547" spans="2:9" x14ac:dyDescent="0.25">
      <c r="B547" s="1">
        <v>35979</v>
      </c>
      <c r="C547">
        <v>900.55</v>
      </c>
      <c r="D547">
        <v>920.05</v>
      </c>
      <c r="E547">
        <v>920.05</v>
      </c>
      <c r="F547">
        <v>898.65</v>
      </c>
      <c r="G547" s="3">
        <f t="shared" si="26"/>
        <v>-2.1034895097293171E-2</v>
      </c>
      <c r="H547" s="2">
        <f t="shared" si="24"/>
        <v>21.399999999999977</v>
      </c>
      <c r="I547" s="3">
        <f t="shared" si="25"/>
        <v>2.3259605456225182E-2</v>
      </c>
    </row>
    <row r="548" spans="2:9" x14ac:dyDescent="0.25">
      <c r="B548" s="1">
        <v>35982</v>
      </c>
      <c r="C548">
        <v>917.35</v>
      </c>
      <c r="D548">
        <v>901</v>
      </c>
      <c r="E548">
        <v>919.5</v>
      </c>
      <c r="F548">
        <v>900.9</v>
      </c>
      <c r="G548" s="3">
        <f t="shared" si="26"/>
        <v>1.8655266226195177E-2</v>
      </c>
      <c r="H548" s="2">
        <f t="shared" si="24"/>
        <v>18.600000000000023</v>
      </c>
      <c r="I548" s="3">
        <f t="shared" si="25"/>
        <v>2.0643729189789149E-2</v>
      </c>
    </row>
    <row r="549" spans="2:9" x14ac:dyDescent="0.25">
      <c r="B549" s="1">
        <v>35983</v>
      </c>
      <c r="C549">
        <v>924.7</v>
      </c>
      <c r="D549">
        <v>917.45</v>
      </c>
      <c r="E549">
        <v>936</v>
      </c>
      <c r="F549">
        <v>917.45</v>
      </c>
      <c r="G549" s="3">
        <f t="shared" si="26"/>
        <v>8.0122090805037072E-3</v>
      </c>
      <c r="H549" s="2">
        <f t="shared" si="24"/>
        <v>18.549999999999955</v>
      </c>
      <c r="I549" s="3">
        <f t="shared" si="25"/>
        <v>2.0219085508747021E-2</v>
      </c>
    </row>
    <row r="550" spans="2:9" x14ac:dyDescent="0.25">
      <c r="B550" s="1">
        <v>35984</v>
      </c>
      <c r="C550">
        <v>944.15</v>
      </c>
      <c r="D550">
        <v>925.15</v>
      </c>
      <c r="E550">
        <v>948.3</v>
      </c>
      <c r="F550">
        <v>924.95</v>
      </c>
      <c r="G550" s="3">
        <f t="shared" si="26"/>
        <v>2.1033848815832146E-2</v>
      </c>
      <c r="H550" s="2">
        <f t="shared" si="24"/>
        <v>23.349999999999909</v>
      </c>
      <c r="I550" s="3">
        <f t="shared" si="25"/>
        <v>2.5239150408041842E-2</v>
      </c>
    </row>
    <row r="551" spans="2:9" x14ac:dyDescent="0.25">
      <c r="B551" s="1">
        <v>35985</v>
      </c>
      <c r="C551">
        <v>961.05</v>
      </c>
      <c r="D551">
        <v>944.1</v>
      </c>
      <c r="E551">
        <v>966.1</v>
      </c>
      <c r="F551">
        <v>944.1</v>
      </c>
      <c r="G551" s="3">
        <f t="shared" si="26"/>
        <v>1.7899698141185194E-2</v>
      </c>
      <c r="H551" s="2">
        <f t="shared" si="24"/>
        <v>22</v>
      </c>
      <c r="I551" s="3">
        <f t="shared" si="25"/>
        <v>2.3302616248278785E-2</v>
      </c>
    </row>
    <row r="552" spans="2:9" x14ac:dyDescent="0.25">
      <c r="B552" s="1">
        <v>35986</v>
      </c>
      <c r="C552">
        <v>980.15</v>
      </c>
      <c r="D552">
        <v>961.65</v>
      </c>
      <c r="E552">
        <v>982.2</v>
      </c>
      <c r="F552">
        <v>961.65</v>
      </c>
      <c r="G552" s="3">
        <f t="shared" si="26"/>
        <v>1.9874096040788825E-2</v>
      </c>
      <c r="H552" s="2">
        <f t="shared" si="24"/>
        <v>20.550000000000068</v>
      </c>
      <c r="I552" s="3">
        <f t="shared" si="25"/>
        <v>2.1369521135548349E-2</v>
      </c>
    </row>
    <row r="553" spans="2:9" x14ac:dyDescent="0.25">
      <c r="B553" s="1">
        <v>35989</v>
      </c>
      <c r="C553">
        <v>964.35</v>
      </c>
      <c r="D553">
        <v>980.3</v>
      </c>
      <c r="E553">
        <v>991.7</v>
      </c>
      <c r="F553">
        <v>959.4</v>
      </c>
      <c r="G553" s="3">
        <f t="shared" si="26"/>
        <v>-1.6119981635463909E-2</v>
      </c>
      <c r="H553" s="2">
        <f t="shared" si="24"/>
        <v>32.300000000000068</v>
      </c>
      <c r="I553" s="3">
        <f t="shared" si="25"/>
        <v>3.2949097215138293E-2</v>
      </c>
    </row>
    <row r="554" spans="2:9" x14ac:dyDescent="0.25">
      <c r="B554" s="1">
        <v>35990</v>
      </c>
      <c r="C554">
        <v>967.35</v>
      </c>
      <c r="D554">
        <v>964.1</v>
      </c>
      <c r="E554">
        <v>970.3</v>
      </c>
      <c r="F554">
        <v>954.5</v>
      </c>
      <c r="G554" s="3">
        <f t="shared" si="26"/>
        <v>3.1109037175298671E-3</v>
      </c>
      <c r="H554" s="2">
        <f t="shared" si="24"/>
        <v>15.799999999999955</v>
      </c>
      <c r="I554" s="3">
        <f t="shared" si="25"/>
        <v>1.6388341458354896E-2</v>
      </c>
    </row>
    <row r="555" spans="2:9" x14ac:dyDescent="0.25">
      <c r="B555" s="1">
        <v>35991</v>
      </c>
      <c r="C555">
        <v>971.4</v>
      </c>
      <c r="D555">
        <v>968.05</v>
      </c>
      <c r="E555">
        <v>988.55</v>
      </c>
      <c r="F555">
        <v>968.05</v>
      </c>
      <c r="G555" s="3">
        <f t="shared" si="26"/>
        <v>4.1866956117226906E-3</v>
      </c>
      <c r="H555" s="2">
        <f t="shared" si="24"/>
        <v>20.5</v>
      </c>
      <c r="I555" s="3">
        <f t="shared" si="25"/>
        <v>2.1176592118175717E-2</v>
      </c>
    </row>
    <row r="556" spans="2:9" x14ac:dyDescent="0.25">
      <c r="B556" s="1">
        <v>35992</v>
      </c>
      <c r="C556" s="2">
        <v>1004.05</v>
      </c>
      <c r="D556">
        <v>972</v>
      </c>
      <c r="E556" s="2">
        <v>1005.9</v>
      </c>
      <c r="F556">
        <v>969.55</v>
      </c>
      <c r="G556" s="3">
        <f t="shared" si="26"/>
        <v>3.3611282684784749E-2</v>
      </c>
      <c r="H556" s="2">
        <f t="shared" si="24"/>
        <v>36.350000000000023</v>
      </c>
      <c r="I556" s="3">
        <f t="shared" si="25"/>
        <v>3.7397119341563811E-2</v>
      </c>
    </row>
    <row r="557" spans="2:9" x14ac:dyDescent="0.25">
      <c r="B557" s="1">
        <v>35993</v>
      </c>
      <c r="C557" s="2">
        <v>1000.95</v>
      </c>
      <c r="D557" s="2">
        <v>1005.1</v>
      </c>
      <c r="E557" s="2">
        <v>1015.55</v>
      </c>
      <c r="F557">
        <v>996.6</v>
      </c>
      <c r="G557" s="3">
        <f t="shared" si="26"/>
        <v>-3.0874956426472089E-3</v>
      </c>
      <c r="H557" s="2">
        <f t="shared" si="24"/>
        <v>18.949999999999932</v>
      </c>
      <c r="I557" s="3">
        <f t="shared" si="25"/>
        <v>1.8853845388518486E-2</v>
      </c>
    </row>
    <row r="558" spans="2:9" x14ac:dyDescent="0.25">
      <c r="B558" s="1">
        <v>35996</v>
      </c>
      <c r="C558">
        <v>977.3</v>
      </c>
      <c r="D558" s="2">
        <v>1001.9</v>
      </c>
      <c r="E558" s="2">
        <v>1002.4</v>
      </c>
      <c r="F558">
        <v>973.75</v>
      </c>
      <c r="G558" s="3">
        <f t="shared" si="26"/>
        <v>-2.3627553823867387E-2</v>
      </c>
      <c r="H558" s="2">
        <f t="shared" si="24"/>
        <v>28.649999999999977</v>
      </c>
      <c r="I558" s="3">
        <f t="shared" si="25"/>
        <v>2.8595668230362289E-2</v>
      </c>
    </row>
    <row r="559" spans="2:9" x14ac:dyDescent="0.25">
      <c r="B559" s="1">
        <v>35997</v>
      </c>
      <c r="C559">
        <v>965.5</v>
      </c>
      <c r="D559">
        <v>977.65</v>
      </c>
      <c r="E559">
        <v>983.4</v>
      </c>
      <c r="F559">
        <v>960.85</v>
      </c>
      <c r="G559" s="3">
        <f t="shared" si="26"/>
        <v>-1.2074081653535185E-2</v>
      </c>
      <c r="H559" s="2">
        <f t="shared" si="24"/>
        <v>22.549999999999955</v>
      </c>
      <c r="I559" s="3">
        <f t="shared" si="25"/>
        <v>2.3065514243338574E-2</v>
      </c>
    </row>
    <row r="560" spans="2:9" x14ac:dyDescent="0.25">
      <c r="B560" s="1">
        <v>35998</v>
      </c>
      <c r="C560">
        <v>965.7</v>
      </c>
      <c r="D560">
        <v>965.55</v>
      </c>
      <c r="E560">
        <v>976.5</v>
      </c>
      <c r="F560">
        <v>959.5</v>
      </c>
      <c r="G560" s="3">
        <f t="shared" si="26"/>
        <v>2.0714655618858657E-4</v>
      </c>
      <c r="H560" s="2">
        <f t="shared" si="24"/>
        <v>17</v>
      </c>
      <c r="I560" s="3">
        <f t="shared" si="25"/>
        <v>1.7606545492206516E-2</v>
      </c>
    </row>
    <row r="561" spans="2:9" x14ac:dyDescent="0.25">
      <c r="B561" s="1">
        <v>35999</v>
      </c>
      <c r="C561">
        <v>934.4</v>
      </c>
      <c r="D561">
        <v>965.35</v>
      </c>
      <c r="E561">
        <v>965.35</v>
      </c>
      <c r="F561">
        <v>931.75</v>
      </c>
      <c r="G561" s="3">
        <f t="shared" si="26"/>
        <v>-3.2411722066894577E-2</v>
      </c>
      <c r="H561" s="2">
        <f t="shared" si="24"/>
        <v>33.600000000000023</v>
      </c>
      <c r="I561" s="3">
        <f t="shared" si="25"/>
        <v>3.4806028901434735E-2</v>
      </c>
    </row>
    <row r="562" spans="2:9" x14ac:dyDescent="0.25">
      <c r="B562" s="1">
        <v>36000</v>
      </c>
      <c r="C562">
        <v>920.1</v>
      </c>
      <c r="D562">
        <v>933.5</v>
      </c>
      <c r="E562">
        <v>934.75</v>
      </c>
      <c r="F562">
        <v>915.5</v>
      </c>
      <c r="G562" s="3">
        <f t="shared" si="26"/>
        <v>-1.5303938356164282E-2</v>
      </c>
      <c r="H562" s="2">
        <f t="shared" si="24"/>
        <v>19.25</v>
      </c>
      <c r="I562" s="3">
        <f t="shared" si="25"/>
        <v>2.0621317621853239E-2</v>
      </c>
    </row>
    <row r="563" spans="2:9" x14ac:dyDescent="0.25">
      <c r="B563" s="1">
        <v>36003</v>
      </c>
      <c r="C563">
        <v>899.35</v>
      </c>
      <c r="D563">
        <v>919.4</v>
      </c>
      <c r="E563">
        <v>929.45</v>
      </c>
      <c r="F563">
        <v>895.85</v>
      </c>
      <c r="G563" s="3">
        <f t="shared" si="26"/>
        <v>-2.2551896532985505E-2</v>
      </c>
      <c r="H563" s="2">
        <f t="shared" si="24"/>
        <v>33.600000000000023</v>
      </c>
      <c r="I563" s="3">
        <f t="shared" si="25"/>
        <v>3.6545573199913015E-2</v>
      </c>
    </row>
    <row r="564" spans="2:9" x14ac:dyDescent="0.25">
      <c r="B564" s="1">
        <v>36004</v>
      </c>
      <c r="C564">
        <v>917.25</v>
      </c>
      <c r="D564">
        <v>899.1</v>
      </c>
      <c r="E564">
        <v>920</v>
      </c>
      <c r="F564">
        <v>897.65</v>
      </c>
      <c r="G564" s="3">
        <f t="shared" si="26"/>
        <v>1.9903263468060262E-2</v>
      </c>
      <c r="H564" s="2">
        <f t="shared" si="24"/>
        <v>22.350000000000023</v>
      </c>
      <c r="I564" s="3">
        <f t="shared" si="25"/>
        <v>2.4858191524858218E-2</v>
      </c>
    </row>
    <row r="565" spans="2:9" x14ac:dyDescent="0.25">
      <c r="B565" s="1">
        <v>36005</v>
      </c>
      <c r="C565">
        <v>937.85</v>
      </c>
      <c r="D565">
        <v>917.4</v>
      </c>
      <c r="E565">
        <v>940.15</v>
      </c>
      <c r="F565">
        <v>917.4</v>
      </c>
      <c r="G565" s="3">
        <f t="shared" si="26"/>
        <v>2.2458435541019339E-2</v>
      </c>
      <c r="H565" s="2">
        <f t="shared" si="24"/>
        <v>22.75</v>
      </c>
      <c r="I565" s="3">
        <f t="shared" si="25"/>
        <v>2.4798343143666884E-2</v>
      </c>
    </row>
    <row r="566" spans="2:9" x14ac:dyDescent="0.25">
      <c r="B566" s="1">
        <v>36006</v>
      </c>
      <c r="C566">
        <v>932.6</v>
      </c>
      <c r="D566">
        <v>938.15</v>
      </c>
      <c r="E566">
        <v>949.85</v>
      </c>
      <c r="F566">
        <v>926.8</v>
      </c>
      <c r="G566" s="3">
        <f t="shared" si="26"/>
        <v>-5.5979101135575915E-3</v>
      </c>
      <c r="H566" s="2">
        <f t="shared" si="24"/>
        <v>23.050000000000068</v>
      </c>
      <c r="I566" s="3">
        <f t="shared" si="25"/>
        <v>2.4569631722006151E-2</v>
      </c>
    </row>
    <row r="567" spans="2:9" x14ac:dyDescent="0.25">
      <c r="B567" s="1">
        <v>36007</v>
      </c>
      <c r="C567">
        <v>931.4</v>
      </c>
      <c r="D567">
        <v>932.6</v>
      </c>
      <c r="E567">
        <v>939.6</v>
      </c>
      <c r="F567">
        <v>925.25</v>
      </c>
      <c r="G567" s="3">
        <f t="shared" si="26"/>
        <v>-1.2867252841518573E-3</v>
      </c>
      <c r="H567" s="2">
        <f t="shared" si="24"/>
        <v>14.350000000000023</v>
      </c>
      <c r="I567" s="3">
        <f t="shared" si="25"/>
        <v>1.53870898563157E-2</v>
      </c>
    </row>
    <row r="568" spans="2:9" x14ac:dyDescent="0.25">
      <c r="B568" s="1">
        <v>36010</v>
      </c>
      <c r="C568">
        <v>906</v>
      </c>
      <c r="D568">
        <v>930.8</v>
      </c>
      <c r="E568">
        <v>930.8</v>
      </c>
      <c r="F568">
        <v>903.5</v>
      </c>
      <c r="G568" s="3">
        <f t="shared" si="26"/>
        <v>-2.7270775177152595E-2</v>
      </c>
      <c r="H568" s="2">
        <f t="shared" si="24"/>
        <v>27.299999999999955</v>
      </c>
      <c r="I568" s="3">
        <f t="shared" si="25"/>
        <v>2.9329608938547438E-2</v>
      </c>
    </row>
    <row r="569" spans="2:9" x14ac:dyDescent="0.25">
      <c r="B569" s="1">
        <v>36011</v>
      </c>
      <c r="C569">
        <v>906.2</v>
      </c>
      <c r="D569">
        <v>905.65</v>
      </c>
      <c r="E569">
        <v>913.45</v>
      </c>
      <c r="F569">
        <v>903.15</v>
      </c>
      <c r="G569" s="3">
        <f t="shared" si="26"/>
        <v>2.2075055187653625E-4</v>
      </c>
      <c r="H569" s="2">
        <f t="shared" si="24"/>
        <v>10.300000000000068</v>
      </c>
      <c r="I569" s="3">
        <f t="shared" si="25"/>
        <v>1.1373046982830088E-2</v>
      </c>
    </row>
    <row r="570" spans="2:9" x14ac:dyDescent="0.25">
      <c r="B570" s="1">
        <v>36012</v>
      </c>
      <c r="C570">
        <v>907.45</v>
      </c>
      <c r="D570">
        <v>905.65</v>
      </c>
      <c r="E570">
        <v>911.8</v>
      </c>
      <c r="F570">
        <v>890.95</v>
      </c>
      <c r="G570" s="3">
        <f t="shared" si="26"/>
        <v>1.3793864489075602E-3</v>
      </c>
      <c r="H570" s="2">
        <f t="shared" si="24"/>
        <v>20.849999999999909</v>
      </c>
      <c r="I570" s="3">
        <f t="shared" si="25"/>
        <v>2.3022138795340263E-2</v>
      </c>
    </row>
    <row r="571" spans="2:9" x14ac:dyDescent="0.25">
      <c r="B571" s="1">
        <v>36013</v>
      </c>
      <c r="C571">
        <v>902.75</v>
      </c>
      <c r="D571">
        <v>907.9</v>
      </c>
      <c r="E571">
        <v>919</v>
      </c>
      <c r="F571">
        <v>900.2</v>
      </c>
      <c r="G571" s="3">
        <f t="shared" si="26"/>
        <v>-5.1793487244476966E-3</v>
      </c>
      <c r="H571" s="2">
        <f t="shared" si="24"/>
        <v>18.799999999999955</v>
      </c>
      <c r="I571" s="3">
        <f t="shared" si="25"/>
        <v>2.0707126335499454E-2</v>
      </c>
    </row>
    <row r="572" spans="2:9" x14ac:dyDescent="0.25">
      <c r="B572" s="1">
        <v>36014</v>
      </c>
      <c r="C572">
        <v>895.55</v>
      </c>
      <c r="D572">
        <v>902.75</v>
      </c>
      <c r="E572">
        <v>903.55</v>
      </c>
      <c r="F572">
        <v>892.9</v>
      </c>
      <c r="G572" s="3">
        <f t="shared" si="26"/>
        <v>-7.9756300193852825E-3</v>
      </c>
      <c r="H572" s="2">
        <f t="shared" si="24"/>
        <v>10.649999999999977</v>
      </c>
      <c r="I572" s="3">
        <f t="shared" si="25"/>
        <v>1.17972860703406E-2</v>
      </c>
    </row>
    <row r="573" spans="2:9" x14ac:dyDescent="0.25">
      <c r="B573" s="1">
        <v>36017</v>
      </c>
      <c r="C573">
        <v>878.75</v>
      </c>
      <c r="D573">
        <v>895.15</v>
      </c>
      <c r="E573">
        <v>895.15</v>
      </c>
      <c r="F573">
        <v>877.55</v>
      </c>
      <c r="G573" s="3">
        <f t="shared" si="26"/>
        <v>-1.8759421584501057E-2</v>
      </c>
      <c r="H573" s="2">
        <f t="shared" si="24"/>
        <v>17.600000000000023</v>
      </c>
      <c r="I573" s="3">
        <f t="shared" si="25"/>
        <v>1.9661509244260765E-2</v>
      </c>
    </row>
    <row r="574" spans="2:9" x14ac:dyDescent="0.25">
      <c r="B574" s="1">
        <v>36018</v>
      </c>
      <c r="C574">
        <v>866.5</v>
      </c>
      <c r="D574">
        <v>878.7</v>
      </c>
      <c r="E574">
        <v>878.7</v>
      </c>
      <c r="F574">
        <v>863.65</v>
      </c>
      <c r="G574" s="3">
        <f t="shared" si="26"/>
        <v>-1.3940256045519184E-2</v>
      </c>
      <c r="H574" s="2">
        <f t="shared" si="24"/>
        <v>15.050000000000068</v>
      </c>
      <c r="I574" s="3">
        <f t="shared" si="25"/>
        <v>1.7127574826448239E-2</v>
      </c>
    </row>
    <row r="575" spans="2:9" x14ac:dyDescent="0.25">
      <c r="B575" s="1">
        <v>36019</v>
      </c>
      <c r="C575">
        <v>860.1</v>
      </c>
      <c r="D575">
        <v>866.35</v>
      </c>
      <c r="E575">
        <v>871.4</v>
      </c>
      <c r="F575">
        <v>853.1</v>
      </c>
      <c r="G575" s="3">
        <f t="shared" si="26"/>
        <v>-7.3860357761107442E-3</v>
      </c>
      <c r="H575" s="2">
        <f t="shared" si="24"/>
        <v>18.299999999999955</v>
      </c>
      <c r="I575" s="3">
        <f t="shared" si="25"/>
        <v>2.1123102672130148E-2</v>
      </c>
    </row>
    <row r="576" spans="2:9" x14ac:dyDescent="0.25">
      <c r="B576" s="1">
        <v>36020</v>
      </c>
      <c r="C576">
        <v>872.25</v>
      </c>
      <c r="D576">
        <v>859.8</v>
      </c>
      <c r="E576">
        <v>878.4</v>
      </c>
      <c r="F576">
        <v>854.5</v>
      </c>
      <c r="G576" s="3">
        <f t="shared" si="26"/>
        <v>1.4126264387861909E-2</v>
      </c>
      <c r="H576" s="2">
        <f t="shared" si="24"/>
        <v>23.899999999999977</v>
      </c>
      <c r="I576" s="3">
        <f t="shared" si="25"/>
        <v>2.779716213072805E-2</v>
      </c>
    </row>
    <row r="577" spans="2:9" x14ac:dyDescent="0.25">
      <c r="B577" s="1">
        <v>36021</v>
      </c>
      <c r="C577">
        <v>864.1</v>
      </c>
      <c r="D577">
        <v>872.85</v>
      </c>
      <c r="E577">
        <v>876.8</v>
      </c>
      <c r="F577">
        <v>863.55</v>
      </c>
      <c r="G577" s="3">
        <f t="shared" si="26"/>
        <v>-9.3436514760676381E-3</v>
      </c>
      <c r="H577" s="2">
        <f t="shared" si="24"/>
        <v>13.25</v>
      </c>
      <c r="I577" s="3">
        <f t="shared" si="25"/>
        <v>1.5180156957094576E-2</v>
      </c>
    </row>
    <row r="578" spans="2:9" x14ac:dyDescent="0.25">
      <c r="B578" s="1">
        <v>36024</v>
      </c>
      <c r="C578">
        <v>854.55</v>
      </c>
      <c r="D578">
        <v>864.35</v>
      </c>
      <c r="E578">
        <v>873.2</v>
      </c>
      <c r="F578">
        <v>853.05</v>
      </c>
      <c r="G578" s="3">
        <f t="shared" si="26"/>
        <v>-1.1051961578521063E-2</v>
      </c>
      <c r="H578" s="2">
        <f t="shared" si="24"/>
        <v>20.150000000000091</v>
      </c>
      <c r="I578" s="3">
        <f t="shared" si="25"/>
        <v>2.3312315612888403E-2</v>
      </c>
    </row>
    <row r="579" spans="2:9" x14ac:dyDescent="0.25">
      <c r="B579" s="1">
        <v>36025</v>
      </c>
      <c r="C579">
        <v>832.45</v>
      </c>
      <c r="D579">
        <v>854.55</v>
      </c>
      <c r="E579">
        <v>854.8</v>
      </c>
      <c r="F579">
        <v>831.1</v>
      </c>
      <c r="G579" s="3">
        <f t="shared" si="26"/>
        <v>-2.5861564566145856E-2</v>
      </c>
      <c r="H579" s="2">
        <f t="shared" si="24"/>
        <v>23.699999999999932</v>
      </c>
      <c r="I579" s="3">
        <f t="shared" si="25"/>
        <v>2.7733895032473154E-2</v>
      </c>
    </row>
    <row r="580" spans="2:9" x14ac:dyDescent="0.25">
      <c r="B580" s="1">
        <v>36026</v>
      </c>
      <c r="C580">
        <v>838.3</v>
      </c>
      <c r="D580">
        <v>832.85</v>
      </c>
      <c r="E580">
        <v>853.9</v>
      </c>
      <c r="F580">
        <v>830.15</v>
      </c>
      <c r="G580" s="3">
        <f t="shared" si="26"/>
        <v>7.0274490960418046E-3</v>
      </c>
      <c r="H580" s="2">
        <f t="shared" si="24"/>
        <v>23.75</v>
      </c>
      <c r="I580" s="3">
        <f t="shared" si="25"/>
        <v>2.8516539592963918E-2</v>
      </c>
    </row>
    <row r="581" spans="2:9" x14ac:dyDescent="0.25">
      <c r="B581" s="1">
        <v>36027</v>
      </c>
      <c r="C581">
        <v>868.7</v>
      </c>
      <c r="D581">
        <v>839.3</v>
      </c>
      <c r="E581">
        <v>871.15</v>
      </c>
      <c r="F581">
        <v>839.3</v>
      </c>
      <c r="G581" s="3">
        <f t="shared" si="26"/>
        <v>3.6263867350590617E-2</v>
      </c>
      <c r="H581" s="2">
        <f t="shared" ref="H581:H644" si="27">E581-F581</f>
        <v>31.850000000000023</v>
      </c>
      <c r="I581" s="3">
        <f t="shared" si="25"/>
        <v>3.794829024186825E-2</v>
      </c>
    </row>
    <row r="582" spans="2:9" x14ac:dyDescent="0.25">
      <c r="B582" s="1">
        <v>36028</v>
      </c>
      <c r="C582">
        <v>855.45</v>
      </c>
      <c r="D582">
        <v>868.55</v>
      </c>
      <c r="E582">
        <v>871.15</v>
      </c>
      <c r="F582">
        <v>853.4</v>
      </c>
      <c r="G582" s="3">
        <f t="shared" si="26"/>
        <v>-1.5252676413030963E-2</v>
      </c>
      <c r="H582" s="2">
        <f t="shared" si="27"/>
        <v>17.75</v>
      </c>
      <c r="I582" s="3">
        <f t="shared" ref="I582:I645" si="28">H582/D582</f>
        <v>2.0436359449657476E-2</v>
      </c>
    </row>
    <row r="583" spans="2:9" x14ac:dyDescent="0.25">
      <c r="B583" s="1">
        <v>36031</v>
      </c>
      <c r="C583">
        <v>859.8</v>
      </c>
      <c r="D583">
        <v>855.2</v>
      </c>
      <c r="E583">
        <v>860.95</v>
      </c>
      <c r="F583">
        <v>845.35</v>
      </c>
      <c r="G583" s="3">
        <f t="shared" ref="G583:G646" si="29">C583/C582-1</f>
        <v>5.085042959845687E-3</v>
      </c>
      <c r="H583" s="2">
        <f t="shared" si="27"/>
        <v>15.600000000000023</v>
      </c>
      <c r="I583" s="3">
        <f t="shared" si="28"/>
        <v>1.8241347053320887E-2</v>
      </c>
    </row>
    <row r="584" spans="2:9" x14ac:dyDescent="0.25">
      <c r="B584" s="1">
        <v>36032</v>
      </c>
      <c r="C584">
        <v>871.9</v>
      </c>
      <c r="D584">
        <v>859.85</v>
      </c>
      <c r="E584">
        <v>874.15</v>
      </c>
      <c r="F584">
        <v>859.85</v>
      </c>
      <c r="G584" s="3">
        <f t="shared" si="29"/>
        <v>1.407304024191669E-2</v>
      </c>
      <c r="H584" s="2">
        <f t="shared" si="27"/>
        <v>14.299999999999955</v>
      </c>
      <c r="I584" s="3">
        <f t="shared" si="28"/>
        <v>1.6630807699017217E-2</v>
      </c>
    </row>
    <row r="585" spans="2:9" x14ac:dyDescent="0.25">
      <c r="B585" s="1">
        <v>36034</v>
      </c>
      <c r="C585">
        <v>877.45</v>
      </c>
      <c r="D585">
        <v>872.15</v>
      </c>
      <c r="E585">
        <v>889.7</v>
      </c>
      <c r="F585">
        <v>872.15</v>
      </c>
      <c r="G585" s="3">
        <f t="shared" si="29"/>
        <v>6.3654088771649686E-3</v>
      </c>
      <c r="H585" s="2">
        <f t="shared" si="27"/>
        <v>17.550000000000068</v>
      </c>
      <c r="I585" s="3">
        <f t="shared" si="28"/>
        <v>2.0122685317892644E-2</v>
      </c>
    </row>
    <row r="586" spans="2:9" x14ac:dyDescent="0.25">
      <c r="B586" s="1">
        <v>36035</v>
      </c>
      <c r="C586">
        <v>849.8</v>
      </c>
      <c r="D586">
        <v>877.15</v>
      </c>
      <c r="E586">
        <v>877.15</v>
      </c>
      <c r="F586">
        <v>847.15</v>
      </c>
      <c r="G586" s="3">
        <f t="shared" si="29"/>
        <v>-3.1511767052253781E-2</v>
      </c>
      <c r="H586" s="2">
        <f t="shared" si="27"/>
        <v>30</v>
      </c>
      <c r="I586" s="3">
        <f t="shared" si="28"/>
        <v>3.4201675882118227E-2</v>
      </c>
    </row>
    <row r="587" spans="2:9" x14ac:dyDescent="0.25">
      <c r="B587" s="1">
        <v>36038</v>
      </c>
      <c r="C587">
        <v>852.8</v>
      </c>
      <c r="D587">
        <v>850.3</v>
      </c>
      <c r="E587">
        <v>858.6</v>
      </c>
      <c r="F587">
        <v>841.1</v>
      </c>
      <c r="G587" s="3">
        <f t="shared" si="29"/>
        <v>3.5302424099787899E-3</v>
      </c>
      <c r="H587" s="2">
        <f t="shared" si="27"/>
        <v>17.5</v>
      </c>
      <c r="I587" s="3">
        <f t="shared" si="28"/>
        <v>2.0580971421851113E-2</v>
      </c>
    </row>
    <row r="588" spans="2:9" x14ac:dyDescent="0.25">
      <c r="B588" s="1">
        <v>36039</v>
      </c>
      <c r="C588">
        <v>834.55</v>
      </c>
      <c r="D588">
        <v>852.75</v>
      </c>
      <c r="E588">
        <v>852.75</v>
      </c>
      <c r="F588">
        <v>832.05</v>
      </c>
      <c r="G588" s="3">
        <f t="shared" si="29"/>
        <v>-2.1400093808630394E-2</v>
      </c>
      <c r="H588" s="2">
        <f t="shared" si="27"/>
        <v>20.700000000000045</v>
      </c>
      <c r="I588" s="3">
        <f t="shared" si="28"/>
        <v>2.4274406332453879E-2</v>
      </c>
    </row>
    <row r="589" spans="2:9" x14ac:dyDescent="0.25">
      <c r="B589" s="1">
        <v>36040</v>
      </c>
      <c r="C589">
        <v>842.5</v>
      </c>
      <c r="D589">
        <v>834.55</v>
      </c>
      <c r="E589">
        <v>847.95</v>
      </c>
      <c r="F589">
        <v>834.55</v>
      </c>
      <c r="G589" s="3">
        <f t="shared" si="29"/>
        <v>9.5260919058175464E-3</v>
      </c>
      <c r="H589" s="2">
        <f t="shared" si="27"/>
        <v>13.400000000000091</v>
      </c>
      <c r="I589" s="3">
        <f t="shared" si="28"/>
        <v>1.6056557426157921E-2</v>
      </c>
    </row>
    <row r="590" spans="2:9" x14ac:dyDescent="0.25">
      <c r="B590" s="1">
        <v>36041</v>
      </c>
      <c r="C590">
        <v>846.45</v>
      </c>
      <c r="D590">
        <v>842.3</v>
      </c>
      <c r="E590">
        <v>852.05</v>
      </c>
      <c r="F590">
        <v>838.75</v>
      </c>
      <c r="G590" s="3">
        <f t="shared" si="29"/>
        <v>4.6884272997034238E-3</v>
      </c>
      <c r="H590" s="2">
        <f t="shared" si="27"/>
        <v>13.299999999999955</v>
      </c>
      <c r="I590" s="3">
        <f t="shared" si="28"/>
        <v>1.5790098539712638E-2</v>
      </c>
    </row>
    <row r="591" spans="2:9" x14ac:dyDescent="0.25">
      <c r="B591" s="1">
        <v>36042</v>
      </c>
      <c r="C591">
        <v>866.5</v>
      </c>
      <c r="D591">
        <v>846.9</v>
      </c>
      <c r="E591">
        <v>868.05</v>
      </c>
      <c r="F591">
        <v>846.9</v>
      </c>
      <c r="G591" s="3">
        <f t="shared" si="29"/>
        <v>2.3687164038041164E-2</v>
      </c>
      <c r="H591" s="2">
        <f t="shared" si="27"/>
        <v>21.149999999999977</v>
      </c>
      <c r="I591" s="3">
        <f t="shared" si="28"/>
        <v>2.4973432518597211E-2</v>
      </c>
    </row>
    <row r="592" spans="2:9" x14ac:dyDescent="0.25">
      <c r="B592" s="1">
        <v>36045</v>
      </c>
      <c r="C592">
        <v>887.1</v>
      </c>
      <c r="D592">
        <v>866.9</v>
      </c>
      <c r="E592">
        <v>889.45</v>
      </c>
      <c r="F592">
        <v>866.9</v>
      </c>
      <c r="G592" s="3">
        <f t="shared" si="29"/>
        <v>2.3773802654356579E-2</v>
      </c>
      <c r="H592" s="2">
        <f t="shared" si="27"/>
        <v>22.550000000000068</v>
      </c>
      <c r="I592" s="3">
        <f t="shared" si="28"/>
        <v>2.601222747721775E-2</v>
      </c>
    </row>
    <row r="593" spans="2:9" x14ac:dyDescent="0.25">
      <c r="B593" s="1">
        <v>36046</v>
      </c>
      <c r="C593">
        <v>899.95</v>
      </c>
      <c r="D593">
        <v>887.25</v>
      </c>
      <c r="E593">
        <v>902.05</v>
      </c>
      <c r="F593">
        <v>882.6</v>
      </c>
      <c r="G593" s="3">
        <f t="shared" si="29"/>
        <v>1.4485401871265902E-2</v>
      </c>
      <c r="H593" s="2">
        <f t="shared" si="27"/>
        <v>19.449999999999932</v>
      </c>
      <c r="I593" s="3">
        <f t="shared" si="28"/>
        <v>2.1921668075514152E-2</v>
      </c>
    </row>
    <row r="594" spans="2:9" x14ac:dyDescent="0.25">
      <c r="B594" s="1">
        <v>36047</v>
      </c>
      <c r="C594">
        <v>903.6</v>
      </c>
      <c r="D594">
        <v>900.2</v>
      </c>
      <c r="E594">
        <v>916.8</v>
      </c>
      <c r="F594">
        <v>900.2</v>
      </c>
      <c r="G594" s="3">
        <f t="shared" si="29"/>
        <v>4.0557808767154313E-3</v>
      </c>
      <c r="H594" s="2">
        <f t="shared" si="27"/>
        <v>16.599999999999909</v>
      </c>
      <c r="I594" s="3">
        <f t="shared" si="28"/>
        <v>1.8440346589646644E-2</v>
      </c>
    </row>
    <row r="595" spans="2:9" x14ac:dyDescent="0.25">
      <c r="B595" s="1">
        <v>36048</v>
      </c>
      <c r="C595">
        <v>907.4</v>
      </c>
      <c r="D595">
        <v>903.15</v>
      </c>
      <c r="E595">
        <v>913.2</v>
      </c>
      <c r="F595">
        <v>897.35</v>
      </c>
      <c r="G595" s="3">
        <f t="shared" si="29"/>
        <v>4.2054006197431715E-3</v>
      </c>
      <c r="H595" s="2">
        <f t="shared" si="27"/>
        <v>15.850000000000023</v>
      </c>
      <c r="I595" s="3">
        <f t="shared" si="28"/>
        <v>1.7549687205890521E-2</v>
      </c>
    </row>
    <row r="596" spans="2:9" x14ac:dyDescent="0.25">
      <c r="B596" s="1">
        <v>36049</v>
      </c>
      <c r="C596">
        <v>899.7</v>
      </c>
      <c r="D596">
        <v>907.1</v>
      </c>
      <c r="E596">
        <v>907.1</v>
      </c>
      <c r="F596">
        <v>893.3</v>
      </c>
      <c r="G596" s="3">
        <f t="shared" si="29"/>
        <v>-8.4857835574166929E-3</v>
      </c>
      <c r="H596" s="2">
        <f t="shared" si="27"/>
        <v>13.800000000000068</v>
      </c>
      <c r="I596" s="3">
        <f t="shared" si="28"/>
        <v>1.5213317164590527E-2</v>
      </c>
    </row>
    <row r="597" spans="2:9" x14ac:dyDescent="0.25">
      <c r="B597" s="1">
        <v>36052</v>
      </c>
      <c r="C597">
        <v>920.5</v>
      </c>
      <c r="D597">
        <v>900.2</v>
      </c>
      <c r="E597">
        <v>921.65</v>
      </c>
      <c r="F597">
        <v>900.2</v>
      </c>
      <c r="G597" s="3">
        <f t="shared" si="29"/>
        <v>2.3118817383572354E-2</v>
      </c>
      <c r="H597" s="2">
        <f t="shared" si="27"/>
        <v>21.449999999999932</v>
      </c>
      <c r="I597" s="3">
        <f t="shared" si="28"/>
        <v>2.3828038213730206E-2</v>
      </c>
    </row>
    <row r="598" spans="2:9" x14ac:dyDescent="0.25">
      <c r="B598" s="1">
        <v>36053</v>
      </c>
      <c r="C598">
        <v>920.8</v>
      </c>
      <c r="D598">
        <v>920.1</v>
      </c>
      <c r="E598">
        <v>923.2</v>
      </c>
      <c r="F598">
        <v>915.6</v>
      </c>
      <c r="G598" s="3">
        <f t="shared" si="29"/>
        <v>3.2590983161329135E-4</v>
      </c>
      <c r="H598" s="2">
        <f t="shared" si="27"/>
        <v>7.6000000000000227</v>
      </c>
      <c r="I598" s="3">
        <f t="shared" si="28"/>
        <v>8.2599717422019592E-3</v>
      </c>
    </row>
    <row r="599" spans="2:9" x14ac:dyDescent="0.25">
      <c r="B599" s="1">
        <v>36054</v>
      </c>
      <c r="C599">
        <v>914.5</v>
      </c>
      <c r="D599">
        <v>921.4</v>
      </c>
      <c r="E599">
        <v>926.55</v>
      </c>
      <c r="F599">
        <v>912.6</v>
      </c>
      <c r="G599" s="3">
        <f t="shared" si="29"/>
        <v>-6.8418766290182509E-3</v>
      </c>
      <c r="H599" s="2">
        <f t="shared" si="27"/>
        <v>13.949999999999932</v>
      </c>
      <c r="I599" s="3">
        <f t="shared" si="28"/>
        <v>1.514000434121981E-2</v>
      </c>
    </row>
    <row r="600" spans="2:9" x14ac:dyDescent="0.25">
      <c r="B600" s="1">
        <v>36055</v>
      </c>
      <c r="C600">
        <v>910.1</v>
      </c>
      <c r="D600">
        <v>914.45</v>
      </c>
      <c r="E600">
        <v>919.95</v>
      </c>
      <c r="F600">
        <v>908.55</v>
      </c>
      <c r="G600" s="3">
        <f t="shared" si="29"/>
        <v>-4.8113723346090431E-3</v>
      </c>
      <c r="H600" s="2">
        <f t="shared" si="27"/>
        <v>11.400000000000091</v>
      </c>
      <c r="I600" s="3">
        <f t="shared" si="28"/>
        <v>1.246650992399813E-2</v>
      </c>
    </row>
    <row r="601" spans="2:9" x14ac:dyDescent="0.25">
      <c r="B601" s="1">
        <v>36056</v>
      </c>
      <c r="C601">
        <v>901.65</v>
      </c>
      <c r="D601">
        <v>910</v>
      </c>
      <c r="E601">
        <v>910</v>
      </c>
      <c r="F601">
        <v>899.95</v>
      </c>
      <c r="G601" s="3">
        <f t="shared" si="29"/>
        <v>-9.2846939896714664E-3</v>
      </c>
      <c r="H601" s="2">
        <f t="shared" si="27"/>
        <v>10.049999999999955</v>
      </c>
      <c r="I601" s="3">
        <f t="shared" si="28"/>
        <v>1.1043956043955994E-2</v>
      </c>
    </row>
    <row r="602" spans="2:9" x14ac:dyDescent="0.25">
      <c r="B602" s="1">
        <v>36059</v>
      </c>
      <c r="C602">
        <v>897.7</v>
      </c>
      <c r="D602">
        <v>902.1</v>
      </c>
      <c r="E602">
        <v>908.05</v>
      </c>
      <c r="F602">
        <v>895.85</v>
      </c>
      <c r="G602" s="3">
        <f t="shared" si="29"/>
        <v>-4.3808573171407739E-3</v>
      </c>
      <c r="H602" s="2">
        <f t="shared" si="27"/>
        <v>12.199999999999932</v>
      </c>
      <c r="I602" s="3">
        <f t="shared" si="28"/>
        <v>1.3523999556590102E-2</v>
      </c>
    </row>
    <row r="603" spans="2:9" x14ac:dyDescent="0.25">
      <c r="B603" s="1">
        <v>36060</v>
      </c>
      <c r="C603">
        <v>897.25</v>
      </c>
      <c r="D603">
        <v>897.85</v>
      </c>
      <c r="E603">
        <v>900.8</v>
      </c>
      <c r="F603">
        <v>891.4</v>
      </c>
      <c r="G603" s="3">
        <f t="shared" si="29"/>
        <v>-5.0128105157631886E-4</v>
      </c>
      <c r="H603" s="2">
        <f t="shared" si="27"/>
        <v>9.3999999999999773</v>
      </c>
      <c r="I603" s="3">
        <f t="shared" si="28"/>
        <v>1.046945480870967E-2</v>
      </c>
    </row>
    <row r="604" spans="2:9" x14ac:dyDescent="0.25">
      <c r="B604" s="1">
        <v>36061</v>
      </c>
      <c r="C604">
        <v>907.75</v>
      </c>
      <c r="D604">
        <v>897.9</v>
      </c>
      <c r="E604">
        <v>910.75</v>
      </c>
      <c r="F604">
        <v>897.9</v>
      </c>
      <c r="G604" s="3">
        <f t="shared" si="29"/>
        <v>1.1702424073558149E-2</v>
      </c>
      <c r="H604" s="2">
        <f t="shared" si="27"/>
        <v>12.850000000000023</v>
      </c>
      <c r="I604" s="3">
        <f t="shared" si="28"/>
        <v>1.4311170508965389E-2</v>
      </c>
    </row>
    <row r="605" spans="2:9" x14ac:dyDescent="0.25">
      <c r="B605" s="1">
        <v>36062</v>
      </c>
      <c r="C605">
        <v>934.8</v>
      </c>
      <c r="D605">
        <v>908.2</v>
      </c>
      <c r="E605">
        <v>936.5</v>
      </c>
      <c r="F605">
        <v>908.2</v>
      </c>
      <c r="G605" s="3">
        <f t="shared" si="29"/>
        <v>2.9798953456348087E-2</v>
      </c>
      <c r="H605" s="2">
        <f t="shared" si="27"/>
        <v>28.299999999999955</v>
      </c>
      <c r="I605" s="3">
        <f t="shared" si="28"/>
        <v>3.1160537326579998E-2</v>
      </c>
    </row>
    <row r="606" spans="2:9" x14ac:dyDescent="0.25">
      <c r="B606" s="1">
        <v>36063</v>
      </c>
      <c r="C606">
        <v>934.95</v>
      </c>
      <c r="D606">
        <v>935.3</v>
      </c>
      <c r="E606">
        <v>945.25</v>
      </c>
      <c r="F606">
        <v>933</v>
      </c>
      <c r="G606" s="3">
        <f t="shared" si="29"/>
        <v>1.6046213093723338E-4</v>
      </c>
      <c r="H606" s="2">
        <f t="shared" si="27"/>
        <v>12.25</v>
      </c>
      <c r="I606" s="3">
        <f t="shared" si="28"/>
        <v>1.3097401903132685E-2</v>
      </c>
    </row>
    <row r="607" spans="2:9" x14ac:dyDescent="0.25">
      <c r="B607" s="1">
        <v>36066</v>
      </c>
      <c r="C607">
        <v>927.9</v>
      </c>
      <c r="D607">
        <v>935.6</v>
      </c>
      <c r="E607">
        <v>941.45</v>
      </c>
      <c r="F607">
        <v>926</v>
      </c>
      <c r="G607" s="3">
        <f t="shared" si="29"/>
        <v>-7.5405101877106251E-3</v>
      </c>
      <c r="H607" s="2">
        <f t="shared" si="27"/>
        <v>15.450000000000045</v>
      </c>
      <c r="I607" s="3">
        <f t="shared" si="28"/>
        <v>1.6513467293715309E-2</v>
      </c>
    </row>
    <row r="608" spans="2:9" x14ac:dyDescent="0.25">
      <c r="B608" s="1">
        <v>36067</v>
      </c>
      <c r="C608">
        <v>908.4</v>
      </c>
      <c r="D608">
        <v>928.3</v>
      </c>
      <c r="E608">
        <v>932.5</v>
      </c>
      <c r="F608">
        <v>902.4</v>
      </c>
      <c r="G608" s="3">
        <f t="shared" si="29"/>
        <v>-2.101519560297449E-2</v>
      </c>
      <c r="H608" s="2">
        <f t="shared" si="27"/>
        <v>30.100000000000023</v>
      </c>
      <c r="I608" s="3">
        <f t="shared" si="28"/>
        <v>3.2424862652159887E-2</v>
      </c>
    </row>
    <row r="609" spans="2:9" x14ac:dyDescent="0.25">
      <c r="B609" s="1">
        <v>36068</v>
      </c>
      <c r="C609">
        <v>904.95</v>
      </c>
      <c r="D609">
        <v>908.3</v>
      </c>
      <c r="E609">
        <v>912.25</v>
      </c>
      <c r="F609">
        <v>896.05</v>
      </c>
      <c r="G609" s="3">
        <f t="shared" si="29"/>
        <v>-3.7978863936590779E-3</v>
      </c>
      <c r="H609" s="2">
        <f t="shared" si="27"/>
        <v>16.200000000000045</v>
      </c>
      <c r="I609" s="3">
        <f t="shared" si="28"/>
        <v>1.7835516899702791E-2</v>
      </c>
    </row>
    <row r="610" spans="2:9" x14ac:dyDescent="0.25">
      <c r="B610" s="1">
        <v>36073</v>
      </c>
      <c r="C610">
        <v>840.75</v>
      </c>
      <c r="D610">
        <v>904.75</v>
      </c>
      <c r="E610">
        <v>904.75</v>
      </c>
      <c r="F610">
        <v>839.3</v>
      </c>
      <c r="G610" s="3">
        <f t="shared" si="29"/>
        <v>-7.0943146030167492E-2</v>
      </c>
      <c r="H610" s="2">
        <f t="shared" si="27"/>
        <v>65.450000000000045</v>
      </c>
      <c r="I610" s="3">
        <f t="shared" si="28"/>
        <v>7.2340425531914943E-2</v>
      </c>
    </row>
    <row r="611" spans="2:9" x14ac:dyDescent="0.25">
      <c r="B611" s="1">
        <v>36074</v>
      </c>
      <c r="C611">
        <v>845.75</v>
      </c>
      <c r="D611">
        <v>839.95</v>
      </c>
      <c r="E611">
        <v>848.2</v>
      </c>
      <c r="F611">
        <v>820.1</v>
      </c>
      <c r="G611" s="3">
        <f t="shared" si="29"/>
        <v>5.9470710674993654E-3</v>
      </c>
      <c r="H611" s="2">
        <f t="shared" si="27"/>
        <v>28.100000000000023</v>
      </c>
      <c r="I611" s="3">
        <f t="shared" si="28"/>
        <v>3.3454372284064553E-2</v>
      </c>
    </row>
    <row r="612" spans="2:9" x14ac:dyDescent="0.25">
      <c r="B612" s="1">
        <v>36075</v>
      </c>
      <c r="C612">
        <v>874.25</v>
      </c>
      <c r="D612">
        <v>846.15</v>
      </c>
      <c r="E612">
        <v>875.75</v>
      </c>
      <c r="F612">
        <v>846.05</v>
      </c>
      <c r="G612" s="3">
        <f t="shared" si="29"/>
        <v>3.3697901271061204E-2</v>
      </c>
      <c r="H612" s="2">
        <f t="shared" si="27"/>
        <v>29.700000000000045</v>
      </c>
      <c r="I612" s="3">
        <f t="shared" si="28"/>
        <v>3.5100159546179809E-2</v>
      </c>
    </row>
    <row r="613" spans="2:9" x14ac:dyDescent="0.25">
      <c r="B613" s="1">
        <v>36076</v>
      </c>
      <c r="C613">
        <v>847.95</v>
      </c>
      <c r="D613">
        <v>874.65</v>
      </c>
      <c r="E613">
        <v>885.25</v>
      </c>
      <c r="F613">
        <v>845.1</v>
      </c>
      <c r="G613" s="3">
        <f t="shared" si="29"/>
        <v>-3.0082928224192118E-2</v>
      </c>
      <c r="H613" s="2">
        <f t="shared" si="27"/>
        <v>40.149999999999977</v>
      </c>
      <c r="I613" s="3">
        <f t="shared" si="28"/>
        <v>4.5904075916080693E-2</v>
      </c>
    </row>
    <row r="614" spans="2:9" x14ac:dyDescent="0.25">
      <c r="B614" s="1">
        <v>36077</v>
      </c>
      <c r="C614">
        <v>849.1</v>
      </c>
      <c r="D614">
        <v>847.95</v>
      </c>
      <c r="E614">
        <v>861.55</v>
      </c>
      <c r="F614">
        <v>842.1</v>
      </c>
      <c r="G614" s="3">
        <f t="shared" si="29"/>
        <v>1.3562120408041611E-3</v>
      </c>
      <c r="H614" s="2">
        <f t="shared" si="27"/>
        <v>19.449999999999932</v>
      </c>
      <c r="I614" s="3">
        <f t="shared" si="28"/>
        <v>2.2937673211863824E-2</v>
      </c>
    </row>
    <row r="615" spans="2:9" x14ac:dyDescent="0.25">
      <c r="B615" s="1">
        <v>36080</v>
      </c>
      <c r="C615">
        <v>835.8</v>
      </c>
      <c r="D615">
        <v>849.7</v>
      </c>
      <c r="E615">
        <v>860.9</v>
      </c>
      <c r="F615">
        <v>832.1</v>
      </c>
      <c r="G615" s="3">
        <f t="shared" si="29"/>
        <v>-1.5663643858202847E-2</v>
      </c>
      <c r="H615" s="2">
        <f t="shared" si="27"/>
        <v>28.799999999999955</v>
      </c>
      <c r="I615" s="3">
        <f t="shared" si="28"/>
        <v>3.3894315640814347E-2</v>
      </c>
    </row>
    <row r="616" spans="2:9" x14ac:dyDescent="0.25">
      <c r="B616" s="1">
        <v>36081</v>
      </c>
      <c r="C616">
        <v>816.75</v>
      </c>
      <c r="D616">
        <v>835.45</v>
      </c>
      <c r="E616">
        <v>835.75</v>
      </c>
      <c r="F616">
        <v>810</v>
      </c>
      <c r="G616" s="3">
        <f t="shared" si="29"/>
        <v>-2.2792534099066675E-2</v>
      </c>
      <c r="H616" s="2">
        <f t="shared" si="27"/>
        <v>25.75</v>
      </c>
      <c r="I616" s="3">
        <f t="shared" si="28"/>
        <v>3.0821712849362616E-2</v>
      </c>
    </row>
    <row r="617" spans="2:9" x14ac:dyDescent="0.25">
      <c r="B617" s="1">
        <v>36082</v>
      </c>
      <c r="C617">
        <v>843.55</v>
      </c>
      <c r="D617">
        <v>816.55</v>
      </c>
      <c r="E617">
        <v>846.75</v>
      </c>
      <c r="F617">
        <v>816.55</v>
      </c>
      <c r="G617" s="3">
        <f t="shared" si="29"/>
        <v>3.2812978267523718E-2</v>
      </c>
      <c r="H617" s="2">
        <f t="shared" si="27"/>
        <v>30.200000000000045</v>
      </c>
      <c r="I617" s="3">
        <f t="shared" si="28"/>
        <v>3.6984875390361945E-2</v>
      </c>
    </row>
    <row r="618" spans="2:9" x14ac:dyDescent="0.25">
      <c r="B618" s="1">
        <v>36083</v>
      </c>
      <c r="C618">
        <v>835.65</v>
      </c>
      <c r="D618">
        <v>843.65</v>
      </c>
      <c r="E618">
        <v>845.9</v>
      </c>
      <c r="F618">
        <v>832.1</v>
      </c>
      <c r="G618" s="3">
        <f t="shared" si="29"/>
        <v>-9.3651828581589047E-3</v>
      </c>
      <c r="H618" s="2">
        <f t="shared" si="27"/>
        <v>13.799999999999955</v>
      </c>
      <c r="I618" s="3">
        <f t="shared" si="28"/>
        <v>1.6357494221537313E-2</v>
      </c>
    </row>
    <row r="619" spans="2:9" x14ac:dyDescent="0.25">
      <c r="B619" s="1">
        <v>36084</v>
      </c>
      <c r="C619">
        <v>839.5</v>
      </c>
      <c r="D619">
        <v>836.25</v>
      </c>
      <c r="E619">
        <v>844.7</v>
      </c>
      <c r="F619">
        <v>829.25</v>
      </c>
      <c r="G619" s="3">
        <f t="shared" si="29"/>
        <v>4.6071920062227267E-3</v>
      </c>
      <c r="H619" s="2">
        <f t="shared" si="27"/>
        <v>15.450000000000045</v>
      </c>
      <c r="I619" s="3">
        <f t="shared" si="28"/>
        <v>1.847533632287001E-2</v>
      </c>
    </row>
    <row r="620" spans="2:9" x14ac:dyDescent="0.25">
      <c r="B620" s="1">
        <v>36087</v>
      </c>
      <c r="C620">
        <v>831.25</v>
      </c>
      <c r="D620">
        <v>839.7</v>
      </c>
      <c r="E620">
        <v>840</v>
      </c>
      <c r="F620">
        <v>830.1</v>
      </c>
      <c r="G620" s="3">
        <f t="shared" si="29"/>
        <v>-9.8272781417509947E-3</v>
      </c>
      <c r="H620" s="2">
        <f t="shared" si="27"/>
        <v>9.8999999999999773</v>
      </c>
      <c r="I620" s="3">
        <f t="shared" si="28"/>
        <v>1.1789924973204689E-2</v>
      </c>
    </row>
    <row r="621" spans="2:9" x14ac:dyDescent="0.25">
      <c r="B621" s="1">
        <v>36088</v>
      </c>
      <c r="C621">
        <v>808.7</v>
      </c>
      <c r="D621">
        <v>831.15</v>
      </c>
      <c r="E621">
        <v>831.45</v>
      </c>
      <c r="F621">
        <v>803.3</v>
      </c>
      <c r="G621" s="3">
        <f t="shared" si="29"/>
        <v>-2.7127819548872112E-2</v>
      </c>
      <c r="H621" s="2">
        <f t="shared" si="27"/>
        <v>28.150000000000091</v>
      </c>
      <c r="I621" s="3">
        <f t="shared" si="28"/>
        <v>3.3868736088552114E-2</v>
      </c>
    </row>
    <row r="622" spans="2:9" x14ac:dyDescent="0.25">
      <c r="B622" s="1">
        <v>36090</v>
      </c>
      <c r="C622">
        <v>811.6</v>
      </c>
      <c r="D622">
        <v>809.3</v>
      </c>
      <c r="E622">
        <v>825.2</v>
      </c>
      <c r="F622">
        <v>805.7</v>
      </c>
      <c r="G622" s="3">
        <f t="shared" si="29"/>
        <v>3.5860022257945268E-3</v>
      </c>
      <c r="H622" s="2">
        <f t="shared" si="27"/>
        <v>19.5</v>
      </c>
      <c r="I622" s="3">
        <f t="shared" si="28"/>
        <v>2.4094896824416165E-2</v>
      </c>
    </row>
    <row r="623" spans="2:9" x14ac:dyDescent="0.25">
      <c r="B623" s="1">
        <v>36091</v>
      </c>
      <c r="C623">
        <v>818.05</v>
      </c>
      <c r="D623">
        <v>811.85</v>
      </c>
      <c r="E623">
        <v>820.35</v>
      </c>
      <c r="F623">
        <v>804.7</v>
      </c>
      <c r="G623" s="3">
        <f t="shared" si="29"/>
        <v>7.9472646623952592E-3</v>
      </c>
      <c r="H623" s="2">
        <f t="shared" si="27"/>
        <v>15.649999999999977</v>
      </c>
      <c r="I623" s="3">
        <f t="shared" si="28"/>
        <v>1.9276960029562081E-2</v>
      </c>
    </row>
    <row r="624" spans="2:9" x14ac:dyDescent="0.25">
      <c r="B624" s="1">
        <v>36094</v>
      </c>
      <c r="C624">
        <v>845.25</v>
      </c>
      <c r="D624">
        <v>817.6</v>
      </c>
      <c r="E624">
        <v>854.1</v>
      </c>
      <c r="F624">
        <v>817.6</v>
      </c>
      <c r="G624" s="3">
        <f t="shared" si="29"/>
        <v>3.3249801356885378E-2</v>
      </c>
      <c r="H624" s="2">
        <f t="shared" si="27"/>
        <v>36.5</v>
      </c>
      <c r="I624" s="3">
        <f t="shared" si="28"/>
        <v>4.4642857142857144E-2</v>
      </c>
    </row>
    <row r="625" spans="2:9" x14ac:dyDescent="0.25">
      <c r="B625" s="1">
        <v>36095</v>
      </c>
      <c r="C625">
        <v>841.6</v>
      </c>
      <c r="D625">
        <v>845.45</v>
      </c>
      <c r="E625">
        <v>848.25</v>
      </c>
      <c r="F625">
        <v>835.7</v>
      </c>
      <c r="G625" s="3">
        <f t="shared" si="29"/>
        <v>-4.3182490387458916E-3</v>
      </c>
      <c r="H625" s="2">
        <f t="shared" si="27"/>
        <v>12.549999999999955</v>
      </c>
      <c r="I625" s="3">
        <f t="shared" si="28"/>
        <v>1.4844165828848488E-2</v>
      </c>
    </row>
    <row r="626" spans="2:9" x14ac:dyDescent="0.25">
      <c r="B626" s="1">
        <v>36096</v>
      </c>
      <c r="C626">
        <v>833.85</v>
      </c>
      <c r="D626">
        <v>842.8</v>
      </c>
      <c r="E626">
        <v>857.75</v>
      </c>
      <c r="F626">
        <v>831.55</v>
      </c>
      <c r="G626" s="3">
        <f t="shared" si="29"/>
        <v>-9.208650190114076E-3</v>
      </c>
      <c r="H626" s="2">
        <f t="shared" si="27"/>
        <v>26.200000000000045</v>
      </c>
      <c r="I626" s="3">
        <f t="shared" si="28"/>
        <v>3.1086853345989613E-2</v>
      </c>
    </row>
    <row r="627" spans="2:9" x14ac:dyDescent="0.25">
      <c r="B627" s="1">
        <v>36097</v>
      </c>
      <c r="C627">
        <v>832.25</v>
      </c>
      <c r="D627">
        <v>833.55</v>
      </c>
      <c r="E627">
        <v>834</v>
      </c>
      <c r="F627">
        <v>818.95</v>
      </c>
      <c r="G627" s="3">
        <f t="shared" si="29"/>
        <v>-1.9188103375906707E-3</v>
      </c>
      <c r="H627" s="2">
        <f t="shared" si="27"/>
        <v>15.049999999999955</v>
      </c>
      <c r="I627" s="3">
        <f t="shared" si="28"/>
        <v>1.8055305620538607E-2</v>
      </c>
    </row>
    <row r="628" spans="2:9" x14ac:dyDescent="0.25">
      <c r="B628" s="1">
        <v>36098</v>
      </c>
      <c r="C628">
        <v>828.85</v>
      </c>
      <c r="D628">
        <v>832.65</v>
      </c>
      <c r="E628">
        <v>839.2</v>
      </c>
      <c r="F628">
        <v>826.85</v>
      </c>
      <c r="G628" s="3">
        <f t="shared" si="29"/>
        <v>-4.0853109041754099E-3</v>
      </c>
      <c r="H628" s="2">
        <f t="shared" si="27"/>
        <v>12.350000000000023</v>
      </c>
      <c r="I628" s="3">
        <f t="shared" si="28"/>
        <v>1.4832162373146007E-2</v>
      </c>
    </row>
    <row r="629" spans="2:9" x14ac:dyDescent="0.25">
      <c r="B629" s="1">
        <v>36099</v>
      </c>
      <c r="C629">
        <v>824.55</v>
      </c>
      <c r="D629">
        <v>820.25</v>
      </c>
      <c r="E629">
        <v>824.7</v>
      </c>
      <c r="F629">
        <v>819.9</v>
      </c>
      <c r="G629" s="3">
        <f t="shared" si="29"/>
        <v>-5.1879109609701546E-3</v>
      </c>
      <c r="H629" s="2">
        <f t="shared" si="27"/>
        <v>4.8000000000000682</v>
      </c>
      <c r="I629" s="3">
        <f t="shared" si="28"/>
        <v>5.8518744285279709E-3</v>
      </c>
    </row>
    <row r="630" spans="2:9" x14ac:dyDescent="0.25">
      <c r="B630" s="1">
        <v>36101</v>
      </c>
      <c r="C630">
        <v>823.2</v>
      </c>
      <c r="D630">
        <v>824.2</v>
      </c>
      <c r="E630">
        <v>829.1</v>
      </c>
      <c r="F630">
        <v>812.3</v>
      </c>
      <c r="G630" s="3">
        <f t="shared" si="29"/>
        <v>-1.6372566854646609E-3</v>
      </c>
      <c r="H630" s="2">
        <f t="shared" si="27"/>
        <v>16.800000000000068</v>
      </c>
      <c r="I630" s="3">
        <f t="shared" si="28"/>
        <v>2.0383402086872199E-2</v>
      </c>
    </row>
    <row r="631" spans="2:9" x14ac:dyDescent="0.25">
      <c r="B631" s="1">
        <v>36102</v>
      </c>
      <c r="C631">
        <v>820.9</v>
      </c>
      <c r="D631">
        <v>823.2</v>
      </c>
      <c r="E631">
        <v>825.3</v>
      </c>
      <c r="F631">
        <v>818.6</v>
      </c>
      <c r="G631" s="3">
        <f t="shared" si="29"/>
        <v>-2.7939747327503373E-3</v>
      </c>
      <c r="H631" s="2">
        <f t="shared" si="27"/>
        <v>6.6999999999999318</v>
      </c>
      <c r="I631" s="3">
        <f t="shared" si="28"/>
        <v>8.1389698736636686E-3</v>
      </c>
    </row>
    <row r="632" spans="2:9" x14ac:dyDescent="0.25">
      <c r="B632" s="1">
        <v>36104</v>
      </c>
      <c r="C632">
        <v>829.15</v>
      </c>
      <c r="D632">
        <v>821.35</v>
      </c>
      <c r="E632">
        <v>830.4</v>
      </c>
      <c r="F632">
        <v>821.35</v>
      </c>
      <c r="G632" s="3">
        <f t="shared" si="29"/>
        <v>1.0049945182117215E-2</v>
      </c>
      <c r="H632" s="2">
        <f t="shared" si="27"/>
        <v>9.0499999999999545</v>
      </c>
      <c r="I632" s="3">
        <f t="shared" si="28"/>
        <v>1.1018445242588366E-2</v>
      </c>
    </row>
    <row r="633" spans="2:9" x14ac:dyDescent="0.25">
      <c r="B633" s="1">
        <v>36105</v>
      </c>
      <c r="C633">
        <v>840.8</v>
      </c>
      <c r="D633">
        <v>829.2</v>
      </c>
      <c r="E633">
        <v>842.15</v>
      </c>
      <c r="F633">
        <v>829.2</v>
      </c>
      <c r="G633" s="3">
        <f t="shared" si="29"/>
        <v>1.4050533679068833E-2</v>
      </c>
      <c r="H633" s="2">
        <f t="shared" si="27"/>
        <v>12.949999999999932</v>
      </c>
      <c r="I633" s="3">
        <f t="shared" si="28"/>
        <v>1.5617462614568176E-2</v>
      </c>
    </row>
    <row r="634" spans="2:9" x14ac:dyDescent="0.25">
      <c r="B634" s="1">
        <v>36108</v>
      </c>
      <c r="C634">
        <v>864.65</v>
      </c>
      <c r="D634">
        <v>841.3</v>
      </c>
      <c r="E634">
        <v>870.5</v>
      </c>
      <c r="F634">
        <v>841.3</v>
      </c>
      <c r="G634" s="3">
        <f t="shared" si="29"/>
        <v>2.8365842055185553E-2</v>
      </c>
      <c r="H634" s="2">
        <f t="shared" si="27"/>
        <v>29.200000000000045</v>
      </c>
      <c r="I634" s="3">
        <f t="shared" si="28"/>
        <v>3.4708189706406808E-2</v>
      </c>
    </row>
    <row r="635" spans="2:9" x14ac:dyDescent="0.25">
      <c r="B635" s="1">
        <v>36109</v>
      </c>
      <c r="C635">
        <v>868.7</v>
      </c>
      <c r="D635">
        <v>864.8</v>
      </c>
      <c r="E635">
        <v>871.6</v>
      </c>
      <c r="F635">
        <v>859.7</v>
      </c>
      <c r="G635" s="3">
        <f t="shared" si="29"/>
        <v>4.6839761753312281E-3</v>
      </c>
      <c r="H635" s="2">
        <f t="shared" si="27"/>
        <v>11.899999999999977</v>
      </c>
      <c r="I635" s="3">
        <f t="shared" si="28"/>
        <v>1.3760407030527264E-2</v>
      </c>
    </row>
    <row r="636" spans="2:9" x14ac:dyDescent="0.25">
      <c r="B636" s="1">
        <v>36110</v>
      </c>
      <c r="C636">
        <v>868.85</v>
      </c>
      <c r="D636">
        <v>869.45</v>
      </c>
      <c r="E636">
        <v>882.1</v>
      </c>
      <c r="F636">
        <v>866.6</v>
      </c>
      <c r="G636" s="3">
        <f t="shared" si="29"/>
        <v>1.7267180844937613E-4</v>
      </c>
      <c r="H636" s="2">
        <f t="shared" si="27"/>
        <v>15.5</v>
      </c>
      <c r="I636" s="3">
        <f t="shared" si="28"/>
        <v>1.7827362125481624E-2</v>
      </c>
    </row>
    <row r="637" spans="2:9" x14ac:dyDescent="0.25">
      <c r="B637" s="1">
        <v>36111</v>
      </c>
      <c r="C637">
        <v>871.75</v>
      </c>
      <c r="D637">
        <v>868.45</v>
      </c>
      <c r="E637">
        <v>874.2</v>
      </c>
      <c r="F637">
        <v>857.2</v>
      </c>
      <c r="G637" s="3">
        <f t="shared" si="29"/>
        <v>3.3377452955054565E-3</v>
      </c>
      <c r="H637" s="2">
        <f t="shared" si="27"/>
        <v>17</v>
      </c>
      <c r="I637" s="3">
        <f t="shared" si="28"/>
        <v>1.9575105072255166E-2</v>
      </c>
    </row>
    <row r="638" spans="2:9" x14ac:dyDescent="0.25">
      <c r="B638" s="1">
        <v>36112</v>
      </c>
      <c r="C638">
        <v>867.25</v>
      </c>
      <c r="D638">
        <v>871.7</v>
      </c>
      <c r="E638">
        <v>877.25</v>
      </c>
      <c r="F638">
        <v>865</v>
      </c>
      <c r="G638" s="3">
        <f t="shared" si="29"/>
        <v>-5.1620303986235072E-3</v>
      </c>
      <c r="H638" s="2">
        <f t="shared" si="27"/>
        <v>12.25</v>
      </c>
      <c r="I638" s="3">
        <f t="shared" si="28"/>
        <v>1.4052999885281633E-2</v>
      </c>
    </row>
    <row r="639" spans="2:9" x14ac:dyDescent="0.25">
      <c r="B639" s="1">
        <v>36115</v>
      </c>
      <c r="C639">
        <v>855.35</v>
      </c>
      <c r="D639">
        <v>866.5</v>
      </c>
      <c r="E639">
        <v>866.5</v>
      </c>
      <c r="F639">
        <v>854.3</v>
      </c>
      <c r="G639" s="3">
        <f t="shared" si="29"/>
        <v>-1.3721533583165191E-2</v>
      </c>
      <c r="H639" s="2">
        <f t="shared" si="27"/>
        <v>12.200000000000045</v>
      </c>
      <c r="I639" s="3">
        <f t="shared" si="28"/>
        <v>1.4079630698211247E-2</v>
      </c>
    </row>
    <row r="640" spans="2:9" x14ac:dyDescent="0.25">
      <c r="B640" s="1">
        <v>36116</v>
      </c>
      <c r="C640">
        <v>860.75</v>
      </c>
      <c r="D640">
        <v>855.45</v>
      </c>
      <c r="E640">
        <v>861.65</v>
      </c>
      <c r="F640">
        <v>854.55</v>
      </c>
      <c r="G640" s="3">
        <f t="shared" si="29"/>
        <v>6.3132051207108741E-3</v>
      </c>
      <c r="H640" s="2">
        <f t="shared" si="27"/>
        <v>7.1000000000000227</v>
      </c>
      <c r="I640" s="3">
        <f t="shared" si="28"/>
        <v>8.2997252907826558E-3</v>
      </c>
    </row>
    <row r="641" spans="2:9" x14ac:dyDescent="0.25">
      <c r="B641" s="1">
        <v>36117</v>
      </c>
      <c r="C641">
        <v>875.05</v>
      </c>
      <c r="D641">
        <v>862.9</v>
      </c>
      <c r="E641">
        <v>876.15</v>
      </c>
      <c r="F641">
        <v>862.9</v>
      </c>
      <c r="G641" s="3">
        <f t="shared" si="29"/>
        <v>1.6613418530351476E-2</v>
      </c>
      <c r="H641" s="2">
        <f t="shared" si="27"/>
        <v>13.25</v>
      </c>
      <c r="I641" s="3">
        <f t="shared" si="28"/>
        <v>1.53551975895237E-2</v>
      </c>
    </row>
    <row r="642" spans="2:9" x14ac:dyDescent="0.25">
      <c r="B642" s="1">
        <v>36118</v>
      </c>
      <c r="C642">
        <v>864.3</v>
      </c>
      <c r="D642">
        <v>875.25</v>
      </c>
      <c r="E642">
        <v>878.8</v>
      </c>
      <c r="F642">
        <v>864.3</v>
      </c>
      <c r="G642" s="3">
        <f t="shared" si="29"/>
        <v>-1.2285012285012331E-2</v>
      </c>
      <c r="H642" s="2">
        <f t="shared" si="27"/>
        <v>14.5</v>
      </c>
      <c r="I642" s="3">
        <f t="shared" si="28"/>
        <v>1.6566695229934304E-2</v>
      </c>
    </row>
    <row r="643" spans="2:9" x14ac:dyDescent="0.25">
      <c r="B643" s="1">
        <v>36119</v>
      </c>
      <c r="C643">
        <v>857.95</v>
      </c>
      <c r="D643">
        <v>864.3</v>
      </c>
      <c r="E643">
        <v>867.7</v>
      </c>
      <c r="F643">
        <v>855.4</v>
      </c>
      <c r="G643" s="3">
        <f t="shared" si="29"/>
        <v>-7.3469860002313148E-3</v>
      </c>
      <c r="H643" s="2">
        <f t="shared" si="27"/>
        <v>12.300000000000068</v>
      </c>
      <c r="I643" s="3">
        <f t="shared" si="28"/>
        <v>1.4231169732731769E-2</v>
      </c>
    </row>
    <row r="644" spans="2:9" x14ac:dyDescent="0.25">
      <c r="B644" s="1">
        <v>36120</v>
      </c>
      <c r="C644">
        <v>857.2</v>
      </c>
      <c r="D644">
        <v>857.2</v>
      </c>
      <c r="E644">
        <v>857.8</v>
      </c>
      <c r="F644">
        <v>854.55</v>
      </c>
      <c r="G644" s="3">
        <f t="shared" si="29"/>
        <v>-8.7417681683077397E-4</v>
      </c>
      <c r="H644" s="2">
        <f t="shared" si="27"/>
        <v>3.25</v>
      </c>
      <c r="I644" s="3">
        <f t="shared" si="28"/>
        <v>3.791413905739617E-3</v>
      </c>
    </row>
    <row r="645" spans="2:9" x14ac:dyDescent="0.25">
      <c r="B645" s="1">
        <v>36122</v>
      </c>
      <c r="C645">
        <v>847.55</v>
      </c>
      <c r="D645">
        <v>856.4</v>
      </c>
      <c r="E645">
        <v>856.4</v>
      </c>
      <c r="F645">
        <v>844.85</v>
      </c>
      <c r="G645" s="3">
        <f t="shared" si="29"/>
        <v>-1.125758282781153E-2</v>
      </c>
      <c r="H645" s="2">
        <f t="shared" ref="H645:H708" si="30">E645-F645</f>
        <v>11.549999999999955</v>
      </c>
      <c r="I645" s="3">
        <f t="shared" si="28"/>
        <v>1.3486688463334838E-2</v>
      </c>
    </row>
    <row r="646" spans="2:9" x14ac:dyDescent="0.25">
      <c r="B646" s="1">
        <v>36123</v>
      </c>
      <c r="C646">
        <v>841.75</v>
      </c>
      <c r="D646">
        <v>850.05</v>
      </c>
      <c r="E646">
        <v>851.55</v>
      </c>
      <c r="F646">
        <v>840.75</v>
      </c>
      <c r="G646" s="3">
        <f t="shared" si="29"/>
        <v>-6.8432540853046175E-3</v>
      </c>
      <c r="H646" s="2">
        <f t="shared" si="30"/>
        <v>10.799999999999955</v>
      </c>
      <c r="I646" s="3">
        <f t="shared" ref="I646:I709" si="31">H646/D646</f>
        <v>1.2705134992059238E-2</v>
      </c>
    </row>
    <row r="647" spans="2:9" x14ac:dyDescent="0.25">
      <c r="B647" s="1">
        <v>36125</v>
      </c>
      <c r="C647">
        <v>824.45</v>
      </c>
      <c r="D647">
        <v>838.85</v>
      </c>
      <c r="E647">
        <v>843.55</v>
      </c>
      <c r="F647">
        <v>821.4</v>
      </c>
      <c r="G647" s="3">
        <f t="shared" ref="G647:G710" si="32">C647/C646-1</f>
        <v>-2.0552420552420458E-2</v>
      </c>
      <c r="H647" s="2">
        <f t="shared" si="30"/>
        <v>22.149999999999977</v>
      </c>
      <c r="I647" s="3">
        <f t="shared" si="31"/>
        <v>2.6405197591941321E-2</v>
      </c>
    </row>
    <row r="648" spans="2:9" x14ac:dyDescent="0.25">
      <c r="B648" s="1">
        <v>36126</v>
      </c>
      <c r="C648">
        <v>812.45</v>
      </c>
      <c r="D648">
        <v>823.3</v>
      </c>
      <c r="E648">
        <v>824.65</v>
      </c>
      <c r="F648">
        <v>810.3</v>
      </c>
      <c r="G648" s="3">
        <f t="shared" si="32"/>
        <v>-1.4555157984110667E-2</v>
      </c>
      <c r="H648" s="2">
        <f t="shared" si="30"/>
        <v>14.350000000000023</v>
      </c>
      <c r="I648" s="3">
        <f t="shared" si="31"/>
        <v>1.7429855459735241E-2</v>
      </c>
    </row>
    <row r="649" spans="2:9" x14ac:dyDescent="0.25">
      <c r="B649" s="1">
        <v>36127</v>
      </c>
      <c r="C649">
        <v>810.85</v>
      </c>
      <c r="D649">
        <v>812.7</v>
      </c>
      <c r="E649">
        <v>817.4</v>
      </c>
      <c r="F649">
        <v>804.3</v>
      </c>
      <c r="G649" s="3">
        <f t="shared" si="32"/>
        <v>-1.9693519601206022E-3</v>
      </c>
      <c r="H649" s="2">
        <f t="shared" si="30"/>
        <v>13.100000000000023</v>
      </c>
      <c r="I649" s="3">
        <f t="shared" si="31"/>
        <v>1.6119109142364984E-2</v>
      </c>
    </row>
    <row r="650" spans="2:9" x14ac:dyDescent="0.25">
      <c r="B650" s="1">
        <v>36129</v>
      </c>
      <c r="C650">
        <v>817.75</v>
      </c>
      <c r="D650">
        <v>808.6</v>
      </c>
      <c r="E650">
        <v>817.75</v>
      </c>
      <c r="F650">
        <v>800.1</v>
      </c>
      <c r="G650" s="3">
        <f t="shared" si="32"/>
        <v>8.5095887032127226E-3</v>
      </c>
      <c r="H650" s="2">
        <f t="shared" si="30"/>
        <v>17.649999999999977</v>
      </c>
      <c r="I650" s="3">
        <f t="shared" si="31"/>
        <v>2.1827850605985626E-2</v>
      </c>
    </row>
    <row r="651" spans="2:9" x14ac:dyDescent="0.25">
      <c r="B651" s="1">
        <v>36130</v>
      </c>
      <c r="C651">
        <v>816.65</v>
      </c>
      <c r="D651">
        <v>816.55</v>
      </c>
      <c r="E651">
        <v>820.85</v>
      </c>
      <c r="F651">
        <v>812.25</v>
      </c>
      <c r="G651" s="3">
        <f t="shared" si="32"/>
        <v>-1.3451543870376392E-3</v>
      </c>
      <c r="H651" s="2">
        <f t="shared" si="30"/>
        <v>8.6000000000000227</v>
      </c>
      <c r="I651" s="3">
        <f t="shared" si="31"/>
        <v>1.053211683301699E-2</v>
      </c>
    </row>
    <row r="652" spans="2:9" x14ac:dyDescent="0.25">
      <c r="B652" s="1">
        <v>36131</v>
      </c>
      <c r="C652">
        <v>821.15</v>
      </c>
      <c r="D652">
        <v>820.35</v>
      </c>
      <c r="E652">
        <v>826.05</v>
      </c>
      <c r="F652">
        <v>817.35</v>
      </c>
      <c r="G652" s="3">
        <f t="shared" si="32"/>
        <v>5.5103165370722351E-3</v>
      </c>
      <c r="H652" s="2">
        <f t="shared" si="30"/>
        <v>8.6999999999999318</v>
      </c>
      <c r="I652" s="3">
        <f t="shared" si="31"/>
        <v>1.0605229475223906E-2</v>
      </c>
    </row>
    <row r="653" spans="2:9" x14ac:dyDescent="0.25">
      <c r="B653" s="1">
        <v>36132</v>
      </c>
      <c r="C653">
        <v>817.05</v>
      </c>
      <c r="D653">
        <v>821.3</v>
      </c>
      <c r="E653">
        <v>822.5</v>
      </c>
      <c r="F653">
        <v>814.5</v>
      </c>
      <c r="G653" s="3">
        <f t="shared" si="32"/>
        <v>-4.9929976252816033E-3</v>
      </c>
      <c r="H653" s="2">
        <f t="shared" si="30"/>
        <v>8</v>
      </c>
      <c r="I653" s="3">
        <f t="shared" si="31"/>
        <v>9.7406550590527219E-3</v>
      </c>
    </row>
    <row r="654" spans="2:9" x14ac:dyDescent="0.25">
      <c r="B654" s="1">
        <v>36133</v>
      </c>
      <c r="C654">
        <v>828.35</v>
      </c>
      <c r="D654">
        <v>816.15</v>
      </c>
      <c r="E654">
        <v>828.35</v>
      </c>
      <c r="F654">
        <v>813.1</v>
      </c>
      <c r="G654" s="3">
        <f t="shared" si="32"/>
        <v>1.3830242947188154E-2</v>
      </c>
      <c r="H654" s="2">
        <f t="shared" si="30"/>
        <v>15.25</v>
      </c>
      <c r="I654" s="3">
        <f t="shared" si="31"/>
        <v>1.8685290694112601E-2</v>
      </c>
    </row>
    <row r="655" spans="2:9" x14ac:dyDescent="0.25">
      <c r="B655" s="1">
        <v>36136</v>
      </c>
      <c r="C655">
        <v>845.15</v>
      </c>
      <c r="D655">
        <v>829.75</v>
      </c>
      <c r="E655">
        <v>846</v>
      </c>
      <c r="F655">
        <v>828.2</v>
      </c>
      <c r="G655" s="3">
        <f t="shared" si="32"/>
        <v>2.0281282066759054E-2</v>
      </c>
      <c r="H655" s="2">
        <f t="shared" si="30"/>
        <v>17.799999999999955</v>
      </c>
      <c r="I655" s="3">
        <f t="shared" si="31"/>
        <v>2.1452244652003561E-2</v>
      </c>
    </row>
    <row r="656" spans="2:9" x14ac:dyDescent="0.25">
      <c r="B656" s="1">
        <v>36137</v>
      </c>
      <c r="C656">
        <v>853</v>
      </c>
      <c r="D656">
        <v>844.95</v>
      </c>
      <c r="E656">
        <v>853.85</v>
      </c>
      <c r="F656">
        <v>840.5</v>
      </c>
      <c r="G656" s="3">
        <f t="shared" si="32"/>
        <v>9.2882920191681428E-3</v>
      </c>
      <c r="H656" s="2">
        <f t="shared" si="30"/>
        <v>13.350000000000023</v>
      </c>
      <c r="I656" s="3">
        <f t="shared" si="31"/>
        <v>1.579975146458373E-2</v>
      </c>
    </row>
    <row r="657" spans="2:9" x14ac:dyDescent="0.25">
      <c r="B657" s="1">
        <v>36138</v>
      </c>
      <c r="C657">
        <v>856.55</v>
      </c>
      <c r="D657">
        <v>855.95</v>
      </c>
      <c r="E657">
        <v>864.7</v>
      </c>
      <c r="F657">
        <v>855.1</v>
      </c>
      <c r="G657" s="3">
        <f t="shared" si="32"/>
        <v>4.1617819460726402E-3</v>
      </c>
      <c r="H657" s="2">
        <f t="shared" si="30"/>
        <v>9.6000000000000227</v>
      </c>
      <c r="I657" s="3">
        <f t="shared" si="31"/>
        <v>1.1215608388340466E-2</v>
      </c>
    </row>
    <row r="658" spans="2:9" x14ac:dyDescent="0.25">
      <c r="B658" s="1">
        <v>36139</v>
      </c>
      <c r="C658">
        <v>864.4</v>
      </c>
      <c r="D658">
        <v>858.6</v>
      </c>
      <c r="E658">
        <v>865.8</v>
      </c>
      <c r="F658">
        <v>858.5</v>
      </c>
      <c r="G658" s="3">
        <f t="shared" si="32"/>
        <v>9.1646722316269802E-3</v>
      </c>
      <c r="H658" s="2">
        <f t="shared" si="30"/>
        <v>7.2999999999999545</v>
      </c>
      <c r="I658" s="3">
        <f t="shared" si="31"/>
        <v>8.5022129047285754E-3</v>
      </c>
    </row>
    <row r="659" spans="2:9" x14ac:dyDescent="0.25">
      <c r="B659" s="1">
        <v>36140</v>
      </c>
      <c r="C659">
        <v>870</v>
      </c>
      <c r="D659">
        <v>867.15</v>
      </c>
      <c r="E659">
        <v>874.2</v>
      </c>
      <c r="F659">
        <v>865.7</v>
      </c>
      <c r="G659" s="3">
        <f t="shared" si="32"/>
        <v>6.478482184174128E-3</v>
      </c>
      <c r="H659" s="2">
        <f t="shared" si="30"/>
        <v>8.5</v>
      </c>
      <c r="I659" s="3">
        <f t="shared" si="31"/>
        <v>9.8022256818312871E-3</v>
      </c>
    </row>
    <row r="660" spans="2:9" x14ac:dyDescent="0.25">
      <c r="B660" s="1">
        <v>36143</v>
      </c>
      <c r="C660">
        <v>863.6</v>
      </c>
      <c r="D660">
        <v>871.65</v>
      </c>
      <c r="E660">
        <v>874.75</v>
      </c>
      <c r="F660">
        <v>861.95</v>
      </c>
      <c r="G660" s="3">
        <f t="shared" si="32"/>
        <v>-7.3563218390804153E-3</v>
      </c>
      <c r="H660" s="2">
        <f t="shared" si="30"/>
        <v>12.799999999999955</v>
      </c>
      <c r="I660" s="3">
        <f t="shared" si="31"/>
        <v>1.468479320828309E-2</v>
      </c>
    </row>
    <row r="661" spans="2:9" x14ac:dyDescent="0.25">
      <c r="B661" s="1">
        <v>36144</v>
      </c>
      <c r="C661">
        <v>845.05</v>
      </c>
      <c r="D661">
        <v>861</v>
      </c>
      <c r="E661">
        <v>861.1</v>
      </c>
      <c r="F661">
        <v>844.55</v>
      </c>
      <c r="G661" s="3">
        <f t="shared" si="32"/>
        <v>-2.1479851783233084E-2</v>
      </c>
      <c r="H661" s="2">
        <f t="shared" si="30"/>
        <v>16.550000000000068</v>
      </c>
      <c r="I661" s="3">
        <f t="shared" si="31"/>
        <v>1.9221835075493691E-2</v>
      </c>
    </row>
    <row r="662" spans="2:9" x14ac:dyDescent="0.25">
      <c r="B662" s="1">
        <v>36145</v>
      </c>
      <c r="C662">
        <v>851.55</v>
      </c>
      <c r="D662">
        <v>844.65</v>
      </c>
      <c r="E662">
        <v>851.55</v>
      </c>
      <c r="F662">
        <v>836.85</v>
      </c>
      <c r="G662" s="3">
        <f t="shared" si="32"/>
        <v>7.6918525531033399E-3</v>
      </c>
      <c r="H662" s="2">
        <f t="shared" si="30"/>
        <v>14.699999999999932</v>
      </c>
      <c r="I662" s="3">
        <f t="shared" si="31"/>
        <v>1.7403658320014125E-2</v>
      </c>
    </row>
    <row r="663" spans="2:9" x14ac:dyDescent="0.25">
      <c r="B663" s="1">
        <v>36146</v>
      </c>
      <c r="C663">
        <v>830.25</v>
      </c>
      <c r="D663">
        <v>835.45</v>
      </c>
      <c r="E663">
        <v>845.1</v>
      </c>
      <c r="F663">
        <v>827.9</v>
      </c>
      <c r="G663" s="3">
        <f t="shared" si="32"/>
        <v>-2.5013211203100183E-2</v>
      </c>
      <c r="H663" s="2">
        <f t="shared" si="30"/>
        <v>17.200000000000045</v>
      </c>
      <c r="I663" s="3">
        <f t="shared" si="31"/>
        <v>2.0587707223651979E-2</v>
      </c>
    </row>
    <row r="664" spans="2:9" x14ac:dyDescent="0.25">
      <c r="B664" s="1">
        <v>36147</v>
      </c>
      <c r="C664">
        <v>835.2</v>
      </c>
      <c r="D664">
        <v>830.3</v>
      </c>
      <c r="E664">
        <v>838.8</v>
      </c>
      <c r="F664">
        <v>827.3</v>
      </c>
      <c r="G664" s="3">
        <f t="shared" si="32"/>
        <v>5.9620596205962606E-3</v>
      </c>
      <c r="H664" s="2">
        <f t="shared" si="30"/>
        <v>11.5</v>
      </c>
      <c r="I664" s="3">
        <f t="shared" si="31"/>
        <v>1.3850415512465375E-2</v>
      </c>
    </row>
    <row r="665" spans="2:9" x14ac:dyDescent="0.25">
      <c r="B665" s="1">
        <v>36150</v>
      </c>
      <c r="C665">
        <v>856.4</v>
      </c>
      <c r="D665">
        <v>845.6</v>
      </c>
      <c r="E665">
        <v>859.55</v>
      </c>
      <c r="F665">
        <v>845.25</v>
      </c>
      <c r="G665" s="3">
        <f t="shared" si="32"/>
        <v>2.5383141762451933E-2</v>
      </c>
      <c r="H665" s="2">
        <f t="shared" si="30"/>
        <v>14.299999999999955</v>
      </c>
      <c r="I665" s="3">
        <f t="shared" si="31"/>
        <v>1.691106906338689E-2</v>
      </c>
    </row>
    <row r="666" spans="2:9" x14ac:dyDescent="0.25">
      <c r="B666" s="1">
        <v>36151</v>
      </c>
      <c r="C666">
        <v>857.3</v>
      </c>
      <c r="D666">
        <v>864.55</v>
      </c>
      <c r="E666">
        <v>864.9</v>
      </c>
      <c r="F666">
        <v>851.35</v>
      </c>
      <c r="G666" s="3">
        <f t="shared" si="32"/>
        <v>1.0509107893508229E-3</v>
      </c>
      <c r="H666" s="2">
        <f t="shared" si="30"/>
        <v>13.549999999999955</v>
      </c>
      <c r="I666" s="3">
        <f t="shared" si="31"/>
        <v>1.5672893412758029E-2</v>
      </c>
    </row>
    <row r="667" spans="2:9" x14ac:dyDescent="0.25">
      <c r="B667" s="1">
        <v>36152</v>
      </c>
      <c r="C667">
        <v>858.7</v>
      </c>
      <c r="D667">
        <v>866.25</v>
      </c>
      <c r="E667">
        <v>874.65</v>
      </c>
      <c r="F667">
        <v>858.7</v>
      </c>
      <c r="G667" s="3">
        <f t="shared" si="32"/>
        <v>1.633033943777118E-3</v>
      </c>
      <c r="H667" s="2">
        <f t="shared" si="30"/>
        <v>15.949999999999932</v>
      </c>
      <c r="I667" s="3">
        <f t="shared" si="31"/>
        <v>1.8412698412698335E-2</v>
      </c>
    </row>
    <row r="668" spans="2:9" x14ac:dyDescent="0.25">
      <c r="B668" s="1">
        <v>36153</v>
      </c>
      <c r="C668">
        <v>861.1</v>
      </c>
      <c r="D668">
        <v>856.3</v>
      </c>
      <c r="E668">
        <v>863.5</v>
      </c>
      <c r="F668">
        <v>854.75</v>
      </c>
      <c r="G668" s="3">
        <f t="shared" si="32"/>
        <v>2.7949225573540293E-3</v>
      </c>
      <c r="H668" s="2">
        <f t="shared" si="30"/>
        <v>8.75</v>
      </c>
      <c r="I668" s="3">
        <f t="shared" si="31"/>
        <v>1.0218381408384913E-2</v>
      </c>
    </row>
    <row r="669" spans="2:9" x14ac:dyDescent="0.25">
      <c r="B669" s="1">
        <v>36157</v>
      </c>
      <c r="C669">
        <v>879.85</v>
      </c>
      <c r="D669">
        <v>869.75</v>
      </c>
      <c r="E669">
        <v>882.7</v>
      </c>
      <c r="F669">
        <v>866.25</v>
      </c>
      <c r="G669" s="3">
        <f t="shared" si="32"/>
        <v>2.177447450934844E-2</v>
      </c>
      <c r="H669" s="2">
        <f t="shared" si="30"/>
        <v>16.450000000000045</v>
      </c>
      <c r="I669" s="3">
        <f t="shared" si="31"/>
        <v>1.8913480885311924E-2</v>
      </c>
    </row>
    <row r="670" spans="2:9" x14ac:dyDescent="0.25">
      <c r="B670" s="1">
        <v>36158</v>
      </c>
      <c r="C670">
        <v>872.65</v>
      </c>
      <c r="D670">
        <v>876.9</v>
      </c>
      <c r="E670">
        <v>881.25</v>
      </c>
      <c r="F670">
        <v>867.8</v>
      </c>
      <c r="G670" s="3">
        <f t="shared" si="32"/>
        <v>-8.1832130476786613E-3</v>
      </c>
      <c r="H670" s="2">
        <f t="shared" si="30"/>
        <v>13.450000000000045</v>
      </c>
      <c r="I670" s="3">
        <f t="shared" si="31"/>
        <v>1.5338122933059695E-2</v>
      </c>
    </row>
    <row r="671" spans="2:9" x14ac:dyDescent="0.25">
      <c r="B671" s="1">
        <v>36159</v>
      </c>
      <c r="C671">
        <v>899.95</v>
      </c>
      <c r="D671">
        <v>887.4</v>
      </c>
      <c r="E671">
        <v>903.85</v>
      </c>
      <c r="F671">
        <v>887</v>
      </c>
      <c r="G671" s="3">
        <f t="shared" si="32"/>
        <v>3.1284019939265439E-2</v>
      </c>
      <c r="H671" s="2">
        <f t="shared" si="30"/>
        <v>16.850000000000023</v>
      </c>
      <c r="I671" s="3">
        <f t="shared" si="31"/>
        <v>1.8988054992111814E-2</v>
      </c>
    </row>
    <row r="672" spans="2:9" x14ac:dyDescent="0.25">
      <c r="B672" s="1">
        <v>36160</v>
      </c>
      <c r="C672">
        <v>884.25</v>
      </c>
      <c r="D672">
        <v>900.55</v>
      </c>
      <c r="E672">
        <v>902.9</v>
      </c>
      <c r="F672">
        <v>884.25</v>
      </c>
      <c r="G672" s="3">
        <f t="shared" si="32"/>
        <v>-1.7445413634090801E-2</v>
      </c>
      <c r="H672" s="2">
        <f t="shared" si="30"/>
        <v>18.649999999999977</v>
      </c>
      <c r="I672" s="3">
        <f t="shared" si="31"/>
        <v>2.0709566376103467E-2</v>
      </c>
    </row>
    <row r="673" spans="2:9" x14ac:dyDescent="0.25">
      <c r="B673" s="1">
        <v>36161</v>
      </c>
      <c r="C673">
        <v>890.8</v>
      </c>
      <c r="D673">
        <v>886.75</v>
      </c>
      <c r="E673">
        <v>892.2</v>
      </c>
      <c r="F673">
        <v>882.6</v>
      </c>
      <c r="G673" s="3">
        <f t="shared" si="32"/>
        <v>7.4074074074073071E-3</v>
      </c>
      <c r="H673" s="2">
        <f t="shared" si="30"/>
        <v>9.6000000000000227</v>
      </c>
      <c r="I673" s="3">
        <f t="shared" si="31"/>
        <v>1.0826050183253479E-2</v>
      </c>
    </row>
    <row r="674" spans="2:9" x14ac:dyDescent="0.25">
      <c r="B674" s="1">
        <v>36164</v>
      </c>
      <c r="C674">
        <v>897.8</v>
      </c>
      <c r="D674">
        <v>896.4</v>
      </c>
      <c r="E674">
        <v>905.45</v>
      </c>
      <c r="F674">
        <v>895.75</v>
      </c>
      <c r="G674" s="3">
        <f t="shared" si="32"/>
        <v>7.8581050740906822E-3</v>
      </c>
      <c r="H674" s="2">
        <f t="shared" si="30"/>
        <v>9.7000000000000455</v>
      </c>
      <c r="I674" s="3">
        <f t="shared" si="31"/>
        <v>1.0821062025881354E-2</v>
      </c>
    </row>
    <row r="675" spans="2:9" x14ac:dyDescent="0.25">
      <c r="B675" s="1">
        <v>36165</v>
      </c>
      <c r="C675">
        <v>907.2</v>
      </c>
      <c r="D675">
        <v>901</v>
      </c>
      <c r="E675">
        <v>907.2</v>
      </c>
      <c r="F675">
        <v>893.15</v>
      </c>
      <c r="G675" s="3">
        <f t="shared" si="32"/>
        <v>1.0470037870349946E-2</v>
      </c>
      <c r="H675" s="2">
        <f t="shared" si="30"/>
        <v>14.050000000000068</v>
      </c>
      <c r="I675" s="3">
        <f t="shared" si="31"/>
        <v>1.559378468368487E-2</v>
      </c>
    </row>
    <row r="676" spans="2:9" x14ac:dyDescent="0.25">
      <c r="B676" s="1">
        <v>36166</v>
      </c>
      <c r="C676">
        <v>928.25</v>
      </c>
      <c r="D676">
        <v>923.3</v>
      </c>
      <c r="E676">
        <v>930.55</v>
      </c>
      <c r="F676">
        <v>915.65</v>
      </c>
      <c r="G676" s="3">
        <f t="shared" si="32"/>
        <v>2.3203262786596124E-2</v>
      </c>
      <c r="H676" s="2">
        <f t="shared" si="30"/>
        <v>14.899999999999977</v>
      </c>
      <c r="I676" s="3">
        <f t="shared" si="31"/>
        <v>1.6137766706379269E-2</v>
      </c>
    </row>
    <row r="677" spans="2:9" x14ac:dyDescent="0.25">
      <c r="B677" s="1">
        <v>36167</v>
      </c>
      <c r="C677">
        <v>954.7</v>
      </c>
      <c r="D677">
        <v>932.95</v>
      </c>
      <c r="E677">
        <v>961.15</v>
      </c>
      <c r="F677">
        <v>932.95</v>
      </c>
      <c r="G677" s="3">
        <f t="shared" si="32"/>
        <v>2.849447885806633E-2</v>
      </c>
      <c r="H677" s="2">
        <f t="shared" si="30"/>
        <v>28.199999999999932</v>
      </c>
      <c r="I677" s="3">
        <f t="shared" si="31"/>
        <v>3.0226700251889095E-2</v>
      </c>
    </row>
    <row r="678" spans="2:9" x14ac:dyDescent="0.25">
      <c r="B678" s="1">
        <v>36168</v>
      </c>
      <c r="C678">
        <v>990.05</v>
      </c>
      <c r="D678">
        <v>969.95</v>
      </c>
      <c r="E678">
        <v>990.05</v>
      </c>
      <c r="F678">
        <v>966.4</v>
      </c>
      <c r="G678" s="3">
        <f t="shared" si="32"/>
        <v>3.7027338430920542E-2</v>
      </c>
      <c r="H678" s="2">
        <f t="shared" si="30"/>
        <v>23.649999999999977</v>
      </c>
      <c r="I678" s="3">
        <f t="shared" si="31"/>
        <v>2.4382700139182409E-2</v>
      </c>
    </row>
    <row r="679" spans="2:9" x14ac:dyDescent="0.25">
      <c r="B679" s="1">
        <v>36171</v>
      </c>
      <c r="C679">
        <v>985.6</v>
      </c>
      <c r="D679" s="2">
        <v>1005.15</v>
      </c>
      <c r="E679" s="2">
        <v>1016.3</v>
      </c>
      <c r="F679">
        <v>985.6</v>
      </c>
      <c r="G679" s="3">
        <f t="shared" si="32"/>
        <v>-4.4947224887631476E-3</v>
      </c>
      <c r="H679" s="2">
        <f t="shared" si="30"/>
        <v>30.699999999999932</v>
      </c>
      <c r="I679" s="3">
        <f t="shared" si="31"/>
        <v>3.0542705068895122E-2</v>
      </c>
    </row>
    <row r="680" spans="2:9" x14ac:dyDescent="0.25">
      <c r="B680" s="1">
        <v>36172</v>
      </c>
      <c r="C680">
        <v>964.45</v>
      </c>
      <c r="D680">
        <v>976.7</v>
      </c>
      <c r="E680">
        <v>985.55</v>
      </c>
      <c r="F680">
        <v>953.9</v>
      </c>
      <c r="G680" s="3">
        <f t="shared" si="32"/>
        <v>-2.1459009740259716E-2</v>
      </c>
      <c r="H680" s="2">
        <f t="shared" si="30"/>
        <v>31.649999999999977</v>
      </c>
      <c r="I680" s="3">
        <f t="shared" si="31"/>
        <v>3.2405037370738174E-2</v>
      </c>
    </row>
    <row r="681" spans="2:9" x14ac:dyDescent="0.25">
      <c r="B681" s="1">
        <v>36173</v>
      </c>
      <c r="C681">
        <v>961.2</v>
      </c>
      <c r="D681">
        <v>980.3</v>
      </c>
      <c r="E681">
        <v>986.25</v>
      </c>
      <c r="F681">
        <v>958.05</v>
      </c>
      <c r="G681" s="3">
        <f t="shared" si="32"/>
        <v>-3.3697962569340101E-3</v>
      </c>
      <c r="H681" s="2">
        <f t="shared" si="30"/>
        <v>28.200000000000045</v>
      </c>
      <c r="I681" s="3">
        <f t="shared" si="31"/>
        <v>2.8766704070182645E-2</v>
      </c>
    </row>
    <row r="682" spans="2:9" x14ac:dyDescent="0.25">
      <c r="B682" s="1">
        <v>36174</v>
      </c>
      <c r="C682">
        <v>954.75</v>
      </c>
      <c r="D682">
        <v>948</v>
      </c>
      <c r="E682">
        <v>968.4</v>
      </c>
      <c r="F682">
        <v>944.5</v>
      </c>
      <c r="G682" s="3">
        <f t="shared" si="32"/>
        <v>-6.7103620474407988E-3</v>
      </c>
      <c r="H682" s="2">
        <f t="shared" si="30"/>
        <v>23.899999999999977</v>
      </c>
      <c r="I682" s="3">
        <f t="shared" si="31"/>
        <v>2.5210970464134997E-2</v>
      </c>
    </row>
    <row r="683" spans="2:9" x14ac:dyDescent="0.25">
      <c r="B683" s="1">
        <v>36175</v>
      </c>
      <c r="C683">
        <v>934.3</v>
      </c>
      <c r="D683">
        <v>961.7</v>
      </c>
      <c r="E683">
        <v>967.85</v>
      </c>
      <c r="F683">
        <v>932.25</v>
      </c>
      <c r="G683" s="3">
        <f t="shared" si="32"/>
        <v>-2.1419219691018676E-2</v>
      </c>
      <c r="H683" s="2">
        <f t="shared" si="30"/>
        <v>35.600000000000023</v>
      </c>
      <c r="I683" s="3">
        <f t="shared" si="31"/>
        <v>3.7017781012789873E-2</v>
      </c>
    </row>
    <row r="684" spans="2:9" x14ac:dyDescent="0.25">
      <c r="B684" s="1">
        <v>36178</v>
      </c>
      <c r="C684">
        <v>944.9</v>
      </c>
      <c r="D684">
        <v>938.65</v>
      </c>
      <c r="E684">
        <v>945.05</v>
      </c>
      <c r="F684">
        <v>922.8</v>
      </c>
      <c r="G684" s="3">
        <f t="shared" si="32"/>
        <v>1.1345392272289478E-2</v>
      </c>
      <c r="H684" s="2">
        <f t="shared" si="30"/>
        <v>22.25</v>
      </c>
      <c r="I684" s="3">
        <f t="shared" si="31"/>
        <v>2.3704256112501997E-2</v>
      </c>
    </row>
    <row r="685" spans="2:9" x14ac:dyDescent="0.25">
      <c r="B685" s="1">
        <v>36179</v>
      </c>
      <c r="C685">
        <v>924.1</v>
      </c>
      <c r="D685">
        <v>944.15</v>
      </c>
      <c r="E685">
        <v>948</v>
      </c>
      <c r="F685">
        <v>923.2</v>
      </c>
      <c r="G685" s="3">
        <f t="shared" si="32"/>
        <v>-2.20129114191977E-2</v>
      </c>
      <c r="H685" s="2">
        <f t="shared" si="30"/>
        <v>24.799999999999955</v>
      </c>
      <c r="I685" s="3">
        <f t="shared" si="31"/>
        <v>2.62670126568871E-2</v>
      </c>
    </row>
    <row r="686" spans="2:9" x14ac:dyDescent="0.25">
      <c r="B686" s="1">
        <v>36181</v>
      </c>
      <c r="C686">
        <v>967.2</v>
      </c>
      <c r="D686">
        <v>935.15</v>
      </c>
      <c r="E686">
        <v>967.2</v>
      </c>
      <c r="F686">
        <v>932.8</v>
      </c>
      <c r="G686" s="3">
        <f t="shared" si="32"/>
        <v>4.6639974028784836E-2</v>
      </c>
      <c r="H686" s="2">
        <f t="shared" si="30"/>
        <v>34.400000000000091</v>
      </c>
      <c r="I686" s="3">
        <f t="shared" si="31"/>
        <v>3.6785542426348815E-2</v>
      </c>
    </row>
    <row r="687" spans="2:9" x14ac:dyDescent="0.25">
      <c r="B687" s="1">
        <v>36182</v>
      </c>
      <c r="C687">
        <v>957.05</v>
      </c>
      <c r="D687">
        <v>976.6</v>
      </c>
      <c r="E687">
        <v>980.45</v>
      </c>
      <c r="F687">
        <v>955.15</v>
      </c>
      <c r="G687" s="3">
        <f t="shared" si="32"/>
        <v>-1.0494210090984391E-2</v>
      </c>
      <c r="H687" s="2">
        <f t="shared" si="30"/>
        <v>25.300000000000068</v>
      </c>
      <c r="I687" s="3">
        <f t="shared" si="31"/>
        <v>2.5906205201720323E-2</v>
      </c>
    </row>
    <row r="688" spans="2:9" x14ac:dyDescent="0.25">
      <c r="B688" s="1">
        <v>36185</v>
      </c>
      <c r="C688">
        <v>949.8</v>
      </c>
      <c r="D688">
        <v>954.35</v>
      </c>
      <c r="E688">
        <v>956.65</v>
      </c>
      <c r="F688">
        <v>935</v>
      </c>
      <c r="G688" s="3">
        <f t="shared" si="32"/>
        <v>-7.575361788830226E-3</v>
      </c>
      <c r="H688" s="2">
        <f t="shared" si="30"/>
        <v>21.649999999999977</v>
      </c>
      <c r="I688" s="3">
        <f t="shared" si="31"/>
        <v>2.2685597527112671E-2</v>
      </c>
    </row>
    <row r="689" spans="2:9" x14ac:dyDescent="0.25">
      <c r="B689" s="1">
        <v>36187</v>
      </c>
      <c r="C689">
        <v>971.3</v>
      </c>
      <c r="D689">
        <v>968.55</v>
      </c>
      <c r="E689">
        <v>985.25</v>
      </c>
      <c r="F689">
        <v>967.65</v>
      </c>
      <c r="G689" s="3">
        <f t="shared" si="32"/>
        <v>2.2636344493577543E-2</v>
      </c>
      <c r="H689" s="2">
        <f t="shared" si="30"/>
        <v>17.600000000000023</v>
      </c>
      <c r="I689" s="3">
        <f t="shared" si="31"/>
        <v>1.8171493469619559E-2</v>
      </c>
    </row>
    <row r="690" spans="2:9" x14ac:dyDescent="0.25">
      <c r="B690" s="1">
        <v>36188</v>
      </c>
      <c r="C690">
        <v>955.1</v>
      </c>
      <c r="D690">
        <v>971.2</v>
      </c>
      <c r="E690">
        <v>976.75</v>
      </c>
      <c r="F690">
        <v>954.25</v>
      </c>
      <c r="G690" s="3">
        <f t="shared" si="32"/>
        <v>-1.6678678060331409E-2</v>
      </c>
      <c r="H690" s="2">
        <f t="shared" si="30"/>
        <v>22.5</v>
      </c>
      <c r="I690" s="3">
        <f t="shared" si="31"/>
        <v>2.3167215815485996E-2</v>
      </c>
    </row>
    <row r="691" spans="2:9" x14ac:dyDescent="0.25">
      <c r="B691" s="1">
        <v>36189</v>
      </c>
      <c r="C691">
        <v>966.2</v>
      </c>
      <c r="D691">
        <v>956.8</v>
      </c>
      <c r="E691">
        <v>966.35</v>
      </c>
      <c r="F691">
        <v>952.7</v>
      </c>
      <c r="G691" s="3">
        <f t="shared" si="32"/>
        <v>1.1621819704743075E-2</v>
      </c>
      <c r="H691" s="2">
        <f t="shared" si="30"/>
        <v>13.649999999999977</v>
      </c>
      <c r="I691" s="3">
        <f t="shared" si="31"/>
        <v>1.4266304347826064E-2</v>
      </c>
    </row>
    <row r="692" spans="2:9" x14ac:dyDescent="0.25">
      <c r="B692" s="1">
        <v>36192</v>
      </c>
      <c r="C692">
        <v>940.15</v>
      </c>
      <c r="D692">
        <v>962.4</v>
      </c>
      <c r="E692">
        <v>968.05</v>
      </c>
      <c r="F692">
        <v>940.15</v>
      </c>
      <c r="G692" s="3">
        <f t="shared" si="32"/>
        <v>-2.6961291658041842E-2</v>
      </c>
      <c r="H692" s="2">
        <f t="shared" si="30"/>
        <v>27.899999999999977</v>
      </c>
      <c r="I692" s="3">
        <f t="shared" si="31"/>
        <v>2.8990024937655838E-2</v>
      </c>
    </row>
    <row r="693" spans="2:9" x14ac:dyDescent="0.25">
      <c r="B693" s="1">
        <v>36193</v>
      </c>
      <c r="C693">
        <v>931.2</v>
      </c>
      <c r="D693">
        <v>940.1</v>
      </c>
      <c r="E693">
        <v>945.15</v>
      </c>
      <c r="F693">
        <v>924.95</v>
      </c>
      <c r="G693" s="3">
        <f t="shared" si="32"/>
        <v>-9.5197574855075962E-3</v>
      </c>
      <c r="H693" s="2">
        <f t="shared" si="30"/>
        <v>20.199999999999932</v>
      </c>
      <c r="I693" s="3">
        <f t="shared" si="31"/>
        <v>2.1487075842995352E-2</v>
      </c>
    </row>
    <row r="694" spans="2:9" x14ac:dyDescent="0.25">
      <c r="B694" s="1">
        <v>36194</v>
      </c>
      <c r="C694">
        <v>952.4</v>
      </c>
      <c r="D694">
        <v>948</v>
      </c>
      <c r="E694">
        <v>955.55</v>
      </c>
      <c r="F694">
        <v>940.75</v>
      </c>
      <c r="G694" s="3">
        <f t="shared" si="32"/>
        <v>2.2766323024054902E-2</v>
      </c>
      <c r="H694" s="2">
        <f t="shared" si="30"/>
        <v>14.799999999999955</v>
      </c>
      <c r="I694" s="3">
        <f t="shared" si="31"/>
        <v>1.5611814345991513E-2</v>
      </c>
    </row>
    <row r="695" spans="2:9" x14ac:dyDescent="0.25">
      <c r="B695" s="1">
        <v>36195</v>
      </c>
      <c r="C695">
        <v>939.7</v>
      </c>
      <c r="D695">
        <v>957.15</v>
      </c>
      <c r="E695">
        <v>958.8</v>
      </c>
      <c r="F695">
        <v>937.5</v>
      </c>
      <c r="G695" s="3">
        <f t="shared" si="32"/>
        <v>-1.3334733305333857E-2</v>
      </c>
      <c r="H695" s="2">
        <f t="shared" si="30"/>
        <v>21.299999999999955</v>
      </c>
      <c r="I695" s="3">
        <f t="shared" si="31"/>
        <v>2.2253565271900907E-2</v>
      </c>
    </row>
    <row r="696" spans="2:9" x14ac:dyDescent="0.25">
      <c r="B696" s="1">
        <v>36196</v>
      </c>
      <c r="C696">
        <v>936.3</v>
      </c>
      <c r="D696">
        <v>939.65</v>
      </c>
      <c r="E696">
        <v>943.7</v>
      </c>
      <c r="F696">
        <v>930.1</v>
      </c>
      <c r="G696" s="3">
        <f t="shared" si="32"/>
        <v>-3.6181760136214658E-3</v>
      </c>
      <c r="H696" s="2">
        <f t="shared" si="30"/>
        <v>13.600000000000023</v>
      </c>
      <c r="I696" s="3">
        <f t="shared" si="31"/>
        <v>1.4473474165912865E-2</v>
      </c>
    </row>
    <row r="697" spans="2:9" x14ac:dyDescent="0.25">
      <c r="B697" s="1">
        <v>36199</v>
      </c>
      <c r="C697">
        <v>916.5</v>
      </c>
      <c r="D697">
        <v>937.75</v>
      </c>
      <c r="E697">
        <v>940.9</v>
      </c>
      <c r="F697">
        <v>916.5</v>
      </c>
      <c r="G697" s="3">
        <f t="shared" si="32"/>
        <v>-2.1147068247356571E-2</v>
      </c>
      <c r="H697" s="2">
        <f t="shared" si="30"/>
        <v>24.399999999999977</v>
      </c>
      <c r="I697" s="3">
        <f t="shared" si="31"/>
        <v>2.6019728072513973E-2</v>
      </c>
    </row>
    <row r="698" spans="2:9" x14ac:dyDescent="0.25">
      <c r="B698" s="1">
        <v>36200</v>
      </c>
      <c r="C698">
        <v>924.75</v>
      </c>
      <c r="D698">
        <v>914.7</v>
      </c>
      <c r="E698">
        <v>924.75</v>
      </c>
      <c r="F698">
        <v>907.45</v>
      </c>
      <c r="G698" s="3">
        <f t="shared" si="32"/>
        <v>9.0016366612111209E-3</v>
      </c>
      <c r="H698" s="2">
        <f t="shared" si="30"/>
        <v>17.299999999999955</v>
      </c>
      <c r="I698" s="3">
        <f t="shared" si="31"/>
        <v>1.891330490871319E-2</v>
      </c>
    </row>
    <row r="699" spans="2:9" x14ac:dyDescent="0.25">
      <c r="B699" s="1">
        <v>36201</v>
      </c>
      <c r="C699">
        <v>959.45</v>
      </c>
      <c r="D699">
        <v>938.8</v>
      </c>
      <c r="E699">
        <v>959.6</v>
      </c>
      <c r="F699">
        <v>935.2</v>
      </c>
      <c r="G699" s="3">
        <f t="shared" si="32"/>
        <v>3.7523655041903359E-2</v>
      </c>
      <c r="H699" s="2">
        <f t="shared" si="30"/>
        <v>24.399999999999977</v>
      </c>
      <c r="I699" s="3">
        <f t="shared" si="31"/>
        <v>2.5990626331486983E-2</v>
      </c>
    </row>
    <row r="700" spans="2:9" x14ac:dyDescent="0.25">
      <c r="B700" s="1">
        <v>36202</v>
      </c>
      <c r="C700">
        <v>960.05</v>
      </c>
      <c r="D700">
        <v>966.85</v>
      </c>
      <c r="E700">
        <v>973.7</v>
      </c>
      <c r="F700">
        <v>958.15</v>
      </c>
      <c r="G700" s="3">
        <f t="shared" si="32"/>
        <v>6.2535827818011036E-4</v>
      </c>
      <c r="H700" s="2">
        <f t="shared" si="30"/>
        <v>15.550000000000068</v>
      </c>
      <c r="I700" s="3">
        <f t="shared" si="31"/>
        <v>1.6083156642705765E-2</v>
      </c>
    </row>
    <row r="701" spans="2:9" x14ac:dyDescent="0.25">
      <c r="B701" s="1">
        <v>36203</v>
      </c>
      <c r="C701">
        <v>970.25</v>
      </c>
      <c r="D701">
        <v>965.7</v>
      </c>
      <c r="E701">
        <v>972.75</v>
      </c>
      <c r="F701">
        <v>962.35</v>
      </c>
      <c r="G701" s="3">
        <f t="shared" si="32"/>
        <v>1.0624446643404006E-2</v>
      </c>
      <c r="H701" s="2">
        <f t="shared" si="30"/>
        <v>10.399999999999977</v>
      </c>
      <c r="I701" s="3">
        <f t="shared" si="31"/>
        <v>1.0769390079734884E-2</v>
      </c>
    </row>
    <row r="702" spans="2:9" x14ac:dyDescent="0.25">
      <c r="B702" s="1">
        <v>36206</v>
      </c>
      <c r="C702">
        <v>954.55</v>
      </c>
      <c r="D702">
        <v>974.1</v>
      </c>
      <c r="E702">
        <v>976.85</v>
      </c>
      <c r="F702">
        <v>954.55</v>
      </c>
      <c r="G702" s="3">
        <f t="shared" si="32"/>
        <v>-1.6181396547281679E-2</v>
      </c>
      <c r="H702" s="2">
        <f t="shared" si="30"/>
        <v>22.300000000000068</v>
      </c>
      <c r="I702" s="3">
        <f t="shared" si="31"/>
        <v>2.2892926804229614E-2</v>
      </c>
    </row>
    <row r="703" spans="2:9" x14ac:dyDescent="0.25">
      <c r="B703" s="1">
        <v>36207</v>
      </c>
      <c r="C703">
        <v>958.9</v>
      </c>
      <c r="D703">
        <v>952.55</v>
      </c>
      <c r="E703">
        <v>960.25</v>
      </c>
      <c r="F703">
        <v>951.5</v>
      </c>
      <c r="G703" s="3">
        <f t="shared" si="32"/>
        <v>4.5571211565660352E-3</v>
      </c>
      <c r="H703" s="2">
        <f t="shared" si="30"/>
        <v>8.75</v>
      </c>
      <c r="I703" s="3">
        <f t="shared" si="31"/>
        <v>9.1858695081623015E-3</v>
      </c>
    </row>
    <row r="704" spans="2:9" x14ac:dyDescent="0.25">
      <c r="B704" s="1">
        <v>36208</v>
      </c>
      <c r="C704">
        <v>969.05</v>
      </c>
      <c r="D704">
        <v>970.1</v>
      </c>
      <c r="E704">
        <v>978.75</v>
      </c>
      <c r="F704">
        <v>953.1</v>
      </c>
      <c r="G704" s="3">
        <f t="shared" si="32"/>
        <v>1.0585045364480017E-2</v>
      </c>
      <c r="H704" s="2">
        <f t="shared" si="30"/>
        <v>25.649999999999977</v>
      </c>
      <c r="I704" s="3">
        <f t="shared" si="31"/>
        <v>2.6440573136789998E-2</v>
      </c>
    </row>
    <row r="705" spans="2:9" x14ac:dyDescent="0.25">
      <c r="B705" s="1">
        <v>36209</v>
      </c>
      <c r="C705">
        <v>973.45</v>
      </c>
      <c r="D705">
        <v>974.15</v>
      </c>
      <c r="E705">
        <v>989.15</v>
      </c>
      <c r="F705">
        <v>968.7</v>
      </c>
      <c r="G705" s="3">
        <f t="shared" si="32"/>
        <v>4.5405293844487105E-3</v>
      </c>
      <c r="H705" s="2">
        <f t="shared" si="30"/>
        <v>20.449999999999932</v>
      </c>
      <c r="I705" s="3">
        <f t="shared" si="31"/>
        <v>2.0992660267925813E-2</v>
      </c>
    </row>
    <row r="706" spans="2:9" x14ac:dyDescent="0.25">
      <c r="B706" s="1">
        <v>36210</v>
      </c>
      <c r="C706">
        <v>976.3</v>
      </c>
      <c r="D706">
        <v>979.4</v>
      </c>
      <c r="E706">
        <v>985.4</v>
      </c>
      <c r="F706">
        <v>975.85</v>
      </c>
      <c r="G706" s="3">
        <f t="shared" si="32"/>
        <v>2.9277312650879406E-3</v>
      </c>
      <c r="H706" s="2">
        <f t="shared" si="30"/>
        <v>9.5499999999999545</v>
      </c>
      <c r="I706" s="3">
        <f t="shared" si="31"/>
        <v>9.7508678782927856E-3</v>
      </c>
    </row>
    <row r="707" spans="2:9" x14ac:dyDescent="0.25">
      <c r="B707" s="1">
        <v>36213</v>
      </c>
      <c r="C707">
        <v>953.85</v>
      </c>
      <c r="D707">
        <v>978.5</v>
      </c>
      <c r="E707">
        <v>978.85</v>
      </c>
      <c r="F707">
        <v>953.6</v>
      </c>
      <c r="G707" s="3">
        <f t="shared" si="32"/>
        <v>-2.299498105090636E-2</v>
      </c>
      <c r="H707" s="2">
        <f t="shared" si="30"/>
        <v>25.25</v>
      </c>
      <c r="I707" s="3">
        <f t="shared" si="31"/>
        <v>2.5804803270311701E-2</v>
      </c>
    </row>
    <row r="708" spans="2:9" x14ac:dyDescent="0.25">
      <c r="B708" s="1">
        <v>36214</v>
      </c>
      <c r="C708">
        <v>949.65</v>
      </c>
      <c r="D708">
        <v>949.3</v>
      </c>
      <c r="E708">
        <v>952.65</v>
      </c>
      <c r="F708">
        <v>938.65</v>
      </c>
      <c r="G708" s="3">
        <f t="shared" si="32"/>
        <v>-4.4032080515804539E-3</v>
      </c>
      <c r="H708" s="2">
        <f t="shared" si="30"/>
        <v>14</v>
      </c>
      <c r="I708" s="3">
        <f t="shared" si="31"/>
        <v>1.4747708838091227E-2</v>
      </c>
    </row>
    <row r="709" spans="2:9" x14ac:dyDescent="0.25">
      <c r="B709" s="1">
        <v>36215</v>
      </c>
      <c r="C709">
        <v>957.65</v>
      </c>
      <c r="D709">
        <v>959.8</v>
      </c>
      <c r="E709">
        <v>961.4</v>
      </c>
      <c r="F709">
        <v>947.95</v>
      </c>
      <c r="G709" s="3">
        <f t="shared" si="32"/>
        <v>8.4241562680986704E-3</v>
      </c>
      <c r="H709" s="2">
        <f t="shared" ref="H709:H772" si="33">E709-F709</f>
        <v>13.449999999999932</v>
      </c>
      <c r="I709" s="3">
        <f t="shared" si="31"/>
        <v>1.4013336111689865E-2</v>
      </c>
    </row>
    <row r="710" spans="2:9" x14ac:dyDescent="0.25">
      <c r="B710" s="1">
        <v>36216</v>
      </c>
      <c r="C710">
        <v>954.3</v>
      </c>
      <c r="D710">
        <v>954.7</v>
      </c>
      <c r="E710">
        <v>962.6</v>
      </c>
      <c r="F710">
        <v>951.9</v>
      </c>
      <c r="G710" s="3">
        <f t="shared" si="32"/>
        <v>-3.4981465044641169E-3</v>
      </c>
      <c r="H710" s="2">
        <f t="shared" si="33"/>
        <v>10.700000000000045</v>
      </c>
      <c r="I710" s="3">
        <f t="shared" ref="I710:I773" si="34">H710/D710</f>
        <v>1.1207709228029794E-2</v>
      </c>
    </row>
    <row r="711" spans="2:9" x14ac:dyDescent="0.25">
      <c r="B711" s="1">
        <v>36217</v>
      </c>
      <c r="C711">
        <v>941.2</v>
      </c>
      <c r="D711">
        <v>955.4</v>
      </c>
      <c r="E711">
        <v>955.75</v>
      </c>
      <c r="F711">
        <v>938.2</v>
      </c>
      <c r="G711" s="3">
        <f t="shared" ref="G711:G774" si="35">C711/C710-1</f>
        <v>-1.3727339411086614E-2</v>
      </c>
      <c r="H711" s="2">
        <f t="shared" si="33"/>
        <v>17.549999999999955</v>
      </c>
      <c r="I711" s="3">
        <f t="shared" si="34"/>
        <v>1.8369269415951388E-2</v>
      </c>
    </row>
    <row r="712" spans="2:9" x14ac:dyDescent="0.25">
      <c r="B712" s="1">
        <v>36218</v>
      </c>
      <c r="C712">
        <v>981.3</v>
      </c>
      <c r="D712">
        <v>947.35</v>
      </c>
      <c r="E712">
        <v>981.55</v>
      </c>
      <c r="F712">
        <v>932.2</v>
      </c>
      <c r="G712" s="3">
        <f t="shared" si="35"/>
        <v>4.2605184870378121E-2</v>
      </c>
      <c r="H712" s="2">
        <f t="shared" si="33"/>
        <v>49.349999999999909</v>
      </c>
      <c r="I712" s="3">
        <f t="shared" si="34"/>
        <v>5.2092679579880626E-2</v>
      </c>
    </row>
    <row r="713" spans="2:9" x14ac:dyDescent="0.25">
      <c r="B713" s="1">
        <v>36220</v>
      </c>
      <c r="C713" s="2">
        <v>1015.8</v>
      </c>
      <c r="D713">
        <v>992.45</v>
      </c>
      <c r="E713" s="2">
        <v>1018.4</v>
      </c>
      <c r="F713">
        <v>984.45</v>
      </c>
      <c r="G713" s="3">
        <f t="shared" si="35"/>
        <v>3.5157444206664668E-2</v>
      </c>
      <c r="H713" s="2">
        <f t="shared" si="33"/>
        <v>33.949999999999932</v>
      </c>
      <c r="I713" s="3">
        <f t="shared" si="34"/>
        <v>3.4208272457050666E-2</v>
      </c>
    </row>
    <row r="714" spans="2:9" x14ac:dyDescent="0.25">
      <c r="B714" s="1">
        <v>36222</v>
      </c>
      <c r="C714" s="2">
        <v>1051.8499999999999</v>
      </c>
      <c r="D714" s="2">
        <v>1066.4000000000001</v>
      </c>
      <c r="E714" s="2">
        <v>1073.05</v>
      </c>
      <c r="F714" s="2">
        <v>1051.8</v>
      </c>
      <c r="G714" s="3">
        <f t="shared" si="35"/>
        <v>3.5489269541248314E-2</v>
      </c>
      <c r="H714" s="2">
        <f t="shared" si="33"/>
        <v>21.25</v>
      </c>
      <c r="I714" s="3">
        <f t="shared" si="34"/>
        <v>1.9926856714178542E-2</v>
      </c>
    </row>
    <row r="715" spans="2:9" x14ac:dyDescent="0.25">
      <c r="B715" s="1">
        <v>36223</v>
      </c>
      <c r="C715" s="2">
        <v>1041.2</v>
      </c>
      <c r="D715" s="2">
        <v>1056.8499999999999</v>
      </c>
      <c r="E715" s="2">
        <v>1060.55</v>
      </c>
      <c r="F715" s="2">
        <v>1030.45</v>
      </c>
      <c r="G715" s="3">
        <f t="shared" si="35"/>
        <v>-1.0125017825735494E-2</v>
      </c>
      <c r="H715" s="2">
        <f t="shared" si="33"/>
        <v>30.099999999999909</v>
      </c>
      <c r="I715" s="3">
        <f t="shared" si="34"/>
        <v>2.8480862941760811E-2</v>
      </c>
    </row>
    <row r="716" spans="2:9" x14ac:dyDescent="0.25">
      <c r="B716" s="1">
        <v>36224</v>
      </c>
      <c r="C716" s="2">
        <v>1054.45</v>
      </c>
      <c r="D716" s="2">
        <v>1043.45</v>
      </c>
      <c r="E716" s="2">
        <v>1061.4000000000001</v>
      </c>
      <c r="F716" s="2">
        <v>1033.8</v>
      </c>
      <c r="G716" s="3">
        <f t="shared" si="35"/>
        <v>1.2725701114099097E-2</v>
      </c>
      <c r="H716" s="2">
        <f t="shared" si="33"/>
        <v>27.600000000000136</v>
      </c>
      <c r="I716" s="3">
        <f t="shared" si="34"/>
        <v>2.6450716373568581E-2</v>
      </c>
    </row>
    <row r="717" spans="2:9" x14ac:dyDescent="0.25">
      <c r="B717" s="1">
        <v>36227</v>
      </c>
      <c r="C717" s="2">
        <v>1072.0999999999999</v>
      </c>
      <c r="D717" s="2">
        <v>1064.3499999999999</v>
      </c>
      <c r="E717" s="2">
        <v>1080.3</v>
      </c>
      <c r="F717" s="2">
        <v>1056.8499999999999</v>
      </c>
      <c r="G717" s="3">
        <f t="shared" si="35"/>
        <v>1.6738584095974174E-2</v>
      </c>
      <c r="H717" s="2">
        <f t="shared" si="33"/>
        <v>23.450000000000045</v>
      </c>
      <c r="I717" s="3">
        <f t="shared" si="34"/>
        <v>2.2032226241368014E-2</v>
      </c>
    </row>
    <row r="718" spans="2:9" x14ac:dyDescent="0.25">
      <c r="B718" s="1">
        <v>36228</v>
      </c>
      <c r="C718" s="2">
        <v>1078.3499999999999</v>
      </c>
      <c r="D718" s="2">
        <v>1074.25</v>
      </c>
      <c r="E718" s="2">
        <v>1084.6500000000001</v>
      </c>
      <c r="F718" s="2">
        <v>1071.75</v>
      </c>
      <c r="G718" s="3">
        <f t="shared" si="35"/>
        <v>5.8296800671580051E-3</v>
      </c>
      <c r="H718" s="2">
        <f t="shared" si="33"/>
        <v>12.900000000000091</v>
      </c>
      <c r="I718" s="3">
        <f t="shared" si="34"/>
        <v>1.2008377938096431E-2</v>
      </c>
    </row>
    <row r="719" spans="2:9" x14ac:dyDescent="0.25">
      <c r="B719" s="1">
        <v>36229</v>
      </c>
      <c r="C719" s="2">
        <v>1078.8499999999999</v>
      </c>
      <c r="D719" s="2">
        <v>1099.1500000000001</v>
      </c>
      <c r="E719" s="2">
        <v>1099.8</v>
      </c>
      <c r="F719" s="2">
        <v>1062.7</v>
      </c>
      <c r="G719" s="3">
        <f t="shared" si="35"/>
        <v>4.6367134974723001E-4</v>
      </c>
      <c r="H719" s="2">
        <f t="shared" si="33"/>
        <v>37.099999999999909</v>
      </c>
      <c r="I719" s="3">
        <f t="shared" si="34"/>
        <v>3.3753354865122966E-2</v>
      </c>
    </row>
    <row r="720" spans="2:9" x14ac:dyDescent="0.25">
      <c r="B720" s="1">
        <v>36230</v>
      </c>
      <c r="C720" s="2">
        <v>1059.5999999999999</v>
      </c>
      <c r="D720" s="2">
        <v>1080.1500000000001</v>
      </c>
      <c r="E720" s="2">
        <v>1085.4000000000001</v>
      </c>
      <c r="F720" s="2">
        <v>1059.5999999999999</v>
      </c>
      <c r="G720" s="3">
        <f t="shared" si="35"/>
        <v>-1.7843073643231233E-2</v>
      </c>
      <c r="H720" s="2">
        <f t="shared" si="33"/>
        <v>25.800000000000182</v>
      </c>
      <c r="I720" s="3">
        <f t="shared" si="34"/>
        <v>2.3885571448410109E-2</v>
      </c>
    </row>
    <row r="721" spans="2:9" x14ac:dyDescent="0.25">
      <c r="B721" s="1">
        <v>36231</v>
      </c>
      <c r="C721" s="2">
        <v>1072.6500000000001</v>
      </c>
      <c r="D721" s="2">
        <v>1066.8499999999999</v>
      </c>
      <c r="E721" s="2">
        <v>1074.1500000000001</v>
      </c>
      <c r="F721" s="2">
        <v>1057.0999999999999</v>
      </c>
      <c r="G721" s="3">
        <f t="shared" si="35"/>
        <v>1.2315968289920987E-2</v>
      </c>
      <c r="H721" s="2">
        <f t="shared" si="33"/>
        <v>17.050000000000182</v>
      </c>
      <c r="I721" s="3">
        <f t="shared" si="34"/>
        <v>1.5981628157660573E-2</v>
      </c>
    </row>
    <row r="722" spans="2:9" x14ac:dyDescent="0.25">
      <c r="B722" s="1">
        <v>36234</v>
      </c>
      <c r="C722" s="2">
        <v>1073.95</v>
      </c>
      <c r="D722" s="2">
        <v>1073.1500000000001</v>
      </c>
      <c r="E722" s="2">
        <v>1082.5</v>
      </c>
      <c r="F722" s="2">
        <v>1063.45</v>
      </c>
      <c r="G722" s="3">
        <f t="shared" si="35"/>
        <v>1.2119517083857279E-3</v>
      </c>
      <c r="H722" s="2">
        <f t="shared" si="33"/>
        <v>19.049999999999955</v>
      </c>
      <c r="I722" s="3">
        <f t="shared" si="34"/>
        <v>1.7751479289940784E-2</v>
      </c>
    </row>
    <row r="723" spans="2:9" x14ac:dyDescent="0.25">
      <c r="B723" s="1">
        <v>36235</v>
      </c>
      <c r="C723" s="2">
        <v>1053.1500000000001</v>
      </c>
      <c r="D723" s="2">
        <v>1068.8499999999999</v>
      </c>
      <c r="E723" s="2">
        <v>1075.7</v>
      </c>
      <c r="F723" s="2">
        <v>1052.9000000000001</v>
      </c>
      <c r="G723" s="3">
        <f t="shared" si="35"/>
        <v>-1.9367754550956739E-2</v>
      </c>
      <c r="H723" s="2">
        <f t="shared" si="33"/>
        <v>22.799999999999955</v>
      </c>
      <c r="I723" s="3">
        <f t="shared" si="34"/>
        <v>2.1331337418721015E-2</v>
      </c>
    </row>
    <row r="724" spans="2:9" x14ac:dyDescent="0.25">
      <c r="B724" s="1">
        <v>36236</v>
      </c>
      <c r="C724" s="2">
        <v>1060.6500000000001</v>
      </c>
      <c r="D724" s="2">
        <v>1078.2</v>
      </c>
      <c r="E724" s="2">
        <v>1088.55</v>
      </c>
      <c r="F724" s="2">
        <v>1057.75</v>
      </c>
      <c r="G724" s="3">
        <f t="shared" si="35"/>
        <v>7.1214926648626165E-3</v>
      </c>
      <c r="H724" s="2">
        <f t="shared" si="33"/>
        <v>30.799999999999955</v>
      </c>
      <c r="I724" s="3">
        <f t="shared" si="34"/>
        <v>2.8566128733073598E-2</v>
      </c>
    </row>
    <row r="725" spans="2:9" x14ac:dyDescent="0.25">
      <c r="B725" s="1">
        <v>36237</v>
      </c>
      <c r="C725" s="2">
        <v>1074.5999999999999</v>
      </c>
      <c r="D725" s="2">
        <v>1061.4000000000001</v>
      </c>
      <c r="E725" s="2">
        <v>1074.5999999999999</v>
      </c>
      <c r="F725" s="2">
        <v>1058.25</v>
      </c>
      <c r="G725" s="3">
        <f t="shared" si="35"/>
        <v>1.3152312261349053E-2</v>
      </c>
      <c r="H725" s="2">
        <f t="shared" si="33"/>
        <v>16.349999999999909</v>
      </c>
      <c r="I725" s="3">
        <f t="shared" si="34"/>
        <v>1.540418315432439E-2</v>
      </c>
    </row>
    <row r="726" spans="2:9" x14ac:dyDescent="0.25">
      <c r="B726" s="1">
        <v>36238</v>
      </c>
      <c r="C726" s="2">
        <v>1062.9000000000001</v>
      </c>
      <c r="D726" s="2">
        <v>1080.7</v>
      </c>
      <c r="E726" s="2">
        <v>1083.1500000000001</v>
      </c>
      <c r="F726" s="2">
        <v>1056.4000000000001</v>
      </c>
      <c r="G726" s="3">
        <f t="shared" si="35"/>
        <v>-1.0887772194304701E-2</v>
      </c>
      <c r="H726" s="2">
        <f t="shared" si="33"/>
        <v>26.75</v>
      </c>
      <c r="I726" s="3">
        <f t="shared" si="34"/>
        <v>2.475247524752475E-2</v>
      </c>
    </row>
    <row r="727" spans="2:9" x14ac:dyDescent="0.25">
      <c r="B727" s="1">
        <v>36239</v>
      </c>
      <c r="C727" s="2">
        <v>1060.3499999999999</v>
      </c>
      <c r="D727" s="2">
        <v>1063.1500000000001</v>
      </c>
      <c r="E727" s="2">
        <v>1063.6500000000001</v>
      </c>
      <c r="F727" s="2">
        <v>1053.5999999999999</v>
      </c>
      <c r="G727" s="3">
        <f t="shared" si="35"/>
        <v>-2.3990968106126775E-3</v>
      </c>
      <c r="H727" s="2">
        <f t="shared" si="33"/>
        <v>10.050000000000182</v>
      </c>
      <c r="I727" s="3">
        <f t="shared" si="34"/>
        <v>9.4530404928751168E-3</v>
      </c>
    </row>
    <row r="728" spans="2:9" x14ac:dyDescent="0.25">
      <c r="B728" s="1">
        <v>36241</v>
      </c>
      <c r="C728" s="2">
        <v>1063</v>
      </c>
      <c r="D728" s="2">
        <v>1052.5999999999999</v>
      </c>
      <c r="E728" s="2">
        <v>1066.5999999999999</v>
      </c>
      <c r="F728" s="2">
        <v>1044.0999999999999</v>
      </c>
      <c r="G728" s="3">
        <f t="shared" si="35"/>
        <v>2.4991748007734405E-3</v>
      </c>
      <c r="H728" s="2">
        <f t="shared" si="33"/>
        <v>22.5</v>
      </c>
      <c r="I728" s="3">
        <f t="shared" si="34"/>
        <v>2.1375641269238081E-2</v>
      </c>
    </row>
    <row r="729" spans="2:9" x14ac:dyDescent="0.25">
      <c r="B729" s="1">
        <v>36242</v>
      </c>
      <c r="C729" s="2">
        <v>1072.95</v>
      </c>
      <c r="D729" s="2">
        <v>1063.95</v>
      </c>
      <c r="E729" s="2">
        <v>1079.8499999999999</v>
      </c>
      <c r="F729" s="2">
        <v>1063.9000000000001</v>
      </c>
      <c r="G729" s="3">
        <f t="shared" si="35"/>
        <v>9.3603010348071169E-3</v>
      </c>
      <c r="H729" s="2">
        <f t="shared" si="33"/>
        <v>15.949999999999818</v>
      </c>
      <c r="I729" s="3">
        <f t="shared" si="34"/>
        <v>1.4991305982423814E-2</v>
      </c>
    </row>
    <row r="730" spans="2:9" x14ac:dyDescent="0.25">
      <c r="B730" s="1">
        <v>36243</v>
      </c>
      <c r="C730" s="2">
        <v>1062.8</v>
      </c>
      <c r="D730" s="2">
        <v>1091.1500000000001</v>
      </c>
      <c r="E730" s="2">
        <v>1091.9000000000001</v>
      </c>
      <c r="F730" s="2">
        <v>1047.05</v>
      </c>
      <c r="G730" s="3">
        <f t="shared" si="35"/>
        <v>-9.4599002749430339E-3</v>
      </c>
      <c r="H730" s="2">
        <f t="shared" si="33"/>
        <v>44.850000000000136</v>
      </c>
      <c r="I730" s="3">
        <f t="shared" si="34"/>
        <v>4.110342299408893E-2</v>
      </c>
    </row>
    <row r="731" spans="2:9" x14ac:dyDescent="0.25">
      <c r="B731" s="1">
        <v>36244</v>
      </c>
      <c r="C731" s="2">
        <v>1054.9000000000001</v>
      </c>
      <c r="D731" s="2">
        <v>1057.95</v>
      </c>
      <c r="E731" s="2">
        <v>1068.1500000000001</v>
      </c>
      <c r="F731" s="2">
        <v>1053.3</v>
      </c>
      <c r="G731" s="3">
        <f t="shared" si="35"/>
        <v>-7.4331953330822875E-3</v>
      </c>
      <c r="H731" s="2">
        <f t="shared" si="33"/>
        <v>14.850000000000136</v>
      </c>
      <c r="I731" s="3">
        <f t="shared" si="34"/>
        <v>1.4036580178647512E-2</v>
      </c>
    </row>
    <row r="732" spans="2:9" x14ac:dyDescent="0.25">
      <c r="B732" s="1">
        <v>36245</v>
      </c>
      <c r="C732" s="2">
        <v>1041.25</v>
      </c>
      <c r="D732" s="2">
        <v>1054.95</v>
      </c>
      <c r="E732" s="2">
        <v>1057.8</v>
      </c>
      <c r="F732" s="2">
        <v>1033</v>
      </c>
      <c r="G732" s="3">
        <f t="shared" si="35"/>
        <v>-1.2939615129396231E-2</v>
      </c>
      <c r="H732" s="2">
        <f t="shared" si="33"/>
        <v>24.799999999999955</v>
      </c>
      <c r="I732" s="3">
        <f t="shared" si="34"/>
        <v>2.3508223138537326E-2</v>
      </c>
    </row>
    <row r="733" spans="2:9" x14ac:dyDescent="0.25">
      <c r="B733" s="1">
        <v>36249</v>
      </c>
      <c r="C733" s="2">
        <v>1054.5999999999999</v>
      </c>
      <c r="D733" s="2">
        <v>1036</v>
      </c>
      <c r="E733" s="2">
        <v>1054.6500000000001</v>
      </c>
      <c r="F733" s="2">
        <v>1028.45</v>
      </c>
      <c r="G733" s="3">
        <f t="shared" si="35"/>
        <v>1.2821128451380392E-2</v>
      </c>
      <c r="H733" s="2">
        <f t="shared" si="33"/>
        <v>26.200000000000045</v>
      </c>
      <c r="I733" s="3">
        <f t="shared" si="34"/>
        <v>2.5289575289575334E-2</v>
      </c>
    </row>
    <row r="734" spans="2:9" x14ac:dyDescent="0.25">
      <c r="B734" s="1">
        <v>36250</v>
      </c>
      <c r="C734" s="2">
        <v>1078.05</v>
      </c>
      <c r="D734" s="2">
        <v>1076.95</v>
      </c>
      <c r="E734" s="2">
        <v>1090.4000000000001</v>
      </c>
      <c r="F734" s="2">
        <v>1073.6500000000001</v>
      </c>
      <c r="G734" s="3">
        <f t="shared" si="35"/>
        <v>2.2235918831784662E-2</v>
      </c>
      <c r="H734" s="2">
        <f t="shared" si="33"/>
        <v>16.75</v>
      </c>
      <c r="I734" s="3">
        <f t="shared" si="34"/>
        <v>1.5553182599006453E-2</v>
      </c>
    </row>
    <row r="735" spans="2:9" x14ac:dyDescent="0.25">
      <c r="B735" s="1">
        <v>36251</v>
      </c>
      <c r="C735" s="2">
        <v>1063.45</v>
      </c>
      <c r="D735" s="2">
        <v>1082.55</v>
      </c>
      <c r="E735" s="2">
        <v>1084.05</v>
      </c>
      <c r="F735" s="2">
        <v>1062.45</v>
      </c>
      <c r="G735" s="3">
        <f t="shared" si="35"/>
        <v>-1.3542971105236168E-2</v>
      </c>
      <c r="H735" s="2">
        <f t="shared" si="33"/>
        <v>21.599999999999909</v>
      </c>
      <c r="I735" s="3">
        <f t="shared" si="34"/>
        <v>1.9952889012054786E-2</v>
      </c>
    </row>
    <row r="736" spans="2:9" x14ac:dyDescent="0.25">
      <c r="B736" s="1">
        <v>36255</v>
      </c>
      <c r="C736" s="2">
        <v>1011.4</v>
      </c>
      <c r="D736" s="2">
        <v>1030.6500000000001</v>
      </c>
      <c r="E736" s="2">
        <v>1036.45</v>
      </c>
      <c r="F736" s="2">
        <v>1008.35</v>
      </c>
      <c r="G736" s="3">
        <f t="shared" si="35"/>
        <v>-4.8944473176924186E-2</v>
      </c>
      <c r="H736" s="2">
        <f t="shared" si="33"/>
        <v>28.100000000000023</v>
      </c>
      <c r="I736" s="3">
        <f t="shared" si="34"/>
        <v>2.7264347741716412E-2</v>
      </c>
    </row>
    <row r="737" spans="2:9" x14ac:dyDescent="0.25">
      <c r="B737" s="1">
        <v>36256</v>
      </c>
      <c r="C737" s="2">
        <v>1024.2</v>
      </c>
      <c r="D737">
        <v>999.8</v>
      </c>
      <c r="E737" s="2">
        <v>1025.95</v>
      </c>
      <c r="F737">
        <v>993</v>
      </c>
      <c r="G737" s="3">
        <f t="shared" si="35"/>
        <v>1.265572473798704E-2</v>
      </c>
      <c r="H737" s="2">
        <f t="shared" si="33"/>
        <v>32.950000000000045</v>
      </c>
      <c r="I737" s="3">
        <f t="shared" si="34"/>
        <v>3.29565913182637E-2</v>
      </c>
    </row>
    <row r="738" spans="2:9" x14ac:dyDescent="0.25">
      <c r="B738" s="1">
        <v>36257</v>
      </c>
      <c r="C738" s="2">
        <v>1031.05</v>
      </c>
      <c r="D738" s="2">
        <v>1027.3499999999999</v>
      </c>
      <c r="E738" s="2">
        <v>1043.4000000000001</v>
      </c>
      <c r="F738" s="2">
        <v>1027</v>
      </c>
      <c r="G738" s="3">
        <f t="shared" si="35"/>
        <v>6.6881468463189098E-3</v>
      </c>
      <c r="H738" s="2">
        <f t="shared" si="33"/>
        <v>16.400000000000091</v>
      </c>
      <c r="I738" s="3">
        <f t="shared" si="34"/>
        <v>1.596340098311198E-2</v>
      </c>
    </row>
    <row r="739" spans="2:9" x14ac:dyDescent="0.25">
      <c r="B739" s="1">
        <v>36258</v>
      </c>
      <c r="C739" s="2">
        <v>1020.35</v>
      </c>
      <c r="D739" s="2">
        <v>1033</v>
      </c>
      <c r="E739" s="2">
        <v>1036.95</v>
      </c>
      <c r="F739" s="2">
        <v>1015.3</v>
      </c>
      <c r="G739" s="3">
        <f t="shared" si="35"/>
        <v>-1.0377770234227146E-2</v>
      </c>
      <c r="H739" s="2">
        <f t="shared" si="33"/>
        <v>21.650000000000091</v>
      </c>
      <c r="I739" s="3">
        <f t="shared" si="34"/>
        <v>2.0958373668925549E-2</v>
      </c>
    </row>
    <row r="740" spans="2:9" x14ac:dyDescent="0.25">
      <c r="B740" s="1">
        <v>36259</v>
      </c>
      <c r="C740">
        <v>993.4</v>
      </c>
      <c r="D740" s="2">
        <v>1021.55</v>
      </c>
      <c r="E740" s="2">
        <v>1022.15</v>
      </c>
      <c r="F740">
        <v>989.75</v>
      </c>
      <c r="G740" s="3">
        <f t="shared" si="35"/>
        <v>-2.6412505512814266E-2</v>
      </c>
      <c r="H740" s="2">
        <f t="shared" si="33"/>
        <v>32.399999999999977</v>
      </c>
      <c r="I740" s="3">
        <f t="shared" si="34"/>
        <v>3.1716509226175887E-2</v>
      </c>
    </row>
    <row r="741" spans="2:9" x14ac:dyDescent="0.25">
      <c r="B741" s="1">
        <v>36262</v>
      </c>
      <c r="C741">
        <v>998.2</v>
      </c>
      <c r="D741">
        <v>984.55</v>
      </c>
      <c r="E741">
        <v>999.65</v>
      </c>
      <c r="F741">
        <v>972.7</v>
      </c>
      <c r="G741" s="3">
        <f t="shared" si="35"/>
        <v>4.8318904771491589E-3</v>
      </c>
      <c r="H741" s="2">
        <f t="shared" si="33"/>
        <v>26.949999999999932</v>
      </c>
      <c r="I741" s="3">
        <f t="shared" si="34"/>
        <v>2.7372911482403062E-2</v>
      </c>
    </row>
    <row r="742" spans="2:9" x14ac:dyDescent="0.25">
      <c r="B742" s="1">
        <v>36263</v>
      </c>
      <c r="C742">
        <v>994.25</v>
      </c>
      <c r="D742">
        <v>991.05</v>
      </c>
      <c r="E742" s="2">
        <v>1006.15</v>
      </c>
      <c r="F742">
        <v>989.9</v>
      </c>
      <c r="G742" s="3">
        <f t="shared" si="35"/>
        <v>-3.957122821077963E-3</v>
      </c>
      <c r="H742" s="2">
        <f t="shared" si="33"/>
        <v>16.25</v>
      </c>
      <c r="I742" s="3">
        <f t="shared" si="34"/>
        <v>1.6396750920740628E-2</v>
      </c>
    </row>
    <row r="743" spans="2:9" x14ac:dyDescent="0.25">
      <c r="B743" s="1">
        <v>36265</v>
      </c>
      <c r="C743">
        <v>968.6</v>
      </c>
      <c r="D743">
        <v>968.4</v>
      </c>
      <c r="E743">
        <v>980.65</v>
      </c>
      <c r="F743">
        <v>964.35</v>
      </c>
      <c r="G743" s="3">
        <f t="shared" si="35"/>
        <v>-2.5798340457631408E-2</v>
      </c>
      <c r="H743" s="2">
        <f t="shared" si="33"/>
        <v>16.299999999999955</v>
      </c>
      <c r="I743" s="3">
        <f t="shared" si="34"/>
        <v>1.683188764973147E-2</v>
      </c>
    </row>
    <row r="744" spans="2:9" x14ac:dyDescent="0.25">
      <c r="B744" s="1">
        <v>36266</v>
      </c>
      <c r="C744" s="2">
        <v>1044.45</v>
      </c>
      <c r="D744">
        <v>970.95</v>
      </c>
      <c r="E744" s="2">
        <v>1044.8499999999999</v>
      </c>
      <c r="F744">
        <v>965.15</v>
      </c>
      <c r="G744" s="3">
        <f t="shared" si="35"/>
        <v>7.8308899442494306E-2</v>
      </c>
      <c r="H744" s="2">
        <f t="shared" si="33"/>
        <v>79.699999999999932</v>
      </c>
      <c r="I744" s="3">
        <f t="shared" si="34"/>
        <v>8.2084556362325478E-2</v>
      </c>
    </row>
    <row r="745" spans="2:9" x14ac:dyDescent="0.25">
      <c r="B745" s="1">
        <v>36267</v>
      </c>
      <c r="C745">
        <v>966.95</v>
      </c>
      <c r="D745" s="2">
        <v>1065.5</v>
      </c>
      <c r="E745" s="2">
        <v>1069.55</v>
      </c>
      <c r="F745">
        <v>961.4</v>
      </c>
      <c r="G745" s="3">
        <f t="shared" si="35"/>
        <v>-7.4201732969505496E-2</v>
      </c>
      <c r="H745" s="2">
        <f t="shared" si="33"/>
        <v>108.14999999999998</v>
      </c>
      <c r="I745" s="3">
        <f t="shared" si="34"/>
        <v>0.10150164242139838</v>
      </c>
    </row>
    <row r="746" spans="2:9" x14ac:dyDescent="0.25">
      <c r="B746" s="1">
        <v>36269</v>
      </c>
      <c r="C746">
        <v>993.9</v>
      </c>
      <c r="D746">
        <v>961.3</v>
      </c>
      <c r="E746" s="2">
        <v>1000.6</v>
      </c>
      <c r="F746">
        <v>955.75</v>
      </c>
      <c r="G746" s="3">
        <f t="shared" si="35"/>
        <v>2.7871141217229445E-2</v>
      </c>
      <c r="H746" s="2">
        <f t="shared" si="33"/>
        <v>44.850000000000023</v>
      </c>
      <c r="I746" s="3">
        <f t="shared" si="34"/>
        <v>4.6655570581504241E-2</v>
      </c>
    </row>
    <row r="747" spans="2:9" x14ac:dyDescent="0.25">
      <c r="B747" s="1">
        <v>36270</v>
      </c>
      <c r="C747">
        <v>995.4</v>
      </c>
      <c r="D747">
        <v>995.65</v>
      </c>
      <c r="E747" s="2">
        <v>1003.7</v>
      </c>
      <c r="F747">
        <v>983.7</v>
      </c>
      <c r="G747" s="3">
        <f t="shared" si="35"/>
        <v>1.509206157561227E-3</v>
      </c>
      <c r="H747" s="2">
        <f t="shared" si="33"/>
        <v>20</v>
      </c>
      <c r="I747" s="3">
        <f t="shared" si="34"/>
        <v>2.0087380103450007E-2</v>
      </c>
    </row>
    <row r="748" spans="2:9" x14ac:dyDescent="0.25">
      <c r="B748" s="1">
        <v>36271</v>
      </c>
      <c r="C748">
        <v>996.65</v>
      </c>
      <c r="D748">
        <v>997.35</v>
      </c>
      <c r="E748" s="2">
        <v>1003.4</v>
      </c>
      <c r="F748">
        <v>990.95</v>
      </c>
      <c r="G748" s="3">
        <f t="shared" si="35"/>
        <v>1.2557765722323033E-3</v>
      </c>
      <c r="H748" s="2">
        <f t="shared" si="33"/>
        <v>12.449999999999932</v>
      </c>
      <c r="I748" s="3">
        <f t="shared" si="34"/>
        <v>1.2483080162430372E-2</v>
      </c>
    </row>
    <row r="749" spans="2:9" x14ac:dyDescent="0.25">
      <c r="B749" s="1">
        <v>36272</v>
      </c>
      <c r="C749">
        <v>981.65</v>
      </c>
      <c r="D749">
        <v>999.55</v>
      </c>
      <c r="E749" s="2">
        <v>1012</v>
      </c>
      <c r="F749">
        <v>971.9</v>
      </c>
      <c r="G749" s="3">
        <f t="shared" si="35"/>
        <v>-1.5050418903326146E-2</v>
      </c>
      <c r="H749" s="2">
        <f t="shared" si="33"/>
        <v>40.100000000000023</v>
      </c>
      <c r="I749" s="3">
        <f t="shared" si="34"/>
        <v>4.0118053123905782E-2</v>
      </c>
    </row>
    <row r="750" spans="2:9" x14ac:dyDescent="0.25">
      <c r="B750" s="1">
        <v>36273</v>
      </c>
      <c r="C750">
        <v>982</v>
      </c>
      <c r="D750">
        <v>987.05</v>
      </c>
      <c r="E750">
        <v>994.3</v>
      </c>
      <c r="F750">
        <v>968.15</v>
      </c>
      <c r="G750" s="3">
        <f t="shared" si="35"/>
        <v>3.5654255590089612E-4</v>
      </c>
      <c r="H750" s="2">
        <f t="shared" si="33"/>
        <v>26.149999999999977</v>
      </c>
      <c r="I750" s="3">
        <f t="shared" si="34"/>
        <v>2.6493085456663776E-2</v>
      </c>
    </row>
    <row r="751" spans="2:9" x14ac:dyDescent="0.25">
      <c r="B751" s="1">
        <v>36276</v>
      </c>
      <c r="C751">
        <v>931.35</v>
      </c>
      <c r="D751">
        <v>945.9</v>
      </c>
      <c r="E751">
        <v>955.5</v>
      </c>
      <c r="F751">
        <v>931.3</v>
      </c>
      <c r="G751" s="3">
        <f t="shared" si="35"/>
        <v>-5.1578411405295288E-2</v>
      </c>
      <c r="H751" s="2">
        <f t="shared" si="33"/>
        <v>24.200000000000045</v>
      </c>
      <c r="I751" s="3">
        <f t="shared" si="34"/>
        <v>2.5584099799133151E-2</v>
      </c>
    </row>
    <row r="752" spans="2:9" x14ac:dyDescent="0.25">
      <c r="B752" s="1">
        <v>36278</v>
      </c>
      <c r="C752">
        <v>943.5</v>
      </c>
      <c r="D752">
        <v>928.85</v>
      </c>
      <c r="E752">
        <v>944.45</v>
      </c>
      <c r="F752">
        <v>916</v>
      </c>
      <c r="G752" s="3">
        <f t="shared" si="35"/>
        <v>1.3045578998228446E-2</v>
      </c>
      <c r="H752" s="2">
        <f t="shared" si="33"/>
        <v>28.450000000000045</v>
      </c>
      <c r="I752" s="3">
        <f t="shared" si="34"/>
        <v>3.0629272756634598E-2</v>
      </c>
    </row>
    <row r="753" spans="2:9" x14ac:dyDescent="0.25">
      <c r="B753" s="1">
        <v>36279</v>
      </c>
      <c r="C753">
        <v>966.6</v>
      </c>
      <c r="D753">
        <v>950.25</v>
      </c>
      <c r="E753">
        <v>966.6</v>
      </c>
      <c r="F753">
        <v>948.4</v>
      </c>
      <c r="G753" s="3">
        <f t="shared" si="35"/>
        <v>2.4483306836247998E-2</v>
      </c>
      <c r="H753" s="2">
        <f t="shared" si="33"/>
        <v>18.200000000000045</v>
      </c>
      <c r="I753" s="3">
        <f t="shared" si="34"/>
        <v>1.9152854511970581E-2</v>
      </c>
    </row>
    <row r="754" spans="2:9" x14ac:dyDescent="0.25">
      <c r="B754" s="1">
        <v>36280</v>
      </c>
      <c r="C754">
        <v>978.2</v>
      </c>
      <c r="D754">
        <v>970.9</v>
      </c>
      <c r="E754">
        <v>980.75</v>
      </c>
      <c r="F754">
        <v>969.6</v>
      </c>
      <c r="G754" s="3">
        <f t="shared" si="35"/>
        <v>1.2000827643285694E-2</v>
      </c>
      <c r="H754" s="2">
        <f t="shared" si="33"/>
        <v>11.149999999999977</v>
      </c>
      <c r="I754" s="3">
        <f t="shared" si="34"/>
        <v>1.1484189926871951E-2</v>
      </c>
    </row>
    <row r="755" spans="2:9" x14ac:dyDescent="0.25">
      <c r="B755" s="1">
        <v>36283</v>
      </c>
      <c r="C755">
        <v>970.75</v>
      </c>
      <c r="D755">
        <v>979.8</v>
      </c>
      <c r="E755">
        <v>986.4</v>
      </c>
      <c r="F755">
        <v>968.25</v>
      </c>
      <c r="G755" s="3">
        <f t="shared" si="35"/>
        <v>-7.6160294418319285E-3</v>
      </c>
      <c r="H755" s="2">
        <f t="shared" si="33"/>
        <v>18.149999999999977</v>
      </c>
      <c r="I755" s="3">
        <f t="shared" si="34"/>
        <v>1.8524188609920368E-2</v>
      </c>
    </row>
    <row r="756" spans="2:9" x14ac:dyDescent="0.25">
      <c r="B756" s="1">
        <v>36284</v>
      </c>
      <c r="C756" s="2">
        <v>1008.35</v>
      </c>
      <c r="D756">
        <v>971.9</v>
      </c>
      <c r="E756" s="2">
        <v>1008.35</v>
      </c>
      <c r="F756">
        <v>971.8</v>
      </c>
      <c r="G756" s="3">
        <f t="shared" si="35"/>
        <v>3.8732938449652421E-2</v>
      </c>
      <c r="H756" s="2">
        <f t="shared" si="33"/>
        <v>36.550000000000068</v>
      </c>
      <c r="I756" s="3">
        <f t="shared" si="34"/>
        <v>3.7606749665603526E-2</v>
      </c>
    </row>
    <row r="757" spans="2:9" x14ac:dyDescent="0.25">
      <c r="B757" s="1">
        <v>36285</v>
      </c>
      <c r="C757" s="2">
        <v>1019.55</v>
      </c>
      <c r="D757" s="2">
        <v>1014.65</v>
      </c>
      <c r="E757" s="2">
        <v>1034.55</v>
      </c>
      <c r="F757" s="2">
        <v>1004.9</v>
      </c>
      <c r="G757" s="3">
        <f t="shared" si="35"/>
        <v>1.1107254425546609E-2</v>
      </c>
      <c r="H757" s="2">
        <f t="shared" si="33"/>
        <v>29.649999999999977</v>
      </c>
      <c r="I757" s="3">
        <f t="shared" si="34"/>
        <v>2.9221899177056105E-2</v>
      </c>
    </row>
    <row r="758" spans="2:9" x14ac:dyDescent="0.25">
      <c r="B758" s="1">
        <v>36286</v>
      </c>
      <c r="C758" s="2">
        <v>1046.95</v>
      </c>
      <c r="D758" s="2">
        <v>1024.95</v>
      </c>
      <c r="E758" s="2">
        <v>1048.05</v>
      </c>
      <c r="F758" s="2">
        <v>1023.95</v>
      </c>
      <c r="G758" s="3">
        <f t="shared" si="35"/>
        <v>2.6874601539895071E-2</v>
      </c>
      <c r="H758" s="2">
        <f t="shared" si="33"/>
        <v>24.099999999999909</v>
      </c>
      <c r="I758" s="3">
        <f t="shared" si="34"/>
        <v>2.3513342114249387E-2</v>
      </c>
    </row>
    <row r="759" spans="2:9" x14ac:dyDescent="0.25">
      <c r="B759" s="1">
        <v>36287</v>
      </c>
      <c r="C759" s="2">
        <v>1062.9000000000001</v>
      </c>
      <c r="D759" s="2">
        <v>1065.4000000000001</v>
      </c>
      <c r="E759" s="2">
        <v>1080.7</v>
      </c>
      <c r="F759" s="2">
        <v>1059.05</v>
      </c>
      <c r="G759" s="3">
        <f t="shared" si="35"/>
        <v>1.5234729452218376E-2</v>
      </c>
      <c r="H759" s="2">
        <f t="shared" si="33"/>
        <v>21.650000000000091</v>
      </c>
      <c r="I759" s="3">
        <f t="shared" si="34"/>
        <v>2.0321006194856477E-2</v>
      </c>
    </row>
    <row r="760" spans="2:9" x14ac:dyDescent="0.25">
      <c r="B760" s="1">
        <v>36290</v>
      </c>
      <c r="C760" s="2">
        <v>1094.2</v>
      </c>
      <c r="D760" s="2">
        <v>1070.75</v>
      </c>
      <c r="E760" s="2">
        <v>1094.2</v>
      </c>
      <c r="F760" s="2">
        <v>1070.3499999999999</v>
      </c>
      <c r="G760" s="3">
        <f t="shared" si="35"/>
        <v>2.9447737322419787E-2</v>
      </c>
      <c r="H760" s="2">
        <f t="shared" si="33"/>
        <v>23.850000000000136</v>
      </c>
      <c r="I760" s="3">
        <f t="shared" si="34"/>
        <v>2.2274106934391909E-2</v>
      </c>
    </row>
    <row r="761" spans="2:9" x14ac:dyDescent="0.25">
      <c r="B761" s="1">
        <v>36291</v>
      </c>
      <c r="C761" s="2">
        <v>1116</v>
      </c>
      <c r="D761" s="2">
        <v>1102.2</v>
      </c>
      <c r="E761" s="2">
        <v>1121.95</v>
      </c>
      <c r="F761" s="2">
        <v>1100.5</v>
      </c>
      <c r="G761" s="3">
        <f t="shared" si="35"/>
        <v>1.9923231584719314E-2</v>
      </c>
      <c r="H761" s="2">
        <f t="shared" si="33"/>
        <v>21.450000000000045</v>
      </c>
      <c r="I761" s="3">
        <f t="shared" si="34"/>
        <v>1.9461077844311416E-2</v>
      </c>
    </row>
    <row r="762" spans="2:9" x14ac:dyDescent="0.25">
      <c r="B762" s="1">
        <v>36292</v>
      </c>
      <c r="C762" s="2">
        <v>1110.9000000000001</v>
      </c>
      <c r="D762" s="2">
        <v>1135.45</v>
      </c>
      <c r="E762" s="2">
        <v>1142.0999999999999</v>
      </c>
      <c r="F762" s="2">
        <v>1086.7</v>
      </c>
      <c r="G762" s="3">
        <f t="shared" si="35"/>
        <v>-4.5698924731182311E-3</v>
      </c>
      <c r="H762" s="2">
        <f t="shared" si="33"/>
        <v>55.399999999999864</v>
      </c>
      <c r="I762" s="3">
        <f t="shared" si="34"/>
        <v>4.8791228147430414E-2</v>
      </c>
    </row>
    <row r="763" spans="2:9" x14ac:dyDescent="0.25">
      <c r="B763" s="1">
        <v>36293</v>
      </c>
      <c r="C763" s="2">
        <v>1148.0999999999999</v>
      </c>
      <c r="D763" s="2">
        <v>1131.95</v>
      </c>
      <c r="E763" s="2">
        <v>1149.5999999999999</v>
      </c>
      <c r="F763" s="2">
        <v>1130.8499999999999</v>
      </c>
      <c r="G763" s="3">
        <f t="shared" si="35"/>
        <v>3.3486362408857495E-2</v>
      </c>
      <c r="H763" s="2">
        <f t="shared" si="33"/>
        <v>18.75</v>
      </c>
      <c r="I763" s="3">
        <f t="shared" si="34"/>
        <v>1.6564335880560093E-2</v>
      </c>
    </row>
    <row r="764" spans="2:9" x14ac:dyDescent="0.25">
      <c r="B764" s="1">
        <v>36294</v>
      </c>
      <c r="C764" s="2">
        <v>1165.3499999999999</v>
      </c>
      <c r="D764" s="2">
        <v>1157.5999999999999</v>
      </c>
      <c r="E764" s="2">
        <v>1173.55</v>
      </c>
      <c r="F764" s="2">
        <v>1144.9000000000001</v>
      </c>
      <c r="G764" s="3">
        <f t="shared" si="35"/>
        <v>1.5024823621635708E-2</v>
      </c>
      <c r="H764" s="2">
        <f t="shared" si="33"/>
        <v>28.649999999999864</v>
      </c>
      <c r="I764" s="3">
        <f t="shared" si="34"/>
        <v>2.4749481686247292E-2</v>
      </c>
    </row>
    <row r="765" spans="2:9" x14ac:dyDescent="0.25">
      <c r="B765" s="1">
        <v>36297</v>
      </c>
      <c r="C765" s="2">
        <v>1151.9000000000001</v>
      </c>
      <c r="D765" s="2">
        <v>1164.45</v>
      </c>
      <c r="E765" s="2">
        <v>1171.0999999999999</v>
      </c>
      <c r="F765" s="2">
        <v>1120.7</v>
      </c>
      <c r="G765" s="3">
        <f t="shared" si="35"/>
        <v>-1.1541596945123578E-2</v>
      </c>
      <c r="H765" s="2">
        <f t="shared" si="33"/>
        <v>50.399999999999864</v>
      </c>
      <c r="I765" s="3">
        <f t="shared" si="34"/>
        <v>4.3282236248872737E-2</v>
      </c>
    </row>
    <row r="766" spans="2:9" x14ac:dyDescent="0.25">
      <c r="B766" s="1">
        <v>36298</v>
      </c>
      <c r="C766" s="2">
        <v>1160.1500000000001</v>
      </c>
      <c r="D766" s="2">
        <v>1155.75</v>
      </c>
      <c r="E766" s="2">
        <v>1176.3</v>
      </c>
      <c r="F766" s="2">
        <v>1153.45</v>
      </c>
      <c r="G766" s="3">
        <f t="shared" si="35"/>
        <v>7.1620800416702934E-3</v>
      </c>
      <c r="H766" s="2">
        <f t="shared" si="33"/>
        <v>22.849999999999909</v>
      </c>
      <c r="I766" s="3">
        <f t="shared" si="34"/>
        <v>1.9770711659095747E-2</v>
      </c>
    </row>
    <row r="767" spans="2:9" x14ac:dyDescent="0.25">
      <c r="B767" s="1">
        <v>36299</v>
      </c>
      <c r="C767" s="2">
        <v>1180.25</v>
      </c>
      <c r="D767" s="2">
        <v>1169.5999999999999</v>
      </c>
      <c r="E767" s="2">
        <v>1189.2</v>
      </c>
      <c r="F767" s="2">
        <v>1161.5999999999999</v>
      </c>
      <c r="G767" s="3">
        <f t="shared" si="35"/>
        <v>1.7325345860448982E-2</v>
      </c>
      <c r="H767" s="2">
        <f t="shared" si="33"/>
        <v>27.600000000000136</v>
      </c>
      <c r="I767" s="3">
        <f t="shared" si="34"/>
        <v>2.3597811217510378E-2</v>
      </c>
    </row>
    <row r="768" spans="2:9" x14ac:dyDescent="0.25">
      <c r="B768" s="1">
        <v>36300</v>
      </c>
      <c r="C768" s="2">
        <v>1166.9000000000001</v>
      </c>
      <c r="D768" s="2">
        <v>1181</v>
      </c>
      <c r="E768" s="2">
        <v>1201.3</v>
      </c>
      <c r="F768" s="2">
        <v>1166.9000000000001</v>
      </c>
      <c r="G768" s="3">
        <f t="shared" si="35"/>
        <v>-1.1311162889218296E-2</v>
      </c>
      <c r="H768" s="2">
        <f t="shared" si="33"/>
        <v>34.399999999999864</v>
      </c>
      <c r="I768" s="3">
        <f t="shared" si="34"/>
        <v>2.9127857747671348E-2</v>
      </c>
    </row>
    <row r="769" spans="2:9" x14ac:dyDescent="0.25">
      <c r="B769" s="1">
        <v>36301</v>
      </c>
      <c r="C769" s="2">
        <v>1145.8499999999999</v>
      </c>
      <c r="D769" s="2">
        <v>1176.95</v>
      </c>
      <c r="E769" s="2">
        <v>1177</v>
      </c>
      <c r="F769" s="2">
        <v>1139.0999999999999</v>
      </c>
      <c r="G769" s="3">
        <f t="shared" si="35"/>
        <v>-1.8039249292998716E-2</v>
      </c>
      <c r="H769" s="2">
        <f t="shared" si="33"/>
        <v>37.900000000000091</v>
      </c>
      <c r="I769" s="3">
        <f t="shared" si="34"/>
        <v>3.2201877734823137E-2</v>
      </c>
    </row>
    <row r="770" spans="2:9" x14ac:dyDescent="0.25">
      <c r="B770" s="1">
        <v>36304</v>
      </c>
      <c r="C770" s="2">
        <v>1151.5999999999999</v>
      </c>
      <c r="D770" s="2">
        <v>1147.4000000000001</v>
      </c>
      <c r="E770" s="2">
        <v>1154.5</v>
      </c>
      <c r="F770" s="2">
        <v>1132.5</v>
      </c>
      <c r="G770" s="3">
        <f t="shared" si="35"/>
        <v>5.0181088275078611E-3</v>
      </c>
      <c r="H770" s="2">
        <f t="shared" si="33"/>
        <v>22</v>
      </c>
      <c r="I770" s="3">
        <f t="shared" si="34"/>
        <v>1.9173784207774096E-2</v>
      </c>
    </row>
    <row r="771" spans="2:9" x14ac:dyDescent="0.25">
      <c r="B771" s="1">
        <v>36305</v>
      </c>
      <c r="C771" s="2">
        <v>1160.2</v>
      </c>
      <c r="D771" s="2">
        <v>1148.05</v>
      </c>
      <c r="E771" s="2">
        <v>1164.2</v>
      </c>
      <c r="F771" s="2">
        <v>1147.4000000000001</v>
      </c>
      <c r="G771" s="3">
        <f t="shared" si="35"/>
        <v>7.4678707884683337E-3</v>
      </c>
      <c r="H771" s="2">
        <f t="shared" si="33"/>
        <v>16.799999999999955</v>
      </c>
      <c r="I771" s="3">
        <f t="shared" si="34"/>
        <v>1.4633508993510697E-2</v>
      </c>
    </row>
    <row r="772" spans="2:9" x14ac:dyDescent="0.25">
      <c r="B772" s="1">
        <v>36306</v>
      </c>
      <c r="C772" s="2">
        <v>1135.5</v>
      </c>
      <c r="D772" s="2">
        <v>1165.1500000000001</v>
      </c>
      <c r="E772" s="2">
        <v>1170.0999999999999</v>
      </c>
      <c r="F772" s="2">
        <v>1122.5999999999999</v>
      </c>
      <c r="G772" s="3">
        <f t="shared" si="35"/>
        <v>-2.1289432856404056E-2</v>
      </c>
      <c r="H772" s="2">
        <f t="shared" si="33"/>
        <v>47.5</v>
      </c>
      <c r="I772" s="3">
        <f t="shared" si="34"/>
        <v>4.0767283182422863E-2</v>
      </c>
    </row>
    <row r="773" spans="2:9" x14ac:dyDescent="0.25">
      <c r="B773" s="1">
        <v>36307</v>
      </c>
      <c r="C773" s="2">
        <v>1091.45</v>
      </c>
      <c r="D773" s="2">
        <v>1132.8499999999999</v>
      </c>
      <c r="E773" s="2">
        <v>1147.95</v>
      </c>
      <c r="F773" s="2">
        <v>1091.45</v>
      </c>
      <c r="G773" s="3">
        <f t="shared" si="35"/>
        <v>-3.8793483047115718E-2</v>
      </c>
      <c r="H773" s="2">
        <f t="shared" ref="H773:H836" si="36">E773-F773</f>
        <v>56.5</v>
      </c>
      <c r="I773" s="3">
        <f t="shared" si="34"/>
        <v>4.9874211060599374E-2</v>
      </c>
    </row>
    <row r="774" spans="2:9" x14ac:dyDescent="0.25">
      <c r="B774" s="1">
        <v>36308</v>
      </c>
      <c r="C774" s="2">
        <v>1081.5</v>
      </c>
      <c r="D774" s="2">
        <v>1088</v>
      </c>
      <c r="E774" s="2">
        <v>1098.25</v>
      </c>
      <c r="F774" s="2">
        <v>1049.95</v>
      </c>
      <c r="G774" s="3">
        <f t="shared" si="35"/>
        <v>-9.1163131613908321E-3</v>
      </c>
      <c r="H774" s="2">
        <f t="shared" si="36"/>
        <v>48.299999999999955</v>
      </c>
      <c r="I774" s="3">
        <f t="shared" ref="I774:I837" si="37">H774/D774</f>
        <v>4.4393382352941137E-2</v>
      </c>
    </row>
    <row r="775" spans="2:9" x14ac:dyDescent="0.25">
      <c r="B775" s="1">
        <v>36311</v>
      </c>
      <c r="C775" s="2">
        <v>1132.3</v>
      </c>
      <c r="D775" s="2">
        <v>1098</v>
      </c>
      <c r="E775" s="2">
        <v>1132.8</v>
      </c>
      <c r="F775" s="2">
        <v>1097.8499999999999</v>
      </c>
      <c r="G775" s="3">
        <f t="shared" ref="G775:G838" si="38">C775/C774-1</f>
        <v>4.6971798428109057E-2</v>
      </c>
      <c r="H775" s="2">
        <f t="shared" si="36"/>
        <v>34.950000000000045</v>
      </c>
      <c r="I775" s="3">
        <f t="shared" si="37"/>
        <v>3.1830601092896219E-2</v>
      </c>
    </row>
    <row r="776" spans="2:9" x14ac:dyDescent="0.25">
      <c r="B776" s="1">
        <v>36312</v>
      </c>
      <c r="C776" s="2">
        <v>1123.8</v>
      </c>
      <c r="D776" s="2">
        <v>1125.55</v>
      </c>
      <c r="E776" s="2">
        <v>1139.8</v>
      </c>
      <c r="F776" s="2">
        <v>1113</v>
      </c>
      <c r="G776" s="3">
        <f t="shared" si="38"/>
        <v>-7.5068444758455977E-3</v>
      </c>
      <c r="H776" s="2">
        <f t="shared" si="36"/>
        <v>26.799999999999955</v>
      </c>
      <c r="I776" s="3">
        <f t="shared" si="37"/>
        <v>2.3810581493492033E-2</v>
      </c>
    </row>
    <row r="777" spans="2:9" x14ac:dyDescent="0.25">
      <c r="B777" s="1">
        <v>36313</v>
      </c>
      <c r="C777" s="2">
        <v>1125.1500000000001</v>
      </c>
      <c r="D777" s="2">
        <v>1120.6500000000001</v>
      </c>
      <c r="E777" s="2">
        <v>1127.6500000000001</v>
      </c>
      <c r="F777" s="2">
        <v>1107.2</v>
      </c>
      <c r="G777" s="3">
        <f t="shared" si="38"/>
        <v>1.2012813667914291E-3</v>
      </c>
      <c r="H777" s="2">
        <f t="shared" si="36"/>
        <v>20.450000000000045</v>
      </c>
      <c r="I777" s="3">
        <f t="shared" si="37"/>
        <v>1.8248338018114527E-2</v>
      </c>
    </row>
    <row r="778" spans="2:9" x14ac:dyDescent="0.25">
      <c r="B778" s="1">
        <v>36314</v>
      </c>
      <c r="C778" s="2">
        <v>1136.6500000000001</v>
      </c>
      <c r="D778" s="2">
        <v>1129.9000000000001</v>
      </c>
      <c r="E778" s="2">
        <v>1141.05</v>
      </c>
      <c r="F778" s="2">
        <v>1127.3</v>
      </c>
      <c r="G778" s="3">
        <f t="shared" si="38"/>
        <v>1.0220859440963403E-2</v>
      </c>
      <c r="H778" s="2">
        <f t="shared" si="36"/>
        <v>13.75</v>
      </c>
      <c r="I778" s="3">
        <f t="shared" si="37"/>
        <v>1.2169218514912823E-2</v>
      </c>
    </row>
    <row r="779" spans="2:9" x14ac:dyDescent="0.25">
      <c r="B779" s="1">
        <v>36315</v>
      </c>
      <c r="C779" s="2">
        <v>1155.05</v>
      </c>
      <c r="D779" s="2">
        <v>1150.05</v>
      </c>
      <c r="E779" s="2">
        <v>1162</v>
      </c>
      <c r="F779" s="2">
        <v>1149.0999999999999</v>
      </c>
      <c r="G779" s="3">
        <f t="shared" si="38"/>
        <v>1.6187920643997655E-2</v>
      </c>
      <c r="H779" s="2">
        <f t="shared" si="36"/>
        <v>12.900000000000091</v>
      </c>
      <c r="I779" s="3">
        <f t="shared" si="37"/>
        <v>1.1216903612886476E-2</v>
      </c>
    </row>
    <row r="780" spans="2:9" x14ac:dyDescent="0.25">
      <c r="B780" s="1">
        <v>36318</v>
      </c>
      <c r="C780" s="2">
        <v>1156.6500000000001</v>
      </c>
      <c r="D780" s="2">
        <v>1159.55</v>
      </c>
      <c r="E780" s="2">
        <v>1164.1500000000001</v>
      </c>
      <c r="F780" s="2">
        <v>1150.2</v>
      </c>
      <c r="G780" s="3">
        <f t="shared" si="38"/>
        <v>1.3852214189862266E-3</v>
      </c>
      <c r="H780" s="2">
        <f t="shared" si="36"/>
        <v>13.950000000000045</v>
      </c>
      <c r="I780" s="3">
        <f t="shared" si="37"/>
        <v>1.2030529084558705E-2</v>
      </c>
    </row>
    <row r="781" spans="2:9" x14ac:dyDescent="0.25">
      <c r="B781" s="1">
        <v>36319</v>
      </c>
      <c r="C781" s="2">
        <v>1178.95</v>
      </c>
      <c r="D781" s="2">
        <v>1145.9000000000001</v>
      </c>
      <c r="E781" s="2">
        <v>1178.95</v>
      </c>
      <c r="F781" s="2">
        <v>1138.05</v>
      </c>
      <c r="G781" s="3">
        <f t="shared" si="38"/>
        <v>1.9279816712056252E-2</v>
      </c>
      <c r="H781" s="2">
        <f t="shared" si="36"/>
        <v>40.900000000000091</v>
      </c>
      <c r="I781" s="3">
        <f t="shared" si="37"/>
        <v>3.5692468801815244E-2</v>
      </c>
    </row>
    <row r="782" spans="2:9" x14ac:dyDescent="0.25">
      <c r="B782" s="1">
        <v>36320</v>
      </c>
      <c r="C782" s="2">
        <v>1163.2</v>
      </c>
      <c r="D782" s="2">
        <v>1180</v>
      </c>
      <c r="E782" s="2">
        <v>1192.05</v>
      </c>
      <c r="F782" s="2">
        <v>1159.25</v>
      </c>
      <c r="G782" s="3">
        <f t="shared" si="38"/>
        <v>-1.3359345180033122E-2</v>
      </c>
      <c r="H782" s="2">
        <f t="shared" si="36"/>
        <v>32.799999999999955</v>
      </c>
      <c r="I782" s="3">
        <f t="shared" si="37"/>
        <v>2.7796610169491486E-2</v>
      </c>
    </row>
    <row r="783" spans="2:9" x14ac:dyDescent="0.25">
      <c r="B783" s="1">
        <v>36321</v>
      </c>
      <c r="C783" s="2">
        <v>1162.5999999999999</v>
      </c>
      <c r="D783" s="2">
        <v>1163.7</v>
      </c>
      <c r="E783" s="2">
        <v>1175.95</v>
      </c>
      <c r="F783" s="2">
        <v>1159.5999999999999</v>
      </c>
      <c r="G783" s="3">
        <f t="shared" si="38"/>
        <v>-5.1581843191206289E-4</v>
      </c>
      <c r="H783" s="2">
        <f t="shared" si="36"/>
        <v>16.350000000000136</v>
      </c>
      <c r="I783" s="3">
        <f t="shared" si="37"/>
        <v>1.4050012889920199E-2</v>
      </c>
    </row>
    <row r="784" spans="2:9" x14ac:dyDescent="0.25">
      <c r="B784" s="1">
        <v>36322</v>
      </c>
      <c r="C784" s="2">
        <v>1141.9000000000001</v>
      </c>
      <c r="D784" s="2">
        <v>1161.8</v>
      </c>
      <c r="E784" s="2">
        <v>1162.95</v>
      </c>
      <c r="F784" s="2">
        <v>1140.25</v>
      </c>
      <c r="G784" s="3">
        <f t="shared" si="38"/>
        <v>-1.7804920006880942E-2</v>
      </c>
      <c r="H784" s="2">
        <f t="shared" si="36"/>
        <v>22.700000000000045</v>
      </c>
      <c r="I784" s="3">
        <f t="shared" si="37"/>
        <v>1.9538646927181998E-2</v>
      </c>
    </row>
    <row r="785" spans="2:9" x14ac:dyDescent="0.25">
      <c r="B785" s="1">
        <v>36325</v>
      </c>
      <c r="C785" s="2">
        <v>1126.9000000000001</v>
      </c>
      <c r="D785" s="2">
        <v>1140.75</v>
      </c>
      <c r="E785" s="2">
        <v>1140.75</v>
      </c>
      <c r="F785" s="2">
        <v>1099.8499999999999</v>
      </c>
      <c r="G785" s="3">
        <f t="shared" si="38"/>
        <v>-1.3136001401173436E-2</v>
      </c>
      <c r="H785" s="2">
        <f t="shared" si="36"/>
        <v>40.900000000000091</v>
      </c>
      <c r="I785" s="3">
        <f t="shared" si="37"/>
        <v>3.5853605084374393E-2</v>
      </c>
    </row>
    <row r="786" spans="2:9" x14ac:dyDescent="0.25">
      <c r="B786" s="1">
        <v>36326</v>
      </c>
      <c r="C786" s="2">
        <v>1120.5</v>
      </c>
      <c r="D786" s="2">
        <v>1127.4000000000001</v>
      </c>
      <c r="E786" s="2">
        <v>1143.3</v>
      </c>
      <c r="F786" s="2">
        <v>1113.3</v>
      </c>
      <c r="G786" s="3">
        <f t="shared" si="38"/>
        <v>-5.6792971869732423E-3</v>
      </c>
      <c r="H786" s="2">
        <f t="shared" si="36"/>
        <v>30</v>
      </c>
      <c r="I786" s="3">
        <f t="shared" si="37"/>
        <v>2.6609898882384245E-2</v>
      </c>
    </row>
    <row r="787" spans="2:9" x14ac:dyDescent="0.25">
      <c r="B787" s="1">
        <v>36327</v>
      </c>
      <c r="C787" s="2">
        <v>1148.1500000000001</v>
      </c>
      <c r="D787" s="2">
        <v>1120.3499999999999</v>
      </c>
      <c r="E787" s="2">
        <v>1152.3499999999999</v>
      </c>
      <c r="F787" s="2">
        <v>1109.7</v>
      </c>
      <c r="G787" s="3">
        <f t="shared" si="38"/>
        <v>2.4676483712628317E-2</v>
      </c>
      <c r="H787" s="2">
        <f t="shared" si="36"/>
        <v>42.649999999999864</v>
      </c>
      <c r="I787" s="3">
        <f t="shared" si="37"/>
        <v>3.8068460748873004E-2</v>
      </c>
    </row>
    <row r="788" spans="2:9" x14ac:dyDescent="0.25">
      <c r="B788" s="1">
        <v>36328</v>
      </c>
      <c r="C788" s="2">
        <v>1176.3499999999999</v>
      </c>
      <c r="D788" s="2">
        <v>1148.95</v>
      </c>
      <c r="E788" s="2">
        <v>1181.9000000000001</v>
      </c>
      <c r="F788" s="2">
        <v>1148.95</v>
      </c>
      <c r="G788" s="3">
        <f t="shared" si="38"/>
        <v>2.4561250707660021E-2</v>
      </c>
      <c r="H788" s="2">
        <f t="shared" si="36"/>
        <v>32.950000000000045</v>
      </c>
      <c r="I788" s="3">
        <f t="shared" si="37"/>
        <v>2.86783585012403E-2</v>
      </c>
    </row>
    <row r="789" spans="2:9" x14ac:dyDescent="0.25">
      <c r="B789" s="1">
        <v>36329</v>
      </c>
      <c r="C789" s="2">
        <v>1175.1500000000001</v>
      </c>
      <c r="D789" s="2">
        <v>1177.1500000000001</v>
      </c>
      <c r="E789" s="2">
        <v>1189.2</v>
      </c>
      <c r="F789" s="2">
        <v>1172.2</v>
      </c>
      <c r="G789" s="3">
        <f t="shared" si="38"/>
        <v>-1.0201045607173276E-3</v>
      </c>
      <c r="H789" s="2">
        <f t="shared" si="36"/>
        <v>17</v>
      </c>
      <c r="I789" s="3">
        <f t="shared" si="37"/>
        <v>1.444165994138385E-2</v>
      </c>
    </row>
    <row r="790" spans="2:9" x14ac:dyDescent="0.25">
      <c r="B790" s="1">
        <v>36332</v>
      </c>
      <c r="C790" s="2">
        <v>1202.3</v>
      </c>
      <c r="D790" s="2">
        <v>1175.3</v>
      </c>
      <c r="E790" s="2">
        <v>1203.3499999999999</v>
      </c>
      <c r="F790" s="2">
        <v>1175.3</v>
      </c>
      <c r="G790" s="3">
        <f t="shared" si="38"/>
        <v>2.3103433604220625E-2</v>
      </c>
      <c r="H790" s="2">
        <f t="shared" si="36"/>
        <v>28.049999999999955</v>
      </c>
      <c r="I790" s="3">
        <f t="shared" si="37"/>
        <v>2.3866246915681066E-2</v>
      </c>
    </row>
    <row r="791" spans="2:9" x14ac:dyDescent="0.25">
      <c r="B791" s="1">
        <v>36333</v>
      </c>
      <c r="C791" s="2">
        <v>1214.3</v>
      </c>
      <c r="D791" s="2">
        <v>1202.95</v>
      </c>
      <c r="E791" s="2">
        <v>1219.45</v>
      </c>
      <c r="F791" s="2">
        <v>1201.2</v>
      </c>
      <c r="G791" s="3">
        <f t="shared" si="38"/>
        <v>9.9808699991683625E-3</v>
      </c>
      <c r="H791" s="2">
        <f t="shared" si="36"/>
        <v>18.25</v>
      </c>
      <c r="I791" s="3">
        <f t="shared" si="37"/>
        <v>1.5171037865247932E-2</v>
      </c>
    </row>
    <row r="792" spans="2:9" x14ac:dyDescent="0.25">
      <c r="B792" s="1">
        <v>36334</v>
      </c>
      <c r="C792" s="2">
        <v>1193.1500000000001</v>
      </c>
      <c r="D792" s="2">
        <v>1215.95</v>
      </c>
      <c r="E792" s="2">
        <v>1228.55</v>
      </c>
      <c r="F792" s="2">
        <v>1188.6500000000001</v>
      </c>
      <c r="G792" s="3">
        <f t="shared" si="38"/>
        <v>-1.7417442147739326E-2</v>
      </c>
      <c r="H792" s="2">
        <f t="shared" si="36"/>
        <v>39.899999999999864</v>
      </c>
      <c r="I792" s="3">
        <f t="shared" si="37"/>
        <v>3.2813849253669855E-2</v>
      </c>
    </row>
    <row r="793" spans="2:9" x14ac:dyDescent="0.25">
      <c r="B793" s="1">
        <v>36335</v>
      </c>
      <c r="C793" s="2">
        <v>1181.3</v>
      </c>
      <c r="D793" s="2">
        <v>1192.55</v>
      </c>
      <c r="E793" s="2">
        <v>1193.0999999999999</v>
      </c>
      <c r="F793" s="2">
        <v>1171.3</v>
      </c>
      <c r="G793" s="3">
        <f t="shared" si="38"/>
        <v>-9.9316934165865067E-3</v>
      </c>
      <c r="H793" s="2">
        <f t="shared" si="36"/>
        <v>21.799999999999955</v>
      </c>
      <c r="I793" s="3">
        <f t="shared" si="37"/>
        <v>1.828015596830318E-2</v>
      </c>
    </row>
    <row r="794" spans="2:9" x14ac:dyDescent="0.25">
      <c r="B794" s="1">
        <v>36336</v>
      </c>
      <c r="C794" s="2">
        <v>1177</v>
      </c>
      <c r="D794" s="2">
        <v>1181.5999999999999</v>
      </c>
      <c r="E794" s="2">
        <v>1197</v>
      </c>
      <c r="F794" s="2">
        <v>1174.2</v>
      </c>
      <c r="G794" s="3">
        <f t="shared" si="38"/>
        <v>-3.6400575637010046E-3</v>
      </c>
      <c r="H794" s="2">
        <f t="shared" si="36"/>
        <v>22.799999999999955</v>
      </c>
      <c r="I794" s="3">
        <f t="shared" si="37"/>
        <v>1.9295870006770445E-2</v>
      </c>
    </row>
    <row r="795" spans="2:9" x14ac:dyDescent="0.25">
      <c r="B795" s="1">
        <v>36339</v>
      </c>
      <c r="C795" s="2">
        <v>1192.2</v>
      </c>
      <c r="D795" s="2">
        <v>1177.05</v>
      </c>
      <c r="E795" s="2">
        <v>1194.9000000000001</v>
      </c>
      <c r="F795" s="2">
        <v>1177.05</v>
      </c>
      <c r="G795" s="3">
        <f t="shared" si="38"/>
        <v>1.2914188615123168E-2</v>
      </c>
      <c r="H795" s="2">
        <f t="shared" si="36"/>
        <v>17.850000000000136</v>
      </c>
      <c r="I795" s="3">
        <f t="shared" si="37"/>
        <v>1.5165031222123222E-2</v>
      </c>
    </row>
    <row r="796" spans="2:9" x14ac:dyDescent="0.25">
      <c r="B796" s="1">
        <v>36340</v>
      </c>
      <c r="C796" s="2">
        <v>1191.3</v>
      </c>
      <c r="D796" s="2">
        <v>1192.2</v>
      </c>
      <c r="E796" s="2">
        <v>1198.7</v>
      </c>
      <c r="F796" s="2">
        <v>1185.3</v>
      </c>
      <c r="G796" s="3">
        <f t="shared" si="38"/>
        <v>-7.5490689481638729E-4</v>
      </c>
      <c r="H796" s="2">
        <f t="shared" si="36"/>
        <v>13.400000000000091</v>
      </c>
      <c r="I796" s="3">
        <f t="shared" si="37"/>
        <v>1.1239724878376187E-2</v>
      </c>
    </row>
    <row r="797" spans="2:9" x14ac:dyDescent="0.25">
      <c r="B797" s="1">
        <v>36341</v>
      </c>
      <c r="C797" s="2">
        <v>1187.7</v>
      </c>
      <c r="D797" s="2">
        <v>1191.45</v>
      </c>
      <c r="E797" s="2">
        <v>1193.9000000000001</v>
      </c>
      <c r="F797" s="2">
        <v>1179.6500000000001</v>
      </c>
      <c r="G797" s="3">
        <f t="shared" si="38"/>
        <v>-3.0219088390832649E-3</v>
      </c>
      <c r="H797" s="2">
        <f t="shared" si="36"/>
        <v>14.25</v>
      </c>
      <c r="I797" s="3">
        <f t="shared" si="37"/>
        <v>1.1960216542867934E-2</v>
      </c>
    </row>
    <row r="798" spans="2:9" x14ac:dyDescent="0.25">
      <c r="B798" s="1">
        <v>36342</v>
      </c>
      <c r="C798" s="2">
        <v>1183.2</v>
      </c>
      <c r="D798" s="2">
        <v>1187.8499999999999</v>
      </c>
      <c r="E798" s="2">
        <v>1197</v>
      </c>
      <c r="F798" s="2">
        <v>1179.3</v>
      </c>
      <c r="G798" s="3">
        <f t="shared" si="38"/>
        <v>-3.7888355645364635E-3</v>
      </c>
      <c r="H798" s="2">
        <f t="shared" si="36"/>
        <v>17.700000000000045</v>
      </c>
      <c r="I798" s="3">
        <f t="shared" si="37"/>
        <v>1.4900871322136673E-2</v>
      </c>
    </row>
    <row r="799" spans="2:9" x14ac:dyDescent="0.25">
      <c r="B799" s="1">
        <v>36343</v>
      </c>
      <c r="C799" s="2">
        <v>1197.8499999999999</v>
      </c>
      <c r="D799" s="2">
        <v>1183.6500000000001</v>
      </c>
      <c r="E799" s="2">
        <v>1204.1500000000001</v>
      </c>
      <c r="F799" s="2">
        <v>1183.6500000000001</v>
      </c>
      <c r="G799" s="3">
        <f t="shared" si="38"/>
        <v>1.2381676808654429E-2</v>
      </c>
      <c r="H799" s="2">
        <f t="shared" si="36"/>
        <v>20.5</v>
      </c>
      <c r="I799" s="3">
        <f t="shared" si="37"/>
        <v>1.731930891733198E-2</v>
      </c>
    </row>
    <row r="800" spans="2:9" x14ac:dyDescent="0.25">
      <c r="B800" s="1">
        <v>36346</v>
      </c>
      <c r="C800" s="2">
        <v>1230.25</v>
      </c>
      <c r="D800" s="2">
        <v>1197.95</v>
      </c>
      <c r="E800" s="2">
        <v>1232.4000000000001</v>
      </c>
      <c r="F800" s="2">
        <v>1197.95</v>
      </c>
      <c r="G800" s="3">
        <f t="shared" si="38"/>
        <v>2.7048461827440917E-2</v>
      </c>
      <c r="H800" s="2">
        <f t="shared" si="36"/>
        <v>34.450000000000045</v>
      </c>
      <c r="I800" s="3">
        <f t="shared" si="37"/>
        <v>2.8757460661964225E-2</v>
      </c>
    </row>
    <row r="801" spans="2:9" x14ac:dyDescent="0.25">
      <c r="B801" s="1">
        <v>36347</v>
      </c>
      <c r="C801" s="2">
        <v>1241.25</v>
      </c>
      <c r="D801" s="2">
        <v>1230.3</v>
      </c>
      <c r="E801" s="2">
        <v>1246.4000000000001</v>
      </c>
      <c r="F801" s="2">
        <v>1230.3</v>
      </c>
      <c r="G801" s="3">
        <f t="shared" si="38"/>
        <v>8.9412720991668415E-3</v>
      </c>
      <c r="H801" s="2">
        <f t="shared" si="36"/>
        <v>16.100000000000136</v>
      </c>
      <c r="I801" s="3">
        <f t="shared" si="37"/>
        <v>1.3086239128667916E-2</v>
      </c>
    </row>
    <row r="802" spans="2:9" x14ac:dyDescent="0.25">
      <c r="B802" s="1">
        <v>36348</v>
      </c>
      <c r="C802" s="2">
        <v>1243.7</v>
      </c>
      <c r="D802" s="2">
        <v>1241.6500000000001</v>
      </c>
      <c r="E802" s="2">
        <v>1255.75</v>
      </c>
      <c r="F802" s="2">
        <v>1238.1500000000001</v>
      </c>
      <c r="G802" s="3">
        <f t="shared" si="38"/>
        <v>1.9738167170191279E-3</v>
      </c>
      <c r="H802" s="2">
        <f t="shared" si="36"/>
        <v>17.599999999999909</v>
      </c>
      <c r="I802" s="3">
        <f t="shared" si="37"/>
        <v>1.4174686908549033E-2</v>
      </c>
    </row>
    <row r="803" spans="2:9" x14ac:dyDescent="0.25">
      <c r="B803" s="1">
        <v>36349</v>
      </c>
      <c r="C803" s="2">
        <v>1244.05</v>
      </c>
      <c r="D803" s="2">
        <v>1243.9000000000001</v>
      </c>
      <c r="E803" s="2">
        <v>1251.1500000000001</v>
      </c>
      <c r="F803" s="2">
        <v>1238.4000000000001</v>
      </c>
      <c r="G803" s="3">
        <f t="shared" si="38"/>
        <v>2.8141834847628111E-4</v>
      </c>
      <c r="H803" s="2">
        <f t="shared" si="36"/>
        <v>12.75</v>
      </c>
      <c r="I803" s="3">
        <f t="shared" si="37"/>
        <v>1.0250020098078624E-2</v>
      </c>
    </row>
    <row r="804" spans="2:9" x14ac:dyDescent="0.25">
      <c r="B804" s="1">
        <v>36350</v>
      </c>
      <c r="C804" s="2">
        <v>1254</v>
      </c>
      <c r="D804" s="2">
        <v>1244.4000000000001</v>
      </c>
      <c r="E804" s="2">
        <v>1260.7</v>
      </c>
      <c r="F804" s="2">
        <v>1244.4000000000001</v>
      </c>
      <c r="G804" s="3">
        <f t="shared" si="38"/>
        <v>7.9980708170894754E-3</v>
      </c>
      <c r="H804" s="2">
        <f t="shared" si="36"/>
        <v>16.299999999999955</v>
      </c>
      <c r="I804" s="3">
        <f t="shared" si="37"/>
        <v>1.3098682095789098E-2</v>
      </c>
    </row>
    <row r="805" spans="2:9" x14ac:dyDescent="0.25">
      <c r="B805" s="1">
        <v>36353</v>
      </c>
      <c r="C805" s="2">
        <v>1315.35</v>
      </c>
      <c r="D805" s="2">
        <v>1254.0999999999999</v>
      </c>
      <c r="E805" s="2">
        <v>1318.05</v>
      </c>
      <c r="F805" s="2">
        <v>1254.0999999999999</v>
      </c>
      <c r="G805" s="3">
        <f t="shared" si="38"/>
        <v>4.892344497607648E-2</v>
      </c>
      <c r="H805" s="2">
        <f t="shared" si="36"/>
        <v>63.950000000000045</v>
      </c>
      <c r="I805" s="3">
        <f t="shared" si="37"/>
        <v>5.0992743800334944E-2</v>
      </c>
    </row>
    <row r="806" spans="2:9" x14ac:dyDescent="0.25">
      <c r="B806" s="1">
        <v>36354</v>
      </c>
      <c r="C806" s="2">
        <v>1321.45</v>
      </c>
      <c r="D806" s="2">
        <v>1315.75</v>
      </c>
      <c r="E806" s="2">
        <v>1338.15</v>
      </c>
      <c r="F806" s="2">
        <v>1315.75</v>
      </c>
      <c r="G806" s="3">
        <f t="shared" si="38"/>
        <v>4.6375489413466031E-3</v>
      </c>
      <c r="H806" s="2">
        <f t="shared" si="36"/>
        <v>22.400000000000091</v>
      </c>
      <c r="I806" s="3">
        <f t="shared" si="37"/>
        <v>1.7024510735322129E-2</v>
      </c>
    </row>
    <row r="807" spans="2:9" x14ac:dyDescent="0.25">
      <c r="B807" s="1">
        <v>36355</v>
      </c>
      <c r="C807" s="2">
        <v>1335.15</v>
      </c>
      <c r="D807" s="2">
        <v>1322.9</v>
      </c>
      <c r="E807" s="2">
        <v>1341.1</v>
      </c>
      <c r="F807" s="2">
        <v>1306.2</v>
      </c>
      <c r="G807" s="3">
        <f t="shared" si="38"/>
        <v>1.0367399447576586E-2</v>
      </c>
      <c r="H807" s="2">
        <f t="shared" si="36"/>
        <v>34.899999999999864</v>
      </c>
      <c r="I807" s="3">
        <f t="shared" si="37"/>
        <v>2.6381434726736611E-2</v>
      </c>
    </row>
    <row r="808" spans="2:9" x14ac:dyDescent="0.25">
      <c r="B808" s="1">
        <v>36356</v>
      </c>
      <c r="C808" s="2">
        <v>1317.7</v>
      </c>
      <c r="D808" s="2">
        <v>1335.55</v>
      </c>
      <c r="E808" s="2">
        <v>1367.95</v>
      </c>
      <c r="F808" s="2">
        <v>1310.45</v>
      </c>
      <c r="G808" s="3">
        <f t="shared" si="38"/>
        <v>-1.3069692543908995E-2</v>
      </c>
      <c r="H808" s="2">
        <f t="shared" si="36"/>
        <v>57.5</v>
      </c>
      <c r="I808" s="3">
        <f t="shared" si="37"/>
        <v>4.3053423683126806E-2</v>
      </c>
    </row>
    <row r="809" spans="2:9" x14ac:dyDescent="0.25">
      <c r="B809" s="1">
        <v>36357</v>
      </c>
      <c r="C809" s="2">
        <v>1324.25</v>
      </c>
      <c r="D809" s="2">
        <v>1318.3</v>
      </c>
      <c r="E809" s="2">
        <v>1331.75</v>
      </c>
      <c r="F809" s="2">
        <v>1312.3</v>
      </c>
      <c r="G809" s="3">
        <f t="shared" si="38"/>
        <v>4.9707824239204612E-3</v>
      </c>
      <c r="H809" s="2">
        <f t="shared" si="36"/>
        <v>19.450000000000045</v>
      </c>
      <c r="I809" s="3">
        <f t="shared" si="37"/>
        <v>1.4753849654858564E-2</v>
      </c>
    </row>
    <row r="810" spans="2:9" x14ac:dyDescent="0.25">
      <c r="B810" s="1">
        <v>36360</v>
      </c>
      <c r="C810" s="2">
        <v>1349.6</v>
      </c>
      <c r="D810" s="2">
        <v>1325.35</v>
      </c>
      <c r="E810" s="2">
        <v>1357.85</v>
      </c>
      <c r="F810" s="2">
        <v>1325.35</v>
      </c>
      <c r="G810" s="3">
        <f t="shared" si="38"/>
        <v>1.9142911081744263E-2</v>
      </c>
      <c r="H810" s="2">
        <f t="shared" si="36"/>
        <v>32.5</v>
      </c>
      <c r="I810" s="3">
        <f t="shared" si="37"/>
        <v>2.4521824423737126E-2</v>
      </c>
    </row>
    <row r="811" spans="2:9" x14ac:dyDescent="0.25">
      <c r="B811" s="1">
        <v>36361</v>
      </c>
      <c r="C811" s="2">
        <v>1314.7</v>
      </c>
      <c r="D811" s="2">
        <v>1349.6</v>
      </c>
      <c r="E811" s="2">
        <v>1350.35</v>
      </c>
      <c r="F811" s="2">
        <v>1310.85</v>
      </c>
      <c r="G811" s="3">
        <f t="shared" si="38"/>
        <v>-2.5859513930053257E-2</v>
      </c>
      <c r="H811" s="2">
        <f t="shared" si="36"/>
        <v>39.5</v>
      </c>
      <c r="I811" s="3">
        <f t="shared" si="37"/>
        <v>2.9267931238885599E-2</v>
      </c>
    </row>
    <row r="812" spans="2:9" x14ac:dyDescent="0.25">
      <c r="B812" s="1">
        <v>36362</v>
      </c>
      <c r="C812" s="2">
        <v>1340.15</v>
      </c>
      <c r="D812" s="2">
        <v>1314.8</v>
      </c>
      <c r="E812" s="2">
        <v>1346.65</v>
      </c>
      <c r="F812" s="2">
        <v>1302.8</v>
      </c>
      <c r="G812" s="3">
        <f t="shared" si="38"/>
        <v>1.9358028447554521E-2</v>
      </c>
      <c r="H812" s="2">
        <f t="shared" si="36"/>
        <v>43.850000000000136</v>
      </c>
      <c r="I812" s="3">
        <f t="shared" si="37"/>
        <v>3.3351080012169257E-2</v>
      </c>
    </row>
    <row r="813" spans="2:9" x14ac:dyDescent="0.25">
      <c r="B813" s="1">
        <v>36363</v>
      </c>
      <c r="C813" s="2">
        <v>1349.2</v>
      </c>
      <c r="D813" s="2">
        <v>1339.05</v>
      </c>
      <c r="E813" s="2">
        <v>1358.25</v>
      </c>
      <c r="F813" s="2">
        <v>1337.55</v>
      </c>
      <c r="G813" s="3">
        <f t="shared" si="38"/>
        <v>6.7529754132000797E-3</v>
      </c>
      <c r="H813" s="2">
        <f t="shared" si="36"/>
        <v>20.700000000000045</v>
      </c>
      <c r="I813" s="3">
        <f t="shared" si="37"/>
        <v>1.5458720734849368E-2</v>
      </c>
    </row>
    <row r="814" spans="2:9" x14ac:dyDescent="0.25">
      <c r="B814" s="1">
        <v>36364</v>
      </c>
      <c r="C814" s="2">
        <v>1342.95</v>
      </c>
      <c r="D814" s="2">
        <v>1350</v>
      </c>
      <c r="E814" s="2">
        <v>1367.3</v>
      </c>
      <c r="F814" s="2">
        <v>1339.6</v>
      </c>
      <c r="G814" s="3">
        <f t="shared" si="38"/>
        <v>-4.6323747405869753E-3</v>
      </c>
      <c r="H814" s="2">
        <f t="shared" si="36"/>
        <v>27.700000000000045</v>
      </c>
      <c r="I814" s="3">
        <f t="shared" si="37"/>
        <v>2.051851851851855E-2</v>
      </c>
    </row>
    <row r="815" spans="2:9" x14ac:dyDescent="0.25">
      <c r="B815" s="1">
        <v>36367</v>
      </c>
      <c r="C815" s="2">
        <v>1326.15</v>
      </c>
      <c r="D815" s="2">
        <v>1342.6</v>
      </c>
      <c r="E815" s="2">
        <v>1342.6</v>
      </c>
      <c r="F815" s="2">
        <v>1314.8</v>
      </c>
      <c r="G815" s="3">
        <f t="shared" si="38"/>
        <v>-1.2509773260359625E-2</v>
      </c>
      <c r="H815" s="2">
        <f t="shared" si="36"/>
        <v>27.799999999999955</v>
      </c>
      <c r="I815" s="3">
        <f t="shared" si="37"/>
        <v>2.0706092656040485E-2</v>
      </c>
    </row>
    <row r="816" spans="2:9" x14ac:dyDescent="0.25">
      <c r="B816" s="1">
        <v>36368</v>
      </c>
      <c r="C816" s="2">
        <v>1309.8499999999999</v>
      </c>
      <c r="D816" s="2">
        <v>1325.4</v>
      </c>
      <c r="E816" s="2">
        <v>1327</v>
      </c>
      <c r="F816" s="2">
        <v>1304.4000000000001</v>
      </c>
      <c r="G816" s="3">
        <f t="shared" si="38"/>
        <v>-1.229121894205043E-2</v>
      </c>
      <c r="H816" s="2">
        <f t="shared" si="36"/>
        <v>22.599999999999909</v>
      </c>
      <c r="I816" s="3">
        <f t="shared" si="37"/>
        <v>1.7051456164176783E-2</v>
      </c>
    </row>
    <row r="817" spans="2:9" x14ac:dyDescent="0.25">
      <c r="B817" s="1">
        <v>36369</v>
      </c>
      <c r="C817" s="2">
        <v>1320.1</v>
      </c>
      <c r="D817" s="2">
        <v>1309.75</v>
      </c>
      <c r="E817" s="2">
        <v>1337</v>
      </c>
      <c r="F817" s="2">
        <v>1309.75</v>
      </c>
      <c r="G817" s="3">
        <f t="shared" si="38"/>
        <v>7.8253235103256102E-3</v>
      </c>
      <c r="H817" s="2">
        <f t="shared" si="36"/>
        <v>27.25</v>
      </c>
      <c r="I817" s="3">
        <f t="shared" si="37"/>
        <v>2.080549723229624E-2</v>
      </c>
    </row>
    <row r="818" spans="2:9" x14ac:dyDescent="0.25">
      <c r="B818" s="1">
        <v>36370</v>
      </c>
      <c r="C818" s="2">
        <v>1325.7</v>
      </c>
      <c r="D818" s="2">
        <v>1320.75</v>
      </c>
      <c r="E818" s="2">
        <v>1329.75</v>
      </c>
      <c r="F818" s="2">
        <v>1312.55</v>
      </c>
      <c r="G818" s="3">
        <f t="shared" si="38"/>
        <v>4.2421028709946906E-3</v>
      </c>
      <c r="H818" s="2">
        <f t="shared" si="36"/>
        <v>17.200000000000045</v>
      </c>
      <c r="I818" s="3">
        <f t="shared" si="37"/>
        <v>1.3022903653227367E-2</v>
      </c>
    </row>
    <row r="819" spans="2:9" x14ac:dyDescent="0.25">
      <c r="B819" s="1">
        <v>36371</v>
      </c>
      <c r="C819" s="2">
        <v>1310.1500000000001</v>
      </c>
      <c r="D819" s="2">
        <v>1325.55</v>
      </c>
      <c r="E819" s="2">
        <v>1325.55</v>
      </c>
      <c r="F819" s="2">
        <v>1302.5</v>
      </c>
      <c r="G819" s="3">
        <f t="shared" si="38"/>
        <v>-1.1729652259183765E-2</v>
      </c>
      <c r="H819" s="2">
        <f t="shared" si="36"/>
        <v>23.049999999999955</v>
      </c>
      <c r="I819" s="3">
        <f t="shared" si="37"/>
        <v>1.7389008336162314E-2</v>
      </c>
    </row>
    <row r="820" spans="2:9" x14ac:dyDescent="0.25">
      <c r="B820" s="1">
        <v>36374</v>
      </c>
      <c r="C820" s="2">
        <v>1289.5999999999999</v>
      </c>
      <c r="D820" s="2">
        <v>1309.8499999999999</v>
      </c>
      <c r="E820" s="2">
        <v>1310.8</v>
      </c>
      <c r="F820" s="2">
        <v>1282.8499999999999</v>
      </c>
      <c r="G820" s="3">
        <f t="shared" si="38"/>
        <v>-1.5685226882418135E-2</v>
      </c>
      <c r="H820" s="2">
        <f t="shared" si="36"/>
        <v>27.950000000000045</v>
      </c>
      <c r="I820" s="3">
        <f t="shared" si="37"/>
        <v>2.1338321181814748E-2</v>
      </c>
    </row>
    <row r="821" spans="2:9" x14ac:dyDescent="0.25">
      <c r="B821" s="1">
        <v>36375</v>
      </c>
      <c r="C821" s="2">
        <v>1285.05</v>
      </c>
      <c r="D821" s="2">
        <v>1289.2</v>
      </c>
      <c r="E821" s="2">
        <v>1290.8</v>
      </c>
      <c r="F821" s="2">
        <v>1277.8499999999999</v>
      </c>
      <c r="G821" s="3">
        <f t="shared" si="38"/>
        <v>-3.5282258064516236E-3</v>
      </c>
      <c r="H821" s="2">
        <f t="shared" si="36"/>
        <v>12.950000000000045</v>
      </c>
      <c r="I821" s="3">
        <f t="shared" si="37"/>
        <v>1.0044989140552315E-2</v>
      </c>
    </row>
    <row r="822" spans="2:9" x14ac:dyDescent="0.25">
      <c r="B822" s="1">
        <v>36376</v>
      </c>
      <c r="C822" s="2">
        <v>1326.4</v>
      </c>
      <c r="D822" s="2">
        <v>1285.9000000000001</v>
      </c>
      <c r="E822" s="2">
        <v>1329.3</v>
      </c>
      <c r="F822" s="2">
        <v>1285.9000000000001</v>
      </c>
      <c r="G822" s="3">
        <f t="shared" si="38"/>
        <v>3.2177736274853208E-2</v>
      </c>
      <c r="H822" s="2">
        <f t="shared" si="36"/>
        <v>43.399999999999864</v>
      </c>
      <c r="I822" s="3">
        <f t="shared" si="37"/>
        <v>3.3750680457267174E-2</v>
      </c>
    </row>
    <row r="823" spans="2:9" x14ac:dyDescent="0.25">
      <c r="B823" s="1">
        <v>36377</v>
      </c>
      <c r="C823" s="2">
        <v>1323.3</v>
      </c>
      <c r="D823" s="2">
        <v>1326.75</v>
      </c>
      <c r="E823" s="2">
        <v>1345.85</v>
      </c>
      <c r="F823" s="2">
        <v>1317.5</v>
      </c>
      <c r="G823" s="3">
        <f t="shared" si="38"/>
        <v>-2.3371531966225323E-3</v>
      </c>
      <c r="H823" s="2">
        <f t="shared" si="36"/>
        <v>28.349999999999909</v>
      </c>
      <c r="I823" s="3">
        <f t="shared" si="37"/>
        <v>2.136800452232893E-2</v>
      </c>
    </row>
    <row r="824" spans="2:9" x14ac:dyDescent="0.25">
      <c r="B824" s="1">
        <v>36378</v>
      </c>
      <c r="C824" s="2">
        <v>1316.8</v>
      </c>
      <c r="D824" s="2">
        <v>1323.15</v>
      </c>
      <c r="E824" s="2">
        <v>1326</v>
      </c>
      <c r="F824" s="2">
        <v>1315.15</v>
      </c>
      <c r="G824" s="3">
        <f t="shared" si="38"/>
        <v>-4.9119625179475657E-3</v>
      </c>
      <c r="H824" s="2">
        <f t="shared" si="36"/>
        <v>10.849999999999909</v>
      </c>
      <c r="I824" s="3">
        <f t="shared" si="37"/>
        <v>8.2001284812756748E-3</v>
      </c>
    </row>
    <row r="825" spans="2:9" x14ac:dyDescent="0.25">
      <c r="B825" s="1">
        <v>36381</v>
      </c>
      <c r="C825" s="2">
        <v>1327.75</v>
      </c>
      <c r="D825" s="2">
        <v>1316.9</v>
      </c>
      <c r="E825" s="2">
        <v>1332.9</v>
      </c>
      <c r="F825" s="2">
        <v>1312.8</v>
      </c>
      <c r="G825" s="3">
        <f t="shared" si="38"/>
        <v>8.315613608748551E-3</v>
      </c>
      <c r="H825" s="2">
        <f t="shared" si="36"/>
        <v>20.100000000000136</v>
      </c>
      <c r="I825" s="3">
        <f t="shared" si="37"/>
        <v>1.5263117928468475E-2</v>
      </c>
    </row>
    <row r="826" spans="2:9" x14ac:dyDescent="0.25">
      <c r="B826" s="1">
        <v>36382</v>
      </c>
      <c r="C826" s="2">
        <v>1309.75</v>
      </c>
      <c r="D826" s="2">
        <v>1328.15</v>
      </c>
      <c r="E826" s="2">
        <v>1328.4</v>
      </c>
      <c r="F826" s="2">
        <v>1305.8499999999999</v>
      </c>
      <c r="G826" s="3">
        <f t="shared" si="38"/>
        <v>-1.3556768970062083E-2</v>
      </c>
      <c r="H826" s="2">
        <f t="shared" si="36"/>
        <v>22.550000000000182</v>
      </c>
      <c r="I826" s="3">
        <f t="shared" si="37"/>
        <v>1.697850393404373E-2</v>
      </c>
    </row>
    <row r="827" spans="2:9" x14ac:dyDescent="0.25">
      <c r="B827" s="1">
        <v>36383</v>
      </c>
      <c r="C827" s="2">
        <v>1315.3</v>
      </c>
      <c r="D827" s="2">
        <v>1308.75</v>
      </c>
      <c r="E827" s="2">
        <v>1328.2</v>
      </c>
      <c r="F827" s="2">
        <v>1295.2</v>
      </c>
      <c r="G827" s="3">
        <f t="shared" si="38"/>
        <v>4.2374498950181749E-3</v>
      </c>
      <c r="H827" s="2">
        <f t="shared" si="36"/>
        <v>33</v>
      </c>
      <c r="I827" s="3">
        <f t="shared" si="37"/>
        <v>2.5214899713467048E-2</v>
      </c>
    </row>
    <row r="828" spans="2:9" x14ac:dyDescent="0.25">
      <c r="B828" s="1">
        <v>36384</v>
      </c>
      <c r="C828" s="2">
        <v>1309.5</v>
      </c>
      <c r="D828" s="2">
        <v>1315.9</v>
      </c>
      <c r="E828" s="2">
        <v>1321.55</v>
      </c>
      <c r="F828" s="2">
        <v>1308.05</v>
      </c>
      <c r="G828" s="3">
        <f t="shared" si="38"/>
        <v>-4.4096403862236011E-3</v>
      </c>
      <c r="H828" s="2">
        <f t="shared" si="36"/>
        <v>13.5</v>
      </c>
      <c r="I828" s="3">
        <f t="shared" si="37"/>
        <v>1.0259138232388479E-2</v>
      </c>
    </row>
    <row r="829" spans="2:9" x14ac:dyDescent="0.25">
      <c r="B829" s="1">
        <v>36385</v>
      </c>
      <c r="C829" s="2">
        <v>1291.8499999999999</v>
      </c>
      <c r="D829" s="2">
        <v>1309.7</v>
      </c>
      <c r="E829" s="2">
        <v>1317.1</v>
      </c>
      <c r="F829" s="2">
        <v>1290.3</v>
      </c>
      <c r="G829" s="3">
        <f t="shared" si="38"/>
        <v>-1.3478426880488836E-2</v>
      </c>
      <c r="H829" s="2">
        <f t="shared" si="36"/>
        <v>26.799999999999955</v>
      </c>
      <c r="I829" s="3">
        <f t="shared" si="37"/>
        <v>2.0462701381995841E-2</v>
      </c>
    </row>
    <row r="830" spans="2:9" x14ac:dyDescent="0.25">
      <c r="B830" s="1">
        <v>36388</v>
      </c>
      <c r="C830" s="2">
        <v>1309.9000000000001</v>
      </c>
      <c r="D830" s="2">
        <v>1292.3499999999999</v>
      </c>
      <c r="E830" s="2">
        <v>1314.15</v>
      </c>
      <c r="F830" s="2">
        <v>1292.3499999999999</v>
      </c>
      <c r="G830" s="3">
        <f t="shared" si="38"/>
        <v>1.3972210395943874E-2</v>
      </c>
      <c r="H830" s="2">
        <f t="shared" si="36"/>
        <v>21.800000000000182</v>
      </c>
      <c r="I830" s="3">
        <f t="shared" si="37"/>
        <v>1.6868495376639599E-2</v>
      </c>
    </row>
    <row r="831" spans="2:9" x14ac:dyDescent="0.25">
      <c r="B831" s="1">
        <v>36389</v>
      </c>
      <c r="C831" s="2">
        <v>1322.7</v>
      </c>
      <c r="D831" s="2">
        <v>1310.3</v>
      </c>
      <c r="E831" s="2">
        <v>1327.9</v>
      </c>
      <c r="F831" s="2">
        <v>1310.3</v>
      </c>
      <c r="G831" s="3">
        <f t="shared" si="38"/>
        <v>9.7717383006334924E-3</v>
      </c>
      <c r="H831" s="2">
        <f t="shared" si="36"/>
        <v>17.600000000000136</v>
      </c>
      <c r="I831" s="3">
        <f t="shared" si="37"/>
        <v>1.3432038464473888E-2</v>
      </c>
    </row>
    <row r="832" spans="2:9" x14ac:dyDescent="0.25">
      <c r="B832" s="1">
        <v>36390</v>
      </c>
      <c r="C832" s="2">
        <v>1363.35</v>
      </c>
      <c r="D832" s="2">
        <v>1326</v>
      </c>
      <c r="E832" s="2">
        <v>1371.9</v>
      </c>
      <c r="F832" s="2">
        <v>1326</v>
      </c>
      <c r="G832" s="3">
        <f t="shared" si="38"/>
        <v>3.0732592424586036E-2</v>
      </c>
      <c r="H832" s="2">
        <f t="shared" si="36"/>
        <v>45.900000000000091</v>
      </c>
      <c r="I832" s="3">
        <f t="shared" si="37"/>
        <v>3.4615384615384687E-2</v>
      </c>
    </row>
    <row r="833" spans="2:9" x14ac:dyDescent="0.25">
      <c r="B833" s="1">
        <v>36391</v>
      </c>
      <c r="C833" s="2">
        <v>1345</v>
      </c>
      <c r="D833" s="2">
        <v>1363.5</v>
      </c>
      <c r="E833" s="2">
        <v>1375.45</v>
      </c>
      <c r="F833" s="2">
        <v>1341.55</v>
      </c>
      <c r="G833" s="3">
        <f t="shared" si="38"/>
        <v>-1.3459493160230207E-2</v>
      </c>
      <c r="H833" s="2">
        <f t="shared" si="36"/>
        <v>33.900000000000091</v>
      </c>
      <c r="I833" s="3">
        <f t="shared" si="37"/>
        <v>2.4862486248624929E-2</v>
      </c>
    </row>
    <row r="834" spans="2:9" x14ac:dyDescent="0.25">
      <c r="B834" s="1">
        <v>36392</v>
      </c>
      <c r="C834" s="2">
        <v>1347.3</v>
      </c>
      <c r="D834" s="2">
        <v>1345.6</v>
      </c>
      <c r="E834" s="2">
        <v>1350.3</v>
      </c>
      <c r="F834" s="2">
        <v>1332.4</v>
      </c>
      <c r="G834" s="3">
        <f t="shared" si="38"/>
        <v>1.7100371747211796E-3</v>
      </c>
      <c r="H834" s="2">
        <f t="shared" si="36"/>
        <v>17.899999999999864</v>
      </c>
      <c r="I834" s="3">
        <f t="shared" si="37"/>
        <v>1.3302615933412504E-2</v>
      </c>
    </row>
    <row r="835" spans="2:9" x14ac:dyDescent="0.25">
      <c r="B835" s="1">
        <v>36395</v>
      </c>
      <c r="C835" s="2">
        <v>1369.7</v>
      </c>
      <c r="D835" s="2">
        <v>1347.75</v>
      </c>
      <c r="E835" s="2">
        <v>1375.95</v>
      </c>
      <c r="F835" s="2">
        <v>1347.75</v>
      </c>
      <c r="G835" s="3">
        <f t="shared" si="38"/>
        <v>1.6625844281154878E-2</v>
      </c>
      <c r="H835" s="2">
        <f t="shared" si="36"/>
        <v>28.200000000000045</v>
      </c>
      <c r="I835" s="3">
        <f t="shared" si="37"/>
        <v>2.0923761825264363E-2</v>
      </c>
    </row>
    <row r="836" spans="2:9" x14ac:dyDescent="0.25">
      <c r="B836" s="1">
        <v>36396</v>
      </c>
      <c r="C836" s="2">
        <v>1382.65</v>
      </c>
      <c r="D836" s="2">
        <v>1370.05</v>
      </c>
      <c r="E836" s="2">
        <v>1385.6</v>
      </c>
      <c r="F836" s="2">
        <v>1369.9</v>
      </c>
      <c r="G836" s="3">
        <f t="shared" si="38"/>
        <v>9.4546251003870818E-3</v>
      </c>
      <c r="H836" s="2">
        <f t="shared" si="36"/>
        <v>15.699999999999818</v>
      </c>
      <c r="I836" s="3">
        <f t="shared" si="37"/>
        <v>1.145943578701494E-2</v>
      </c>
    </row>
    <row r="837" spans="2:9" x14ac:dyDescent="0.25">
      <c r="B837" s="1">
        <v>36397</v>
      </c>
      <c r="C837" s="2">
        <v>1371.65</v>
      </c>
      <c r="D837" s="2">
        <v>1383.45</v>
      </c>
      <c r="E837" s="2">
        <v>1414</v>
      </c>
      <c r="F837" s="2">
        <v>1341.35</v>
      </c>
      <c r="G837" s="3">
        <f t="shared" si="38"/>
        <v>-7.9557371713737668E-3</v>
      </c>
      <c r="H837" s="2">
        <f t="shared" ref="H837:H900" si="39">E837-F837</f>
        <v>72.650000000000091</v>
      </c>
      <c r="I837" s="3">
        <f t="shared" si="37"/>
        <v>5.2513643427662793E-2</v>
      </c>
    </row>
    <row r="838" spans="2:9" x14ac:dyDescent="0.25">
      <c r="B838" s="1">
        <v>36398</v>
      </c>
      <c r="C838" s="2">
        <v>1402.5</v>
      </c>
      <c r="D838" s="2">
        <v>1371.9</v>
      </c>
      <c r="E838" s="2">
        <v>1408.15</v>
      </c>
      <c r="F838" s="2">
        <v>1371.9</v>
      </c>
      <c r="G838" s="3">
        <f t="shared" si="38"/>
        <v>2.2491160281412848E-2</v>
      </c>
      <c r="H838" s="2">
        <f t="shared" si="39"/>
        <v>36.25</v>
      </c>
      <c r="I838" s="3">
        <f t="shared" ref="I838:I901" si="40">H838/D838</f>
        <v>2.6423208688679933E-2</v>
      </c>
    </row>
    <row r="839" spans="2:9" x14ac:dyDescent="0.25">
      <c r="B839" s="1">
        <v>36399</v>
      </c>
      <c r="C839" s="2">
        <v>1417.5</v>
      </c>
      <c r="D839" s="2">
        <v>1402.6</v>
      </c>
      <c r="E839" s="2">
        <v>1425.2</v>
      </c>
      <c r="F839" s="2">
        <v>1402.6</v>
      </c>
      <c r="G839" s="3">
        <f t="shared" ref="G839:G902" si="41">C839/C838-1</f>
        <v>1.0695187165775444E-2</v>
      </c>
      <c r="H839" s="2">
        <f t="shared" si="39"/>
        <v>22.600000000000136</v>
      </c>
      <c r="I839" s="3">
        <f t="shared" si="40"/>
        <v>1.6112933124198016E-2</v>
      </c>
    </row>
    <row r="840" spans="2:9" x14ac:dyDescent="0.25">
      <c r="B840" s="1">
        <v>36402</v>
      </c>
      <c r="C840" s="2">
        <v>1422.6</v>
      </c>
      <c r="D840" s="2">
        <v>1417.8</v>
      </c>
      <c r="E840" s="2">
        <v>1435.5</v>
      </c>
      <c r="F840" s="2">
        <v>1417.8</v>
      </c>
      <c r="G840" s="3">
        <f t="shared" si="41"/>
        <v>3.5978835978835999E-3</v>
      </c>
      <c r="H840" s="2">
        <f t="shared" si="39"/>
        <v>17.700000000000045</v>
      </c>
      <c r="I840" s="3">
        <f t="shared" si="40"/>
        <v>1.2484130342784628E-2</v>
      </c>
    </row>
    <row r="841" spans="2:9" x14ac:dyDescent="0.25">
      <c r="B841" s="1">
        <v>36403</v>
      </c>
      <c r="C841" s="2">
        <v>1412</v>
      </c>
      <c r="D841" s="2">
        <v>1422.65</v>
      </c>
      <c r="E841" s="2">
        <v>1424.05</v>
      </c>
      <c r="F841" s="2">
        <v>1409.55</v>
      </c>
      <c r="G841" s="3">
        <f t="shared" si="41"/>
        <v>-7.4511457893996491E-3</v>
      </c>
      <c r="H841" s="2">
        <f t="shared" si="39"/>
        <v>14.5</v>
      </c>
      <c r="I841" s="3">
        <f t="shared" si="40"/>
        <v>1.0192246863248162E-2</v>
      </c>
    </row>
    <row r="842" spans="2:9" x14ac:dyDescent="0.25">
      <c r="B842" s="1">
        <v>36404</v>
      </c>
      <c r="C842" s="2">
        <v>1410.7</v>
      </c>
      <c r="D842" s="2">
        <v>1412.05</v>
      </c>
      <c r="E842" s="2">
        <v>1430.8</v>
      </c>
      <c r="F842" s="2">
        <v>1397.7</v>
      </c>
      <c r="G842" s="3">
        <f t="shared" si="41"/>
        <v>-9.2067988668553813E-4</v>
      </c>
      <c r="H842" s="2">
        <f t="shared" si="39"/>
        <v>33.099999999999909</v>
      </c>
      <c r="I842" s="3">
        <f t="shared" si="40"/>
        <v>2.3441096278460329E-2</v>
      </c>
    </row>
    <row r="843" spans="2:9" x14ac:dyDescent="0.25">
      <c r="B843" s="1">
        <v>36405</v>
      </c>
      <c r="C843" s="2">
        <v>1375.85</v>
      </c>
      <c r="D843" s="2">
        <v>1410</v>
      </c>
      <c r="E843" s="2">
        <v>1410</v>
      </c>
      <c r="F843" s="2">
        <v>1372.5</v>
      </c>
      <c r="G843" s="3">
        <f t="shared" si="41"/>
        <v>-2.4704047635925486E-2</v>
      </c>
      <c r="H843" s="2">
        <f t="shared" si="39"/>
        <v>37.5</v>
      </c>
      <c r="I843" s="3">
        <f t="shared" si="40"/>
        <v>2.6595744680851064E-2</v>
      </c>
    </row>
    <row r="844" spans="2:9" x14ac:dyDescent="0.25">
      <c r="B844" s="1">
        <v>36406</v>
      </c>
      <c r="C844" s="2">
        <v>1374.95</v>
      </c>
      <c r="D844" s="2">
        <v>1375.7</v>
      </c>
      <c r="E844" s="2">
        <v>1384.25</v>
      </c>
      <c r="F844" s="2">
        <v>1370.95</v>
      </c>
      <c r="G844" s="3">
        <f t="shared" si="41"/>
        <v>-6.5414107642536301E-4</v>
      </c>
      <c r="H844" s="2">
        <f t="shared" si="39"/>
        <v>13.299999999999955</v>
      </c>
      <c r="I844" s="3">
        <f t="shared" si="40"/>
        <v>9.6678054808460815E-3</v>
      </c>
    </row>
    <row r="845" spans="2:9" x14ac:dyDescent="0.25">
      <c r="B845" s="1">
        <v>36409</v>
      </c>
      <c r="C845" s="2">
        <v>1390.2</v>
      </c>
      <c r="D845" s="2">
        <v>1375.45</v>
      </c>
      <c r="E845" s="2">
        <v>1392.05</v>
      </c>
      <c r="F845" s="2">
        <v>1372.5</v>
      </c>
      <c r="G845" s="3">
        <f t="shared" si="41"/>
        <v>1.1091312411360521E-2</v>
      </c>
      <c r="H845" s="2">
        <f t="shared" si="39"/>
        <v>19.549999999999955</v>
      </c>
      <c r="I845" s="3">
        <f t="shared" si="40"/>
        <v>1.4213530117416084E-2</v>
      </c>
    </row>
    <row r="846" spans="2:9" x14ac:dyDescent="0.25">
      <c r="B846" s="1">
        <v>36410</v>
      </c>
      <c r="C846" s="2">
        <v>1383.25</v>
      </c>
      <c r="D846" s="2">
        <v>1391.2</v>
      </c>
      <c r="E846" s="2">
        <v>1403.75</v>
      </c>
      <c r="F846" s="2">
        <v>1378.95</v>
      </c>
      <c r="G846" s="3">
        <f t="shared" si="41"/>
        <v>-4.9992806790389865E-3</v>
      </c>
      <c r="H846" s="2">
        <f t="shared" si="39"/>
        <v>24.799999999999955</v>
      </c>
      <c r="I846" s="3">
        <f t="shared" si="40"/>
        <v>1.7826336975273114E-2</v>
      </c>
    </row>
    <row r="847" spans="2:9" x14ac:dyDescent="0.25">
      <c r="B847" s="1">
        <v>36411</v>
      </c>
      <c r="C847" s="2">
        <v>1399.5</v>
      </c>
      <c r="D847" s="2">
        <v>1385.55</v>
      </c>
      <c r="E847" s="2">
        <v>1413.45</v>
      </c>
      <c r="F847" s="2">
        <v>1385.55</v>
      </c>
      <c r="G847" s="3">
        <f t="shared" si="41"/>
        <v>1.1747695644315881E-2</v>
      </c>
      <c r="H847" s="2">
        <f t="shared" si="39"/>
        <v>27.900000000000091</v>
      </c>
      <c r="I847" s="3">
        <f t="shared" si="40"/>
        <v>2.0136407924650927E-2</v>
      </c>
    </row>
    <row r="848" spans="2:9" x14ac:dyDescent="0.25">
      <c r="B848" s="1">
        <v>36412</v>
      </c>
      <c r="C848" s="2">
        <v>1396.9</v>
      </c>
      <c r="D848" s="2">
        <v>1400.15</v>
      </c>
      <c r="E848" s="2">
        <v>1402.25</v>
      </c>
      <c r="F848" s="2">
        <v>1388.65</v>
      </c>
      <c r="G848" s="3">
        <f t="shared" si="41"/>
        <v>-1.857806359414016E-3</v>
      </c>
      <c r="H848" s="2">
        <f t="shared" si="39"/>
        <v>13.599999999999909</v>
      </c>
      <c r="I848" s="3">
        <f t="shared" si="40"/>
        <v>9.7132450094632068E-3</v>
      </c>
    </row>
    <row r="849" spans="2:9" x14ac:dyDescent="0.25">
      <c r="B849" s="1">
        <v>36413</v>
      </c>
      <c r="C849" s="2">
        <v>1391.1</v>
      </c>
      <c r="D849" s="2">
        <v>1397.15</v>
      </c>
      <c r="E849" s="2">
        <v>1398.6</v>
      </c>
      <c r="F849" s="2">
        <v>1388.85</v>
      </c>
      <c r="G849" s="3">
        <f t="shared" si="41"/>
        <v>-4.15205097000515E-3</v>
      </c>
      <c r="H849" s="2">
        <f t="shared" si="39"/>
        <v>9.75</v>
      </c>
      <c r="I849" s="3">
        <f t="shared" si="40"/>
        <v>6.9784919300003578E-3</v>
      </c>
    </row>
    <row r="850" spans="2:9" x14ac:dyDescent="0.25">
      <c r="B850" s="1">
        <v>36417</v>
      </c>
      <c r="C850" s="2">
        <v>1370.55</v>
      </c>
      <c r="D850" s="2">
        <v>1391.9</v>
      </c>
      <c r="E850" s="2">
        <v>1397.45</v>
      </c>
      <c r="F850" s="2">
        <v>1366.25</v>
      </c>
      <c r="G850" s="3">
        <f t="shared" si="41"/>
        <v>-1.4772482208324278E-2</v>
      </c>
      <c r="H850" s="2">
        <f t="shared" si="39"/>
        <v>31.200000000000045</v>
      </c>
      <c r="I850" s="3">
        <f t="shared" si="40"/>
        <v>2.2415403405417086E-2</v>
      </c>
    </row>
    <row r="851" spans="2:9" x14ac:dyDescent="0.25">
      <c r="B851" s="1">
        <v>36418</v>
      </c>
      <c r="C851" s="2">
        <v>1374.7</v>
      </c>
      <c r="D851" s="2">
        <v>1371</v>
      </c>
      <c r="E851" s="2">
        <v>1392.35</v>
      </c>
      <c r="F851" s="2">
        <v>1371</v>
      </c>
      <c r="G851" s="3">
        <f t="shared" si="41"/>
        <v>3.0279814672942162E-3</v>
      </c>
      <c r="H851" s="2">
        <f t="shared" si="39"/>
        <v>21.349999999999909</v>
      </c>
      <c r="I851" s="3">
        <f t="shared" si="40"/>
        <v>1.5572574762946687E-2</v>
      </c>
    </row>
    <row r="852" spans="2:9" x14ac:dyDescent="0.25">
      <c r="B852" s="1">
        <v>36419</v>
      </c>
      <c r="C852" s="2">
        <v>1351.2</v>
      </c>
      <c r="D852" s="2">
        <v>1374.45</v>
      </c>
      <c r="E852" s="2">
        <v>1375.35</v>
      </c>
      <c r="F852" s="2">
        <v>1347.3</v>
      </c>
      <c r="G852" s="3">
        <f t="shared" si="41"/>
        <v>-1.7094638830290276E-2</v>
      </c>
      <c r="H852" s="2">
        <f t="shared" si="39"/>
        <v>28.049999999999955</v>
      </c>
      <c r="I852" s="3">
        <f t="shared" si="40"/>
        <v>2.040816326530609E-2</v>
      </c>
    </row>
    <row r="853" spans="2:9" x14ac:dyDescent="0.25">
      <c r="B853" s="1">
        <v>36420</v>
      </c>
      <c r="C853" s="2">
        <v>1359.7</v>
      </c>
      <c r="D853" s="2">
        <v>1350.35</v>
      </c>
      <c r="E853" s="2">
        <v>1364.05</v>
      </c>
      <c r="F853" s="2">
        <v>1329.7</v>
      </c>
      <c r="G853" s="3">
        <f t="shared" si="41"/>
        <v>6.2907045589106758E-3</v>
      </c>
      <c r="H853" s="2">
        <f t="shared" si="39"/>
        <v>34.349999999999909</v>
      </c>
      <c r="I853" s="3">
        <f t="shared" si="40"/>
        <v>2.5437849446439745E-2</v>
      </c>
    </row>
    <row r="854" spans="2:9" x14ac:dyDescent="0.25">
      <c r="B854" s="1">
        <v>36423</v>
      </c>
      <c r="C854" s="2">
        <v>1357.85</v>
      </c>
      <c r="D854" s="2">
        <v>1359.8</v>
      </c>
      <c r="E854" s="2">
        <v>1379.05</v>
      </c>
      <c r="F854" s="2">
        <v>1356.3</v>
      </c>
      <c r="G854" s="3">
        <f t="shared" si="41"/>
        <v>-1.3605942487314726E-3</v>
      </c>
      <c r="H854" s="2">
        <f t="shared" si="39"/>
        <v>22.75</v>
      </c>
      <c r="I854" s="3">
        <f t="shared" si="40"/>
        <v>1.6730401529636712E-2</v>
      </c>
    </row>
    <row r="855" spans="2:9" x14ac:dyDescent="0.25">
      <c r="B855" s="1">
        <v>36424</v>
      </c>
      <c r="C855" s="2">
        <v>1350.6</v>
      </c>
      <c r="D855" s="2">
        <v>1358.45</v>
      </c>
      <c r="E855" s="2">
        <v>1367.75</v>
      </c>
      <c r="F855" s="2">
        <v>1348.6</v>
      </c>
      <c r="G855" s="3">
        <f t="shared" si="41"/>
        <v>-5.3393231947563846E-3</v>
      </c>
      <c r="H855" s="2">
        <f t="shared" si="39"/>
        <v>19.150000000000091</v>
      </c>
      <c r="I855" s="3">
        <f t="shared" si="40"/>
        <v>1.4096948728330148E-2</v>
      </c>
    </row>
    <row r="856" spans="2:9" x14ac:dyDescent="0.25">
      <c r="B856" s="1">
        <v>36425</v>
      </c>
      <c r="C856" s="2">
        <v>1386.45</v>
      </c>
      <c r="D856" s="2">
        <v>1350.7</v>
      </c>
      <c r="E856" s="2">
        <v>1400</v>
      </c>
      <c r="F856" s="2">
        <v>1350.7</v>
      </c>
      <c r="G856" s="3">
        <f t="shared" si="41"/>
        <v>2.6543758329631295E-2</v>
      </c>
      <c r="H856" s="2">
        <f t="shared" si="39"/>
        <v>49.299999999999955</v>
      </c>
      <c r="I856" s="3">
        <f t="shared" si="40"/>
        <v>3.6499592803731364E-2</v>
      </c>
    </row>
    <row r="857" spans="2:9" x14ac:dyDescent="0.25">
      <c r="B857" s="1">
        <v>36426</v>
      </c>
      <c r="C857" s="2">
        <v>1398</v>
      </c>
      <c r="D857" s="2">
        <v>1387.95</v>
      </c>
      <c r="E857" s="2">
        <v>1403.55</v>
      </c>
      <c r="F857" s="2">
        <v>1387.45</v>
      </c>
      <c r="G857" s="3">
        <f t="shared" si="41"/>
        <v>8.330628583793187E-3</v>
      </c>
      <c r="H857" s="2">
        <f t="shared" si="39"/>
        <v>16.099999999999909</v>
      </c>
      <c r="I857" s="3">
        <f t="shared" si="40"/>
        <v>1.15998414928491E-2</v>
      </c>
    </row>
    <row r="858" spans="2:9" x14ac:dyDescent="0.25">
      <c r="B858" s="1">
        <v>36427</v>
      </c>
      <c r="C858" s="2">
        <v>1412.25</v>
      </c>
      <c r="D858" s="2">
        <v>1397.45</v>
      </c>
      <c r="E858" s="2">
        <v>1427.75</v>
      </c>
      <c r="F858" s="2">
        <v>1396.75</v>
      </c>
      <c r="G858" s="3">
        <f t="shared" si="41"/>
        <v>1.0193133047210257E-2</v>
      </c>
      <c r="H858" s="2">
        <f t="shared" si="39"/>
        <v>31</v>
      </c>
      <c r="I858" s="3">
        <f t="shared" si="40"/>
        <v>2.2183262370746717E-2</v>
      </c>
    </row>
    <row r="859" spans="2:9" x14ac:dyDescent="0.25">
      <c r="B859" s="1">
        <v>36430</v>
      </c>
      <c r="C859" s="2">
        <v>1389.5</v>
      </c>
      <c r="D859" s="2">
        <v>1413.8</v>
      </c>
      <c r="E859" s="2">
        <v>1427.15</v>
      </c>
      <c r="F859" s="2">
        <v>1387.05</v>
      </c>
      <c r="G859" s="3">
        <f t="shared" si="41"/>
        <v>-1.6109045848822778E-2</v>
      </c>
      <c r="H859" s="2">
        <f t="shared" si="39"/>
        <v>40.100000000000136</v>
      </c>
      <c r="I859" s="3">
        <f t="shared" si="40"/>
        <v>2.8363276276701186E-2</v>
      </c>
    </row>
    <row r="860" spans="2:9" x14ac:dyDescent="0.25">
      <c r="B860" s="1">
        <v>36431</v>
      </c>
      <c r="C860" s="2">
        <v>1379.15</v>
      </c>
      <c r="D860" s="2">
        <v>1389.25</v>
      </c>
      <c r="E860" s="2">
        <v>1389.45</v>
      </c>
      <c r="F860" s="2">
        <v>1363.45</v>
      </c>
      <c r="G860" s="3">
        <f t="shared" si="41"/>
        <v>-7.4487225620726294E-3</v>
      </c>
      <c r="H860" s="2">
        <f t="shared" si="39"/>
        <v>26</v>
      </c>
      <c r="I860" s="3">
        <f t="shared" si="40"/>
        <v>1.8715134065143062E-2</v>
      </c>
    </row>
    <row r="861" spans="2:9" x14ac:dyDescent="0.25">
      <c r="B861" s="1">
        <v>36432</v>
      </c>
      <c r="C861" s="2">
        <v>1415.3</v>
      </c>
      <c r="D861" s="2">
        <v>1380.7</v>
      </c>
      <c r="E861" s="2">
        <v>1429.05</v>
      </c>
      <c r="F861" s="2">
        <v>1380.3</v>
      </c>
      <c r="G861" s="3">
        <f t="shared" si="41"/>
        <v>2.6211797121415303E-2</v>
      </c>
      <c r="H861" s="2">
        <f t="shared" si="39"/>
        <v>48.75</v>
      </c>
      <c r="I861" s="3">
        <f t="shared" si="40"/>
        <v>3.5308177011660752E-2</v>
      </c>
    </row>
    <row r="862" spans="2:9" x14ac:dyDescent="0.25">
      <c r="B862" s="1">
        <v>36433</v>
      </c>
      <c r="C862" s="2">
        <v>1413.1</v>
      </c>
      <c r="D862" s="2">
        <v>1415.55</v>
      </c>
      <c r="E862" s="2">
        <v>1432.55</v>
      </c>
      <c r="F862" s="2">
        <v>1409.55</v>
      </c>
      <c r="G862" s="3">
        <f t="shared" si="41"/>
        <v>-1.554440754610309E-3</v>
      </c>
      <c r="H862" s="2">
        <f t="shared" si="39"/>
        <v>23</v>
      </c>
      <c r="I862" s="3">
        <f t="shared" si="40"/>
        <v>1.624810144466815E-2</v>
      </c>
    </row>
    <row r="863" spans="2:9" x14ac:dyDescent="0.25">
      <c r="B863" s="1">
        <v>36434</v>
      </c>
      <c r="C863" s="2">
        <v>1403.2</v>
      </c>
      <c r="D863" s="2">
        <v>1414.65</v>
      </c>
      <c r="E863" s="2">
        <v>1419.1</v>
      </c>
      <c r="F863" s="2">
        <v>1389.05</v>
      </c>
      <c r="G863" s="3">
        <f t="shared" si="41"/>
        <v>-7.0058736112093012E-3</v>
      </c>
      <c r="H863" s="2">
        <f t="shared" si="39"/>
        <v>30.049999999999955</v>
      </c>
      <c r="I863" s="3">
        <f t="shared" si="40"/>
        <v>2.1242003322376527E-2</v>
      </c>
    </row>
    <row r="864" spans="2:9" x14ac:dyDescent="0.25">
      <c r="B864" s="1">
        <v>36437</v>
      </c>
      <c r="C864" s="2">
        <v>1372.3</v>
      </c>
      <c r="D864" s="2">
        <v>1403.45</v>
      </c>
      <c r="E864" s="2">
        <v>1406.35</v>
      </c>
      <c r="F864" s="2">
        <v>1367.85</v>
      </c>
      <c r="G864" s="3">
        <f t="shared" si="41"/>
        <v>-2.2021094640821026E-2</v>
      </c>
      <c r="H864" s="2">
        <f t="shared" si="39"/>
        <v>38.5</v>
      </c>
      <c r="I864" s="3">
        <f t="shared" si="40"/>
        <v>2.7432398731696887E-2</v>
      </c>
    </row>
    <row r="865" spans="2:9" x14ac:dyDescent="0.25">
      <c r="B865" s="1">
        <v>36438</v>
      </c>
      <c r="C865" s="2">
        <v>1378.15</v>
      </c>
      <c r="D865" s="2">
        <v>1372.4</v>
      </c>
      <c r="E865" s="2">
        <v>1384.35</v>
      </c>
      <c r="F865" s="2">
        <v>1358.95</v>
      </c>
      <c r="G865" s="3">
        <f t="shared" si="41"/>
        <v>4.2629162719522995E-3</v>
      </c>
      <c r="H865" s="2">
        <f t="shared" si="39"/>
        <v>25.399999999999864</v>
      </c>
      <c r="I865" s="3">
        <f t="shared" si="40"/>
        <v>1.8507723695715433E-2</v>
      </c>
    </row>
    <row r="866" spans="2:9" x14ac:dyDescent="0.25">
      <c r="B866" s="1">
        <v>36439</v>
      </c>
      <c r="C866" s="2">
        <v>1392.7</v>
      </c>
      <c r="D866" s="2">
        <v>1377.65</v>
      </c>
      <c r="E866" s="2">
        <v>1419.75</v>
      </c>
      <c r="F866" s="2">
        <v>1377.15</v>
      </c>
      <c r="G866" s="3">
        <f t="shared" si="41"/>
        <v>1.0557631607589935E-2</v>
      </c>
      <c r="H866" s="2">
        <f t="shared" si="39"/>
        <v>42.599999999999909</v>
      </c>
      <c r="I866" s="3">
        <f t="shared" si="40"/>
        <v>3.0922222625485361E-2</v>
      </c>
    </row>
    <row r="867" spans="2:9" x14ac:dyDescent="0.25">
      <c r="B867" s="1">
        <v>36440</v>
      </c>
      <c r="C867" s="2">
        <v>1469.75</v>
      </c>
      <c r="D867" s="2">
        <v>1394.35</v>
      </c>
      <c r="E867" s="2">
        <v>1475.45</v>
      </c>
      <c r="F867" s="2">
        <v>1394.35</v>
      </c>
      <c r="G867" s="3">
        <f t="shared" si="41"/>
        <v>5.5324190421483399E-2</v>
      </c>
      <c r="H867" s="2">
        <f t="shared" si="39"/>
        <v>81.100000000000136</v>
      </c>
      <c r="I867" s="3">
        <f t="shared" si="40"/>
        <v>5.8163301896941327E-2</v>
      </c>
    </row>
    <row r="868" spans="2:9" x14ac:dyDescent="0.25">
      <c r="B868" s="1">
        <v>36441</v>
      </c>
      <c r="C868" s="2">
        <v>1479.25</v>
      </c>
      <c r="D868" s="2">
        <v>1470</v>
      </c>
      <c r="E868" s="2">
        <v>1502.65</v>
      </c>
      <c r="F868" s="2">
        <v>1462.75</v>
      </c>
      <c r="G868" s="3">
        <f t="shared" si="41"/>
        <v>6.4636843000509536E-3</v>
      </c>
      <c r="H868" s="2">
        <f t="shared" si="39"/>
        <v>39.900000000000091</v>
      </c>
      <c r="I868" s="3">
        <f t="shared" si="40"/>
        <v>2.7142857142857205E-2</v>
      </c>
    </row>
    <row r="869" spans="2:9" x14ac:dyDescent="0.25">
      <c r="B869" s="1">
        <v>36444</v>
      </c>
      <c r="C869" s="2">
        <v>1484</v>
      </c>
      <c r="D869" s="2">
        <v>1480.8</v>
      </c>
      <c r="E869" s="2">
        <v>1504.55</v>
      </c>
      <c r="F869" s="2">
        <v>1479.1</v>
      </c>
      <c r="G869" s="3">
        <f t="shared" si="41"/>
        <v>3.2110866993408926E-3</v>
      </c>
      <c r="H869" s="2">
        <f t="shared" si="39"/>
        <v>25.450000000000045</v>
      </c>
      <c r="I869" s="3">
        <f t="shared" si="40"/>
        <v>1.7186655861696411E-2</v>
      </c>
    </row>
    <row r="870" spans="2:9" x14ac:dyDescent="0.25">
      <c r="B870" s="1">
        <v>36445</v>
      </c>
      <c r="C870" s="2">
        <v>1483.85</v>
      </c>
      <c r="D870" s="2">
        <v>1484.4</v>
      </c>
      <c r="E870" s="2">
        <v>1493.15</v>
      </c>
      <c r="F870" s="2">
        <v>1472.35</v>
      </c>
      <c r="G870" s="3">
        <f t="shared" si="41"/>
        <v>-1.0107816711590889E-4</v>
      </c>
      <c r="H870" s="2">
        <f t="shared" si="39"/>
        <v>20.800000000000182</v>
      </c>
      <c r="I870" s="3">
        <f t="shared" si="40"/>
        <v>1.4012395580706131E-2</v>
      </c>
    </row>
    <row r="871" spans="2:9" x14ac:dyDescent="0.25">
      <c r="B871" s="1">
        <v>36446</v>
      </c>
      <c r="C871" s="2">
        <v>1496.3</v>
      </c>
      <c r="D871" s="2">
        <v>1485.45</v>
      </c>
      <c r="E871" s="2">
        <v>1510.5</v>
      </c>
      <c r="F871" s="2">
        <v>1466</v>
      </c>
      <c r="G871" s="3">
        <f t="shared" si="41"/>
        <v>8.3903359503993968E-3</v>
      </c>
      <c r="H871" s="2">
        <f t="shared" si="39"/>
        <v>44.5</v>
      </c>
      <c r="I871" s="3">
        <f t="shared" si="40"/>
        <v>2.9957252011175065E-2</v>
      </c>
    </row>
    <row r="872" spans="2:9" x14ac:dyDescent="0.25">
      <c r="B872" s="1">
        <v>36447</v>
      </c>
      <c r="C872" s="2">
        <v>1505.2</v>
      </c>
      <c r="D872" s="2">
        <v>1497.3</v>
      </c>
      <c r="E872" s="2">
        <v>1522.85</v>
      </c>
      <c r="F872" s="2">
        <v>1496.65</v>
      </c>
      <c r="G872" s="3">
        <f t="shared" si="41"/>
        <v>5.9480050791953509E-3</v>
      </c>
      <c r="H872" s="2">
        <f t="shared" si="39"/>
        <v>26.199999999999818</v>
      </c>
      <c r="I872" s="3">
        <f t="shared" si="40"/>
        <v>1.7498163360715833E-2</v>
      </c>
    </row>
    <row r="873" spans="2:9" x14ac:dyDescent="0.25">
      <c r="B873" s="1">
        <v>36448</v>
      </c>
      <c r="C873" s="2">
        <v>1454.55</v>
      </c>
      <c r="D873" s="2">
        <v>1505.7</v>
      </c>
      <c r="E873" s="2">
        <v>1512</v>
      </c>
      <c r="F873" s="2">
        <v>1448.95</v>
      </c>
      <c r="G873" s="3">
        <f t="shared" si="41"/>
        <v>-3.3650013287270908E-2</v>
      </c>
      <c r="H873" s="2">
        <f t="shared" si="39"/>
        <v>63.049999999999955</v>
      </c>
      <c r="I873" s="3">
        <f t="shared" si="40"/>
        <v>4.1874211330278244E-2</v>
      </c>
    </row>
    <row r="874" spans="2:9" x14ac:dyDescent="0.25">
      <c r="B874" s="1">
        <v>36451</v>
      </c>
      <c r="C874" s="2">
        <v>1444.05</v>
      </c>
      <c r="D874" s="2">
        <v>1454.9</v>
      </c>
      <c r="E874" s="2">
        <v>1461.45</v>
      </c>
      <c r="F874" s="2">
        <v>1426.15</v>
      </c>
      <c r="G874" s="3">
        <f t="shared" si="41"/>
        <v>-7.2187274414767799E-3</v>
      </c>
      <c r="H874" s="2">
        <f t="shared" si="39"/>
        <v>35.299999999999955</v>
      </c>
      <c r="I874" s="3">
        <f t="shared" si="40"/>
        <v>2.4262835933741119E-2</v>
      </c>
    </row>
    <row r="875" spans="2:9" x14ac:dyDescent="0.25">
      <c r="B875" s="1">
        <v>36453</v>
      </c>
      <c r="C875" s="2">
        <v>1477.65</v>
      </c>
      <c r="D875" s="2">
        <v>1446.2</v>
      </c>
      <c r="E875" s="2">
        <v>1498.7</v>
      </c>
      <c r="F875" s="2">
        <v>1446.2</v>
      </c>
      <c r="G875" s="3">
        <f t="shared" si="41"/>
        <v>2.3267892385997913E-2</v>
      </c>
      <c r="H875" s="2">
        <f t="shared" si="39"/>
        <v>52.5</v>
      </c>
      <c r="I875" s="3">
        <f t="shared" si="40"/>
        <v>3.6302032913843173E-2</v>
      </c>
    </row>
    <row r="876" spans="2:9" x14ac:dyDescent="0.25">
      <c r="B876" s="1">
        <v>36454</v>
      </c>
      <c r="C876" s="2">
        <v>1453.35</v>
      </c>
      <c r="D876" s="2">
        <v>1478</v>
      </c>
      <c r="E876" s="2">
        <v>1496.45</v>
      </c>
      <c r="F876" s="2">
        <v>1448.35</v>
      </c>
      <c r="G876" s="3">
        <f t="shared" si="41"/>
        <v>-1.6445030961323881E-2</v>
      </c>
      <c r="H876" s="2">
        <f t="shared" si="39"/>
        <v>48.100000000000136</v>
      </c>
      <c r="I876" s="3">
        <f t="shared" si="40"/>
        <v>3.2543978349120525E-2</v>
      </c>
    </row>
    <row r="877" spans="2:9" x14ac:dyDescent="0.25">
      <c r="B877" s="1">
        <v>36455</v>
      </c>
      <c r="C877" s="2">
        <v>1430.25</v>
      </c>
      <c r="D877" s="2">
        <v>1452.6</v>
      </c>
      <c r="E877" s="2">
        <v>1452.6</v>
      </c>
      <c r="F877" s="2">
        <v>1421.4</v>
      </c>
      <c r="G877" s="3">
        <f t="shared" si="41"/>
        <v>-1.5894313138610783E-2</v>
      </c>
      <c r="H877" s="2">
        <f t="shared" si="39"/>
        <v>31.199999999999818</v>
      </c>
      <c r="I877" s="3">
        <f t="shared" si="40"/>
        <v>2.1478727798430276E-2</v>
      </c>
    </row>
    <row r="878" spans="2:9" x14ac:dyDescent="0.25">
      <c r="B878" s="1">
        <v>36456</v>
      </c>
      <c r="C878" s="2">
        <v>1449.8</v>
      </c>
      <c r="D878" s="2">
        <v>1430.75</v>
      </c>
      <c r="E878" s="2">
        <v>1451.85</v>
      </c>
      <c r="F878" s="2">
        <v>1429.1</v>
      </c>
      <c r="G878" s="3">
        <f t="shared" si="41"/>
        <v>1.366893899667887E-2</v>
      </c>
      <c r="H878" s="2">
        <f t="shared" si="39"/>
        <v>22.75</v>
      </c>
      <c r="I878" s="3">
        <f t="shared" si="40"/>
        <v>1.5900751354184867E-2</v>
      </c>
    </row>
    <row r="879" spans="2:9" x14ac:dyDescent="0.25">
      <c r="B879" s="1">
        <v>36458</v>
      </c>
      <c r="C879" s="2">
        <v>1426.2</v>
      </c>
      <c r="D879" s="2">
        <v>1449.85</v>
      </c>
      <c r="E879" s="2">
        <v>1457.2</v>
      </c>
      <c r="F879" s="2">
        <v>1410.85</v>
      </c>
      <c r="G879" s="3">
        <f t="shared" si="41"/>
        <v>-1.6278107325148228E-2</v>
      </c>
      <c r="H879" s="2">
        <f t="shared" si="39"/>
        <v>46.350000000000136</v>
      </c>
      <c r="I879" s="3">
        <f t="shared" si="40"/>
        <v>3.1968824361140902E-2</v>
      </c>
    </row>
    <row r="880" spans="2:9" x14ac:dyDescent="0.25">
      <c r="B880" s="1">
        <v>36459</v>
      </c>
      <c r="C880" s="2">
        <v>1414.35</v>
      </c>
      <c r="D880" s="2">
        <v>1426.6</v>
      </c>
      <c r="E880" s="2">
        <v>1431.5</v>
      </c>
      <c r="F880" s="2">
        <v>1410.95</v>
      </c>
      <c r="G880" s="3">
        <f t="shared" si="41"/>
        <v>-8.3087925957089359E-3</v>
      </c>
      <c r="H880" s="2">
        <f t="shared" si="39"/>
        <v>20.549999999999955</v>
      </c>
      <c r="I880" s="3">
        <f t="shared" si="40"/>
        <v>1.4404878732651028E-2</v>
      </c>
    </row>
    <row r="881" spans="2:9" x14ac:dyDescent="0.25">
      <c r="B881" s="1">
        <v>36460</v>
      </c>
      <c r="C881" s="2">
        <v>1411.4</v>
      </c>
      <c r="D881" s="2">
        <v>1419.1</v>
      </c>
      <c r="E881" s="2">
        <v>1440.7</v>
      </c>
      <c r="F881" s="2">
        <v>1400.75</v>
      </c>
      <c r="G881" s="3">
        <f t="shared" si="41"/>
        <v>-2.0857637784139627E-3</v>
      </c>
      <c r="H881" s="2">
        <f t="shared" si="39"/>
        <v>39.950000000000045</v>
      </c>
      <c r="I881" s="3">
        <f t="shared" si="40"/>
        <v>2.8151645409062117E-2</v>
      </c>
    </row>
    <row r="882" spans="2:9" x14ac:dyDescent="0.25">
      <c r="B882" s="1">
        <v>36461</v>
      </c>
      <c r="C882" s="2">
        <v>1367.7</v>
      </c>
      <c r="D882" s="2">
        <v>1411.2</v>
      </c>
      <c r="E882" s="2">
        <v>1411.45</v>
      </c>
      <c r="F882" s="2">
        <v>1361.05</v>
      </c>
      <c r="G882" s="3">
        <f t="shared" si="41"/>
        <v>-3.0962165226016802E-2</v>
      </c>
      <c r="H882" s="2">
        <f t="shared" si="39"/>
        <v>50.400000000000091</v>
      </c>
      <c r="I882" s="3">
        <f t="shared" si="40"/>
        <v>3.5714285714285775E-2</v>
      </c>
    </row>
    <row r="883" spans="2:9" x14ac:dyDescent="0.25">
      <c r="B883" s="1">
        <v>36462</v>
      </c>
      <c r="C883" s="2">
        <v>1325.45</v>
      </c>
      <c r="D883" s="2">
        <v>1367.9</v>
      </c>
      <c r="E883" s="2">
        <v>1370.8</v>
      </c>
      <c r="F883" s="2">
        <v>1296.7</v>
      </c>
      <c r="G883" s="3">
        <f t="shared" si="41"/>
        <v>-3.0891277326899225E-2</v>
      </c>
      <c r="H883" s="2">
        <f t="shared" si="39"/>
        <v>74.099999999999909</v>
      </c>
      <c r="I883" s="3">
        <f t="shared" si="40"/>
        <v>5.4170626507785584E-2</v>
      </c>
    </row>
    <row r="884" spans="2:9" x14ac:dyDescent="0.25">
      <c r="B884" s="1">
        <v>36465</v>
      </c>
      <c r="C884" s="2">
        <v>1270</v>
      </c>
      <c r="D884" s="2">
        <v>1325.9</v>
      </c>
      <c r="E884" s="2">
        <v>1332.7</v>
      </c>
      <c r="F884" s="2">
        <v>1260.8</v>
      </c>
      <c r="G884" s="3">
        <f t="shared" si="41"/>
        <v>-4.1834848542004588E-2</v>
      </c>
      <c r="H884" s="2">
        <f t="shared" si="39"/>
        <v>71.900000000000091</v>
      </c>
      <c r="I884" s="3">
        <f t="shared" si="40"/>
        <v>5.4227317293913634E-2</v>
      </c>
    </row>
    <row r="885" spans="2:9" x14ac:dyDescent="0.25">
      <c r="B885" s="1">
        <v>36466</v>
      </c>
      <c r="C885" s="2">
        <v>1332.2</v>
      </c>
      <c r="D885" s="2">
        <v>1269.3</v>
      </c>
      <c r="E885" s="2">
        <v>1335.6</v>
      </c>
      <c r="F885" s="2">
        <v>1239.8</v>
      </c>
      <c r="G885" s="3">
        <f t="shared" si="41"/>
        <v>4.897637795275589E-2</v>
      </c>
      <c r="H885" s="2">
        <f t="shared" si="39"/>
        <v>95.799999999999955</v>
      </c>
      <c r="I885" s="3">
        <f t="shared" si="40"/>
        <v>7.5474671078547204E-2</v>
      </c>
    </row>
    <row r="886" spans="2:9" x14ac:dyDescent="0.25">
      <c r="B886" s="1">
        <v>36467</v>
      </c>
      <c r="C886" s="2">
        <v>1326.4</v>
      </c>
      <c r="D886" s="2">
        <v>1332.7</v>
      </c>
      <c r="E886" s="2">
        <v>1353.55</v>
      </c>
      <c r="F886" s="2">
        <v>1303.25</v>
      </c>
      <c r="G886" s="3">
        <f t="shared" si="41"/>
        <v>-4.3537006455486305E-3</v>
      </c>
      <c r="H886" s="2">
        <f t="shared" si="39"/>
        <v>50.299999999999955</v>
      </c>
      <c r="I886" s="3">
        <f t="shared" si="40"/>
        <v>3.7742927890748068E-2</v>
      </c>
    </row>
    <row r="887" spans="2:9" x14ac:dyDescent="0.25">
      <c r="B887" s="1">
        <v>36468</v>
      </c>
      <c r="C887" s="2">
        <v>1336.8</v>
      </c>
      <c r="D887" s="2">
        <v>1326.85</v>
      </c>
      <c r="E887" s="2">
        <v>1339.75</v>
      </c>
      <c r="F887" s="2">
        <v>1313.6</v>
      </c>
      <c r="G887" s="3">
        <f t="shared" si="41"/>
        <v>7.8407720144750837E-3</v>
      </c>
      <c r="H887" s="2">
        <f t="shared" si="39"/>
        <v>26.150000000000091</v>
      </c>
      <c r="I887" s="3">
        <f t="shared" si="40"/>
        <v>1.9708331763198621E-2</v>
      </c>
    </row>
    <row r="888" spans="2:9" x14ac:dyDescent="0.25">
      <c r="B888" s="1">
        <v>36469</v>
      </c>
      <c r="C888" s="2">
        <v>1364.55</v>
      </c>
      <c r="D888" s="2">
        <v>1336.75</v>
      </c>
      <c r="E888" s="2">
        <v>1369.65</v>
      </c>
      <c r="F888" s="2">
        <v>1336.55</v>
      </c>
      <c r="G888" s="3">
        <f t="shared" si="41"/>
        <v>2.0758527827648088E-2</v>
      </c>
      <c r="H888" s="2">
        <f t="shared" si="39"/>
        <v>33.100000000000136</v>
      </c>
      <c r="I888" s="3">
        <f t="shared" si="40"/>
        <v>2.4761548531887143E-2</v>
      </c>
    </row>
    <row r="889" spans="2:9" x14ac:dyDescent="0.25">
      <c r="B889" s="1">
        <v>36471</v>
      </c>
      <c r="C889" s="2">
        <v>1369.6</v>
      </c>
      <c r="D889" s="2">
        <v>1364.7</v>
      </c>
      <c r="E889" s="2">
        <v>1382.25</v>
      </c>
      <c r="F889" s="2">
        <v>1364.7</v>
      </c>
      <c r="G889" s="3">
        <f t="shared" si="41"/>
        <v>3.7008537613132386E-3</v>
      </c>
      <c r="H889" s="2">
        <f t="shared" si="39"/>
        <v>17.549999999999955</v>
      </c>
      <c r="I889" s="3">
        <f t="shared" si="40"/>
        <v>1.2859969224005242E-2</v>
      </c>
    </row>
    <row r="890" spans="2:9" x14ac:dyDescent="0.25">
      <c r="B890" s="1">
        <v>36473</v>
      </c>
      <c r="C890" s="2">
        <v>1371.2</v>
      </c>
      <c r="D890" s="2">
        <v>1370.5</v>
      </c>
      <c r="E890" s="2">
        <v>1374.8</v>
      </c>
      <c r="F890" s="2">
        <v>1345.25</v>
      </c>
      <c r="G890" s="3">
        <f t="shared" si="41"/>
        <v>1.1682242990656011E-3</v>
      </c>
      <c r="H890" s="2">
        <f t="shared" si="39"/>
        <v>29.549999999999955</v>
      </c>
      <c r="I890" s="3">
        <f t="shared" si="40"/>
        <v>2.1561473914629665E-2</v>
      </c>
    </row>
    <row r="891" spans="2:9" x14ac:dyDescent="0.25">
      <c r="B891" s="1">
        <v>36474</v>
      </c>
      <c r="C891" s="2">
        <v>1389.1</v>
      </c>
      <c r="D891" s="2">
        <v>1371.6</v>
      </c>
      <c r="E891" s="2">
        <v>1392.55</v>
      </c>
      <c r="F891" s="2">
        <v>1371.6</v>
      </c>
      <c r="G891" s="3">
        <f t="shared" si="41"/>
        <v>1.3054259043173699E-2</v>
      </c>
      <c r="H891" s="2">
        <f t="shared" si="39"/>
        <v>20.950000000000045</v>
      </c>
      <c r="I891" s="3">
        <f t="shared" si="40"/>
        <v>1.5274132400116686E-2</v>
      </c>
    </row>
    <row r="892" spans="2:9" x14ac:dyDescent="0.25">
      <c r="B892" s="1">
        <v>36475</v>
      </c>
      <c r="C892" s="2">
        <v>1389.6</v>
      </c>
      <c r="D892" s="2">
        <v>1389.2</v>
      </c>
      <c r="E892" s="2">
        <v>1402.7</v>
      </c>
      <c r="F892" s="2">
        <v>1382.3</v>
      </c>
      <c r="G892" s="3">
        <f t="shared" si="41"/>
        <v>3.5994528831606587E-4</v>
      </c>
      <c r="H892" s="2">
        <f t="shared" si="39"/>
        <v>20.400000000000091</v>
      </c>
      <c r="I892" s="3">
        <f t="shared" si="40"/>
        <v>1.4684710624820106E-2</v>
      </c>
    </row>
    <row r="893" spans="2:9" x14ac:dyDescent="0.25">
      <c r="B893" s="1">
        <v>36476</v>
      </c>
      <c r="C893" s="2">
        <v>1373.55</v>
      </c>
      <c r="D893" s="2">
        <v>1389.25</v>
      </c>
      <c r="E893" s="2">
        <v>1389.4</v>
      </c>
      <c r="F893" s="2">
        <v>1368.85</v>
      </c>
      <c r="G893" s="3">
        <f t="shared" si="41"/>
        <v>-1.1550086355785805E-2</v>
      </c>
      <c r="H893" s="2">
        <f t="shared" si="39"/>
        <v>20.550000000000182</v>
      </c>
      <c r="I893" s="3">
        <f t="shared" si="40"/>
        <v>1.4792154039949743E-2</v>
      </c>
    </row>
    <row r="894" spans="2:9" x14ac:dyDescent="0.25">
      <c r="B894" s="1">
        <v>36479</v>
      </c>
      <c r="C894" s="2">
        <v>1362.7</v>
      </c>
      <c r="D894" s="2">
        <v>1372.75</v>
      </c>
      <c r="E894" s="2">
        <v>1381.1</v>
      </c>
      <c r="F894" s="2">
        <v>1358.15</v>
      </c>
      <c r="G894" s="3">
        <f t="shared" si="41"/>
        <v>-7.8992391976993037E-3</v>
      </c>
      <c r="H894" s="2">
        <f t="shared" si="39"/>
        <v>22.949999999999818</v>
      </c>
      <c r="I894" s="3">
        <f t="shared" si="40"/>
        <v>1.6718266253869837E-2</v>
      </c>
    </row>
    <row r="895" spans="2:9" x14ac:dyDescent="0.25">
      <c r="B895" s="1">
        <v>36480</v>
      </c>
      <c r="C895" s="2">
        <v>1357.75</v>
      </c>
      <c r="D895" s="2">
        <v>1362.3</v>
      </c>
      <c r="E895" s="2">
        <v>1362.3</v>
      </c>
      <c r="F895" s="2">
        <v>1351.4</v>
      </c>
      <c r="G895" s="3">
        <f t="shared" si="41"/>
        <v>-3.6324943127614695E-3</v>
      </c>
      <c r="H895" s="2">
        <f t="shared" si="39"/>
        <v>10.899999999999864</v>
      </c>
      <c r="I895" s="3">
        <f t="shared" si="40"/>
        <v>8.0011744843278745E-3</v>
      </c>
    </row>
    <row r="896" spans="2:9" x14ac:dyDescent="0.25">
      <c r="B896" s="1">
        <v>36481</v>
      </c>
      <c r="C896" s="2">
        <v>1352.25</v>
      </c>
      <c r="D896" s="2">
        <v>1367.65</v>
      </c>
      <c r="E896" s="2">
        <v>1381.5</v>
      </c>
      <c r="F896" s="2">
        <v>1352.25</v>
      </c>
      <c r="G896" s="3">
        <f t="shared" si="41"/>
        <v>-4.050819370281733E-3</v>
      </c>
      <c r="H896" s="2">
        <f t="shared" si="39"/>
        <v>29.25</v>
      </c>
      <c r="I896" s="3">
        <f t="shared" si="40"/>
        <v>2.1387050780535953E-2</v>
      </c>
    </row>
    <row r="897" spans="2:9" x14ac:dyDescent="0.25">
      <c r="B897" s="1">
        <v>36482</v>
      </c>
      <c r="C897" s="2">
        <v>1364.25</v>
      </c>
      <c r="D897" s="2">
        <v>1353.4</v>
      </c>
      <c r="E897" s="2">
        <v>1366.25</v>
      </c>
      <c r="F897" s="2">
        <v>1342.25</v>
      </c>
      <c r="G897" s="3">
        <f t="shared" si="41"/>
        <v>8.8740987243483005E-3</v>
      </c>
      <c r="H897" s="2">
        <f t="shared" si="39"/>
        <v>24</v>
      </c>
      <c r="I897" s="3">
        <f t="shared" si="40"/>
        <v>1.7733116595241613E-2</v>
      </c>
    </row>
    <row r="898" spans="2:9" x14ac:dyDescent="0.25">
      <c r="B898" s="1">
        <v>36483</v>
      </c>
      <c r="C898" s="2">
        <v>1361.85</v>
      </c>
      <c r="D898" s="2">
        <v>1365.25</v>
      </c>
      <c r="E898" s="2">
        <v>1381.05</v>
      </c>
      <c r="F898" s="2">
        <v>1360.05</v>
      </c>
      <c r="G898" s="3">
        <f t="shared" si="41"/>
        <v>-1.759208356239772E-3</v>
      </c>
      <c r="H898" s="2">
        <f t="shared" si="39"/>
        <v>21</v>
      </c>
      <c r="I898" s="3">
        <f t="shared" si="40"/>
        <v>1.5381798205456876E-2</v>
      </c>
    </row>
    <row r="899" spans="2:9" x14ac:dyDescent="0.25">
      <c r="B899" s="1">
        <v>36486</v>
      </c>
      <c r="C899" s="2">
        <v>1375.25</v>
      </c>
      <c r="D899" s="2">
        <v>1362.4</v>
      </c>
      <c r="E899" s="2">
        <v>1378.1</v>
      </c>
      <c r="F899" s="2">
        <v>1358.2</v>
      </c>
      <c r="G899" s="3">
        <f t="shared" si="41"/>
        <v>9.8395564856630369E-3</v>
      </c>
      <c r="H899" s="2">
        <f t="shared" si="39"/>
        <v>19.899999999999864</v>
      </c>
      <c r="I899" s="3">
        <f t="shared" si="40"/>
        <v>1.4606576629477291E-2</v>
      </c>
    </row>
    <row r="900" spans="2:9" x14ac:dyDescent="0.25">
      <c r="B900" s="1">
        <v>36488</v>
      </c>
      <c r="C900" s="2">
        <v>1394.95</v>
      </c>
      <c r="D900" s="2">
        <v>1376.5</v>
      </c>
      <c r="E900" s="2">
        <v>1404.05</v>
      </c>
      <c r="F900" s="2">
        <v>1376.5</v>
      </c>
      <c r="G900" s="3">
        <f t="shared" si="41"/>
        <v>1.432466824213785E-2</v>
      </c>
      <c r="H900" s="2">
        <f t="shared" si="39"/>
        <v>27.549999999999955</v>
      </c>
      <c r="I900" s="3">
        <f t="shared" si="40"/>
        <v>2.0014529604068257E-2</v>
      </c>
    </row>
    <row r="901" spans="2:9" x14ac:dyDescent="0.25">
      <c r="B901" s="1">
        <v>36489</v>
      </c>
      <c r="C901" s="2">
        <v>1408.65</v>
      </c>
      <c r="D901" s="2">
        <v>1395.85</v>
      </c>
      <c r="E901" s="2">
        <v>1417.65</v>
      </c>
      <c r="F901" s="2">
        <v>1395.85</v>
      </c>
      <c r="G901" s="3">
        <f t="shared" si="41"/>
        <v>9.8211405426718024E-3</v>
      </c>
      <c r="H901" s="2">
        <f t="shared" ref="H901:H964" si="42">E901-F901</f>
        <v>21.800000000000182</v>
      </c>
      <c r="I901" s="3">
        <f t="shared" si="40"/>
        <v>1.5617723967475147E-2</v>
      </c>
    </row>
    <row r="902" spans="2:9" x14ac:dyDescent="0.25">
      <c r="B902" s="1">
        <v>36490</v>
      </c>
      <c r="C902" s="2">
        <v>1399.6</v>
      </c>
      <c r="D902" s="2">
        <v>1409.35</v>
      </c>
      <c r="E902" s="2">
        <v>1418.15</v>
      </c>
      <c r="F902" s="2">
        <v>1395.5</v>
      </c>
      <c r="G902" s="3">
        <f t="shared" si="41"/>
        <v>-6.4245909203849427E-3</v>
      </c>
      <c r="H902" s="2">
        <f t="shared" si="42"/>
        <v>22.650000000000091</v>
      </c>
      <c r="I902" s="3">
        <f t="shared" ref="I902:I965" si="43">H902/D902</f>
        <v>1.6071238514208743E-2</v>
      </c>
    </row>
    <row r="903" spans="2:9" x14ac:dyDescent="0.25">
      <c r="B903" s="1">
        <v>36493</v>
      </c>
      <c r="C903" s="2">
        <v>1384.65</v>
      </c>
      <c r="D903" s="2">
        <v>1399.8</v>
      </c>
      <c r="E903" s="2">
        <v>1401.25</v>
      </c>
      <c r="F903" s="2">
        <v>1382.2</v>
      </c>
      <c r="G903" s="3">
        <f t="shared" ref="G903:G966" si="44">C903/C902-1</f>
        <v>-1.0681623320948685E-2</v>
      </c>
      <c r="H903" s="2">
        <f t="shared" si="42"/>
        <v>19.049999999999955</v>
      </c>
      <c r="I903" s="3">
        <f t="shared" si="43"/>
        <v>1.3609087012430314E-2</v>
      </c>
    </row>
    <row r="904" spans="2:9" x14ac:dyDescent="0.25">
      <c r="B904" s="1">
        <v>36494</v>
      </c>
      <c r="C904" s="2">
        <v>1376.15</v>
      </c>
      <c r="D904" s="2">
        <v>1384.9</v>
      </c>
      <c r="E904" s="2">
        <v>1386.75</v>
      </c>
      <c r="F904" s="2">
        <v>1370.55</v>
      </c>
      <c r="G904" s="3">
        <f t="shared" si="44"/>
        <v>-6.1387354205033606E-3</v>
      </c>
      <c r="H904" s="2">
        <f t="shared" si="42"/>
        <v>16.200000000000045</v>
      </c>
      <c r="I904" s="3">
        <f t="shared" si="43"/>
        <v>1.1697595494259545E-2</v>
      </c>
    </row>
    <row r="905" spans="2:9" x14ac:dyDescent="0.25">
      <c r="B905" s="1">
        <v>36495</v>
      </c>
      <c r="C905" s="2">
        <v>1388.75</v>
      </c>
      <c r="D905" s="2">
        <v>1375.05</v>
      </c>
      <c r="E905" s="2">
        <v>1401.1</v>
      </c>
      <c r="F905" s="2">
        <v>1374.7</v>
      </c>
      <c r="G905" s="3">
        <f t="shared" si="44"/>
        <v>9.1559786360497775E-3</v>
      </c>
      <c r="H905" s="2">
        <f t="shared" si="42"/>
        <v>26.399999999999864</v>
      </c>
      <c r="I905" s="3">
        <f t="shared" si="43"/>
        <v>1.9199301843569227E-2</v>
      </c>
    </row>
    <row r="906" spans="2:9" x14ac:dyDescent="0.25">
      <c r="B906" s="1">
        <v>36496</v>
      </c>
      <c r="C906" s="2">
        <v>1408.85</v>
      </c>
      <c r="D906" s="2">
        <v>1388.2</v>
      </c>
      <c r="E906" s="2">
        <v>1420.7</v>
      </c>
      <c r="F906" s="2">
        <v>1387.2</v>
      </c>
      <c r="G906" s="3">
        <f t="shared" si="44"/>
        <v>1.4473447344734325E-2</v>
      </c>
      <c r="H906" s="2">
        <f t="shared" si="42"/>
        <v>33.5</v>
      </c>
      <c r="I906" s="3">
        <f t="shared" si="43"/>
        <v>2.4131969456850599E-2</v>
      </c>
    </row>
    <row r="907" spans="2:9" x14ac:dyDescent="0.25">
      <c r="B907" s="1">
        <v>36497</v>
      </c>
      <c r="C907" s="2">
        <v>1418</v>
      </c>
      <c r="D907" s="2">
        <v>1409.05</v>
      </c>
      <c r="E907" s="2">
        <v>1436.65</v>
      </c>
      <c r="F907" s="2">
        <v>1409.05</v>
      </c>
      <c r="G907" s="3">
        <f t="shared" si="44"/>
        <v>6.4946587642404907E-3</v>
      </c>
      <c r="H907" s="2">
        <f t="shared" si="42"/>
        <v>27.600000000000136</v>
      </c>
      <c r="I907" s="3">
        <f t="shared" si="43"/>
        <v>1.9587665448351825E-2</v>
      </c>
    </row>
    <row r="908" spans="2:9" x14ac:dyDescent="0.25">
      <c r="B908" s="1">
        <v>36500</v>
      </c>
      <c r="C908" s="2">
        <v>1442.85</v>
      </c>
      <c r="D908" s="2">
        <v>1418.3</v>
      </c>
      <c r="E908" s="2">
        <v>1445.6</v>
      </c>
      <c r="F908" s="2">
        <v>1418.3</v>
      </c>
      <c r="G908" s="3">
        <f t="shared" si="44"/>
        <v>1.7524682651621992E-2</v>
      </c>
      <c r="H908" s="2">
        <f t="shared" si="42"/>
        <v>27.299999999999955</v>
      </c>
      <c r="I908" s="3">
        <f t="shared" si="43"/>
        <v>1.9248395967002719E-2</v>
      </c>
    </row>
    <row r="909" spans="2:9" x14ac:dyDescent="0.25">
      <c r="B909" s="1">
        <v>36501</v>
      </c>
      <c r="C909" s="2">
        <v>1445.15</v>
      </c>
      <c r="D909" s="2">
        <v>1443.2</v>
      </c>
      <c r="E909" s="2">
        <v>1455.4</v>
      </c>
      <c r="F909" s="2">
        <v>1439.65</v>
      </c>
      <c r="G909" s="3">
        <f t="shared" si="44"/>
        <v>1.5940672973628889E-3</v>
      </c>
      <c r="H909" s="2">
        <f t="shared" si="42"/>
        <v>15.75</v>
      </c>
      <c r="I909" s="3">
        <f t="shared" si="43"/>
        <v>1.0913248337028824E-2</v>
      </c>
    </row>
    <row r="910" spans="2:9" x14ac:dyDescent="0.25">
      <c r="B910" s="1">
        <v>36502</v>
      </c>
      <c r="C910" s="2">
        <v>1438.65</v>
      </c>
      <c r="D910" s="2">
        <v>1451.1</v>
      </c>
      <c r="E910" s="2">
        <v>1486.15</v>
      </c>
      <c r="F910" s="2">
        <v>1420.95</v>
      </c>
      <c r="G910" s="3">
        <f t="shared" si="44"/>
        <v>-4.4978029962288169E-3</v>
      </c>
      <c r="H910" s="2">
        <f t="shared" si="42"/>
        <v>65.200000000000045</v>
      </c>
      <c r="I910" s="3">
        <f t="shared" si="43"/>
        <v>4.4931431327958134E-2</v>
      </c>
    </row>
    <row r="911" spans="2:9" x14ac:dyDescent="0.25">
      <c r="B911" s="1">
        <v>36503</v>
      </c>
      <c r="C911" s="2">
        <v>1447.55</v>
      </c>
      <c r="D911" s="2">
        <v>1437.1</v>
      </c>
      <c r="E911" s="2">
        <v>1451.5</v>
      </c>
      <c r="F911" s="2">
        <v>1428.05</v>
      </c>
      <c r="G911" s="3">
        <f t="shared" si="44"/>
        <v>6.1863552636149954E-3</v>
      </c>
      <c r="H911" s="2">
        <f t="shared" si="42"/>
        <v>23.450000000000045</v>
      </c>
      <c r="I911" s="3">
        <f t="shared" si="43"/>
        <v>1.631758402338045E-2</v>
      </c>
    </row>
    <row r="912" spans="2:9" x14ac:dyDescent="0.25">
      <c r="B912" s="1">
        <v>36504</v>
      </c>
      <c r="C912" s="2">
        <v>1439.7</v>
      </c>
      <c r="D912" s="2">
        <v>1448.05</v>
      </c>
      <c r="E912" s="2">
        <v>1462.6</v>
      </c>
      <c r="F912" s="2">
        <v>1437</v>
      </c>
      <c r="G912" s="3">
        <f t="shared" si="44"/>
        <v>-5.4229560291526591E-3</v>
      </c>
      <c r="H912" s="2">
        <f t="shared" si="42"/>
        <v>25.599999999999909</v>
      </c>
      <c r="I912" s="3">
        <f t="shared" si="43"/>
        <v>1.7678947550153593E-2</v>
      </c>
    </row>
    <row r="913" spans="2:9" x14ac:dyDescent="0.25">
      <c r="B913" s="1">
        <v>36507</v>
      </c>
      <c r="C913" s="2">
        <v>1427.65</v>
      </c>
      <c r="D913" s="2">
        <v>1440.2</v>
      </c>
      <c r="E913" s="2">
        <v>1444.95</v>
      </c>
      <c r="F913" s="2">
        <v>1421.85</v>
      </c>
      <c r="G913" s="3">
        <f t="shared" si="44"/>
        <v>-8.369799263735489E-3</v>
      </c>
      <c r="H913" s="2">
        <f t="shared" si="42"/>
        <v>23.100000000000136</v>
      </c>
      <c r="I913" s="3">
        <f t="shared" si="43"/>
        <v>1.603943896681026E-2</v>
      </c>
    </row>
    <row r="914" spans="2:9" x14ac:dyDescent="0.25">
      <c r="B914" s="1">
        <v>36508</v>
      </c>
      <c r="C914" s="2">
        <v>1398.25</v>
      </c>
      <c r="D914" s="2">
        <v>1427.9</v>
      </c>
      <c r="E914" s="2">
        <v>1431.25</v>
      </c>
      <c r="F914" s="2">
        <v>1391.1</v>
      </c>
      <c r="G914" s="3">
        <f t="shared" si="44"/>
        <v>-2.0593282667320523E-2</v>
      </c>
      <c r="H914" s="2">
        <f t="shared" si="42"/>
        <v>40.150000000000091</v>
      </c>
      <c r="I914" s="3">
        <f t="shared" si="43"/>
        <v>2.8118215561313879E-2</v>
      </c>
    </row>
    <row r="915" spans="2:9" x14ac:dyDescent="0.25">
      <c r="B915" s="1">
        <v>36509</v>
      </c>
      <c r="C915" s="2">
        <v>1401.4</v>
      </c>
      <c r="D915" s="2">
        <v>1396.6</v>
      </c>
      <c r="E915" s="2">
        <v>1410.8</v>
      </c>
      <c r="F915" s="2">
        <v>1376.75</v>
      </c>
      <c r="G915" s="3">
        <f t="shared" si="44"/>
        <v>2.252816020025028E-3</v>
      </c>
      <c r="H915" s="2">
        <f t="shared" si="42"/>
        <v>34.049999999999955</v>
      </c>
      <c r="I915" s="3">
        <f t="shared" si="43"/>
        <v>2.438063869397104E-2</v>
      </c>
    </row>
    <row r="916" spans="2:9" x14ac:dyDescent="0.25">
      <c r="B916" s="1">
        <v>36510</v>
      </c>
      <c r="C916" s="2">
        <v>1419.7</v>
      </c>
      <c r="D916" s="2">
        <v>1404.05</v>
      </c>
      <c r="E916" s="2">
        <v>1428.5</v>
      </c>
      <c r="F916" s="2">
        <v>1402.75</v>
      </c>
      <c r="G916" s="3">
        <f t="shared" si="44"/>
        <v>1.3058370201227243E-2</v>
      </c>
      <c r="H916" s="2">
        <f t="shared" si="42"/>
        <v>25.75</v>
      </c>
      <c r="I916" s="3">
        <f t="shared" si="43"/>
        <v>1.8339802713578577E-2</v>
      </c>
    </row>
    <row r="917" spans="2:9" x14ac:dyDescent="0.25">
      <c r="B917" s="1">
        <v>36511</v>
      </c>
      <c r="C917" s="2">
        <v>1419.3</v>
      </c>
      <c r="D917" s="2">
        <v>1420.1</v>
      </c>
      <c r="E917" s="2">
        <v>1439.25</v>
      </c>
      <c r="F917" s="2">
        <v>1414.15</v>
      </c>
      <c r="G917" s="3">
        <f t="shared" si="44"/>
        <v>-2.8174966542238167E-4</v>
      </c>
      <c r="H917" s="2">
        <f t="shared" si="42"/>
        <v>25.099999999999909</v>
      </c>
      <c r="I917" s="3">
        <f t="shared" si="43"/>
        <v>1.7674811632983529E-2</v>
      </c>
    </row>
    <row r="918" spans="2:9" x14ac:dyDescent="0.25">
      <c r="B918" s="1">
        <v>36514</v>
      </c>
      <c r="C918" s="2">
        <v>1422.45</v>
      </c>
      <c r="D918" s="2">
        <v>1419.45</v>
      </c>
      <c r="E918" s="2">
        <v>1435.55</v>
      </c>
      <c r="F918" s="2">
        <v>1418.75</v>
      </c>
      <c r="G918" s="3">
        <f t="shared" si="44"/>
        <v>2.2194039315155401E-3</v>
      </c>
      <c r="H918" s="2">
        <f t="shared" si="42"/>
        <v>16.799999999999955</v>
      </c>
      <c r="I918" s="3">
        <f t="shared" si="43"/>
        <v>1.1835570115185427E-2</v>
      </c>
    </row>
    <row r="919" spans="2:9" x14ac:dyDescent="0.25">
      <c r="B919" s="1">
        <v>36515</v>
      </c>
      <c r="C919" s="2">
        <v>1421.7</v>
      </c>
      <c r="D919" s="2">
        <v>1422.6</v>
      </c>
      <c r="E919" s="2">
        <v>1437.6</v>
      </c>
      <c r="F919" s="2">
        <v>1413.85</v>
      </c>
      <c r="G919" s="3">
        <f t="shared" si="44"/>
        <v>-5.2725930612673721E-4</v>
      </c>
      <c r="H919" s="2">
        <f t="shared" si="42"/>
        <v>23.75</v>
      </c>
      <c r="I919" s="3">
        <f t="shared" si="43"/>
        <v>1.669478419794742E-2</v>
      </c>
    </row>
    <row r="920" spans="2:9" x14ac:dyDescent="0.25">
      <c r="B920" s="1">
        <v>36516</v>
      </c>
      <c r="C920" s="2">
        <v>1481.7</v>
      </c>
      <c r="D920" s="2">
        <v>1429.15</v>
      </c>
      <c r="E920" s="2">
        <v>1486.9</v>
      </c>
      <c r="F920" s="2">
        <v>1429.15</v>
      </c>
      <c r="G920" s="3">
        <f t="shared" si="44"/>
        <v>4.2202996412745275E-2</v>
      </c>
      <c r="H920" s="2">
        <f t="shared" si="42"/>
        <v>57.75</v>
      </c>
      <c r="I920" s="3">
        <f t="shared" si="43"/>
        <v>4.0408634503026272E-2</v>
      </c>
    </row>
    <row r="921" spans="2:9" x14ac:dyDescent="0.25">
      <c r="B921" s="1">
        <v>36517</v>
      </c>
      <c r="C921" s="2">
        <v>1488.35</v>
      </c>
      <c r="D921" s="2">
        <v>1481.6</v>
      </c>
      <c r="E921" s="2">
        <v>1510.85</v>
      </c>
      <c r="F921" s="2">
        <v>1481.6</v>
      </c>
      <c r="G921" s="3">
        <f t="shared" si="44"/>
        <v>4.4880880070188311E-3</v>
      </c>
      <c r="H921" s="2">
        <f t="shared" si="42"/>
        <v>29.25</v>
      </c>
      <c r="I921" s="3">
        <f t="shared" si="43"/>
        <v>1.9742170626349892E-2</v>
      </c>
    </row>
    <row r="922" spans="2:9" x14ac:dyDescent="0.25">
      <c r="B922" s="1">
        <v>36518</v>
      </c>
      <c r="C922" s="2">
        <v>1459</v>
      </c>
      <c r="D922" s="2">
        <v>1488.05</v>
      </c>
      <c r="E922" s="2">
        <v>1489.9</v>
      </c>
      <c r="F922" s="2">
        <v>1453.35</v>
      </c>
      <c r="G922" s="3">
        <f t="shared" si="44"/>
        <v>-1.9719823966136918E-2</v>
      </c>
      <c r="H922" s="2">
        <f t="shared" si="42"/>
        <v>36.550000000000182</v>
      </c>
      <c r="I922" s="3">
        <f t="shared" si="43"/>
        <v>2.456234669533966E-2</v>
      </c>
    </row>
    <row r="923" spans="2:9" x14ac:dyDescent="0.25">
      <c r="B923" s="1">
        <v>36521</v>
      </c>
      <c r="C923" s="2">
        <v>1432.1</v>
      </c>
      <c r="D923" s="2">
        <v>1459.65</v>
      </c>
      <c r="E923" s="2">
        <v>1460.5</v>
      </c>
      <c r="F923" s="2">
        <v>1427.7</v>
      </c>
      <c r="G923" s="3">
        <f t="shared" si="44"/>
        <v>-1.8437285812200166E-2</v>
      </c>
      <c r="H923" s="2">
        <f t="shared" si="42"/>
        <v>32.799999999999955</v>
      </c>
      <c r="I923" s="3">
        <f t="shared" si="43"/>
        <v>2.2471140341862744E-2</v>
      </c>
    </row>
    <row r="924" spans="2:9" x14ac:dyDescent="0.25">
      <c r="B924" s="1">
        <v>36522</v>
      </c>
      <c r="C924" s="2">
        <v>1442.2</v>
      </c>
      <c r="D924" s="2">
        <v>1427.45</v>
      </c>
      <c r="E924" s="2">
        <v>1451.35</v>
      </c>
      <c r="F924" s="2">
        <v>1418.85</v>
      </c>
      <c r="G924" s="3">
        <f t="shared" si="44"/>
        <v>7.0525801270862054E-3</v>
      </c>
      <c r="H924" s="2">
        <f t="shared" si="42"/>
        <v>32.5</v>
      </c>
      <c r="I924" s="3">
        <f t="shared" si="43"/>
        <v>2.2767872780132405E-2</v>
      </c>
    </row>
    <row r="925" spans="2:9" x14ac:dyDescent="0.25">
      <c r="B925" s="1">
        <v>36523</v>
      </c>
      <c r="C925" s="2">
        <v>1476.35</v>
      </c>
      <c r="D925" s="2">
        <v>1443.9</v>
      </c>
      <c r="E925" s="2">
        <v>1483.4</v>
      </c>
      <c r="F925" s="2">
        <v>1443.9</v>
      </c>
      <c r="G925" s="3">
        <f t="shared" si="44"/>
        <v>2.3679101372902522E-2</v>
      </c>
      <c r="H925" s="2">
        <f t="shared" si="42"/>
        <v>39.5</v>
      </c>
      <c r="I925" s="3">
        <f t="shared" si="43"/>
        <v>2.7356465129164068E-2</v>
      </c>
    </row>
    <row r="926" spans="2:9" x14ac:dyDescent="0.25">
      <c r="B926" s="1">
        <v>36524</v>
      </c>
      <c r="C926" s="2">
        <v>1480.45</v>
      </c>
      <c r="D926" s="2">
        <v>1489.2</v>
      </c>
      <c r="E926" s="2">
        <v>1504.95</v>
      </c>
      <c r="F926" s="2">
        <v>1476.75</v>
      </c>
      <c r="G926" s="3">
        <f t="shared" si="44"/>
        <v>2.7771192467911376E-3</v>
      </c>
      <c r="H926" s="2">
        <f t="shared" si="42"/>
        <v>28.200000000000045</v>
      </c>
      <c r="I926" s="3">
        <f t="shared" si="43"/>
        <v>1.8936341659951682E-2</v>
      </c>
    </row>
    <row r="927" spans="2:9" x14ac:dyDescent="0.25">
      <c r="B927" s="1">
        <v>36528</v>
      </c>
      <c r="C927" s="2">
        <v>1592.2</v>
      </c>
      <c r="D927" s="2">
        <v>1482.15</v>
      </c>
      <c r="E927" s="2">
        <v>1592.9</v>
      </c>
      <c r="F927" s="2">
        <v>1482.15</v>
      </c>
      <c r="G927" s="3">
        <f t="shared" si="44"/>
        <v>7.5483805599648734E-2</v>
      </c>
      <c r="H927" s="2">
        <f t="shared" si="42"/>
        <v>110.75</v>
      </c>
      <c r="I927" s="3">
        <f t="shared" si="43"/>
        <v>7.4722531457679722E-2</v>
      </c>
    </row>
    <row r="928" spans="2:9" x14ac:dyDescent="0.25">
      <c r="B928" s="1">
        <v>36529</v>
      </c>
      <c r="C928" s="2">
        <v>1638.7</v>
      </c>
      <c r="D928" s="2">
        <v>1594.4</v>
      </c>
      <c r="E928" s="2">
        <v>1641.95</v>
      </c>
      <c r="F928" s="2">
        <v>1594.4</v>
      </c>
      <c r="G928" s="3">
        <f t="shared" si="44"/>
        <v>2.9204873759578032E-2</v>
      </c>
      <c r="H928" s="2">
        <f t="shared" si="42"/>
        <v>47.549999999999955</v>
      </c>
      <c r="I928" s="3">
        <f t="shared" si="43"/>
        <v>2.9823130958354208E-2</v>
      </c>
    </row>
    <row r="929" spans="2:9" x14ac:dyDescent="0.25">
      <c r="B929" s="1">
        <v>36530</v>
      </c>
      <c r="C929" s="2">
        <v>1595.8</v>
      </c>
      <c r="D929" s="2">
        <v>1634.55</v>
      </c>
      <c r="E929" s="2">
        <v>1635.5</v>
      </c>
      <c r="F929" s="2">
        <v>1555.05</v>
      </c>
      <c r="G929" s="3">
        <f t="shared" si="44"/>
        <v>-2.6179288460364991E-2</v>
      </c>
      <c r="H929" s="2">
        <f t="shared" si="42"/>
        <v>80.450000000000045</v>
      </c>
      <c r="I929" s="3">
        <f t="shared" si="43"/>
        <v>4.9218439325808355E-2</v>
      </c>
    </row>
    <row r="930" spans="2:9" x14ac:dyDescent="0.25">
      <c r="B930" s="1">
        <v>36531</v>
      </c>
      <c r="C930" s="2">
        <v>1617.6</v>
      </c>
      <c r="D930" s="2">
        <v>1595.8</v>
      </c>
      <c r="E930" s="2">
        <v>1639</v>
      </c>
      <c r="F930" s="2">
        <v>1595.8</v>
      </c>
      <c r="G930" s="3">
        <f t="shared" si="44"/>
        <v>1.366085975686171E-2</v>
      </c>
      <c r="H930" s="2">
        <f t="shared" si="42"/>
        <v>43.200000000000045</v>
      </c>
      <c r="I930" s="3">
        <f t="shared" si="43"/>
        <v>2.7071061536533429E-2</v>
      </c>
    </row>
    <row r="931" spans="2:9" x14ac:dyDescent="0.25">
      <c r="B931" s="1">
        <v>36532</v>
      </c>
      <c r="C931" s="2">
        <v>1613.3</v>
      </c>
      <c r="D931" s="2">
        <v>1616.6</v>
      </c>
      <c r="E931" s="2">
        <v>1628.25</v>
      </c>
      <c r="F931" s="2">
        <v>1597.2</v>
      </c>
      <c r="G931" s="3">
        <f t="shared" si="44"/>
        <v>-2.6582591493570229E-3</v>
      </c>
      <c r="H931" s="2">
        <f t="shared" si="42"/>
        <v>31.049999999999955</v>
      </c>
      <c r="I931" s="3">
        <f t="shared" si="43"/>
        <v>1.9206977607323986E-2</v>
      </c>
    </row>
    <row r="932" spans="2:9" x14ac:dyDescent="0.25">
      <c r="B932" s="1">
        <v>36535</v>
      </c>
      <c r="C932" s="2">
        <v>1632.95</v>
      </c>
      <c r="D932" s="2">
        <v>1615.65</v>
      </c>
      <c r="E932" s="2">
        <v>1662.1</v>
      </c>
      <c r="F932" s="2">
        <v>1614.95</v>
      </c>
      <c r="G932" s="3">
        <f t="shared" si="44"/>
        <v>1.218000371908512E-2</v>
      </c>
      <c r="H932" s="2">
        <f t="shared" si="42"/>
        <v>47.149999999999864</v>
      </c>
      <c r="I932" s="3">
        <f t="shared" si="43"/>
        <v>2.9183300838671655E-2</v>
      </c>
    </row>
    <row r="933" spans="2:9" x14ac:dyDescent="0.25">
      <c r="B933" s="1">
        <v>36536</v>
      </c>
      <c r="C933" s="2">
        <v>1572.5</v>
      </c>
      <c r="D933" s="2">
        <v>1633.25</v>
      </c>
      <c r="E933" s="2">
        <v>1639.9</v>
      </c>
      <c r="F933" s="2">
        <v>1548.25</v>
      </c>
      <c r="G933" s="3">
        <f t="shared" si="44"/>
        <v>-3.7018892188983132E-2</v>
      </c>
      <c r="H933" s="2">
        <f t="shared" si="42"/>
        <v>91.650000000000091</v>
      </c>
      <c r="I933" s="3">
        <f t="shared" si="43"/>
        <v>5.6115107913669124E-2</v>
      </c>
    </row>
    <row r="934" spans="2:9" x14ac:dyDescent="0.25">
      <c r="B934" s="1">
        <v>36537</v>
      </c>
      <c r="C934" s="2">
        <v>1624.8</v>
      </c>
      <c r="D934" s="2">
        <v>1572.3</v>
      </c>
      <c r="E934" s="2">
        <v>1631.55</v>
      </c>
      <c r="F934" s="2">
        <v>1571.7</v>
      </c>
      <c r="G934" s="3">
        <f t="shared" si="44"/>
        <v>3.3259141494435651E-2</v>
      </c>
      <c r="H934" s="2">
        <f t="shared" si="42"/>
        <v>59.849999999999909</v>
      </c>
      <c r="I934" s="3">
        <f t="shared" si="43"/>
        <v>3.8065254722381169E-2</v>
      </c>
    </row>
    <row r="935" spans="2:9" x14ac:dyDescent="0.25">
      <c r="B935" s="1">
        <v>36538</v>
      </c>
      <c r="C935" s="2">
        <v>1621.4</v>
      </c>
      <c r="D935" s="2">
        <v>1627.85</v>
      </c>
      <c r="E935" s="2">
        <v>1671.15</v>
      </c>
      <c r="F935" s="2">
        <v>1613.65</v>
      </c>
      <c r="G935" s="3">
        <f t="shared" si="44"/>
        <v>-2.0925652387985272E-3</v>
      </c>
      <c r="H935" s="2">
        <f t="shared" si="42"/>
        <v>57.5</v>
      </c>
      <c r="I935" s="3">
        <f t="shared" si="43"/>
        <v>3.5322664864698837E-2</v>
      </c>
    </row>
    <row r="936" spans="2:9" x14ac:dyDescent="0.25">
      <c r="B936" s="1">
        <v>36539</v>
      </c>
      <c r="C936" s="2">
        <v>1622.75</v>
      </c>
      <c r="D936" s="2">
        <v>1622.15</v>
      </c>
      <c r="E936" s="2">
        <v>1627.4</v>
      </c>
      <c r="F936" s="2">
        <v>1591.4</v>
      </c>
      <c r="G936" s="3">
        <f t="shared" si="44"/>
        <v>8.3261379055121765E-4</v>
      </c>
      <c r="H936" s="2">
        <f t="shared" si="42"/>
        <v>36</v>
      </c>
      <c r="I936" s="3">
        <f t="shared" si="43"/>
        <v>2.2192768856147703E-2</v>
      </c>
    </row>
    <row r="937" spans="2:9" x14ac:dyDescent="0.25">
      <c r="B937" s="1">
        <v>36542</v>
      </c>
      <c r="C937" s="2">
        <v>1611.6</v>
      </c>
      <c r="D937" s="2">
        <v>1623.5</v>
      </c>
      <c r="E937" s="2">
        <v>1668.45</v>
      </c>
      <c r="F937" s="2">
        <v>1604.65</v>
      </c>
      <c r="G937" s="3">
        <f t="shared" si="44"/>
        <v>-6.8710522261593576E-3</v>
      </c>
      <c r="H937" s="2">
        <f t="shared" si="42"/>
        <v>63.799999999999955</v>
      </c>
      <c r="I937" s="3">
        <f t="shared" si="43"/>
        <v>3.9297813366184139E-2</v>
      </c>
    </row>
    <row r="938" spans="2:9" x14ac:dyDescent="0.25">
      <c r="B938" s="1">
        <v>36543</v>
      </c>
      <c r="C938" s="2">
        <v>1606.7</v>
      </c>
      <c r="D938" s="2">
        <v>1611.65</v>
      </c>
      <c r="E938" s="2">
        <v>1615.15</v>
      </c>
      <c r="F938" s="2">
        <v>1587.85</v>
      </c>
      <c r="G938" s="3">
        <f t="shared" si="44"/>
        <v>-3.0404566890046558E-3</v>
      </c>
      <c r="H938" s="2">
        <f t="shared" si="42"/>
        <v>27.300000000000182</v>
      </c>
      <c r="I938" s="3">
        <f t="shared" si="43"/>
        <v>1.6939161728663284E-2</v>
      </c>
    </row>
    <row r="939" spans="2:9" x14ac:dyDescent="0.25">
      <c r="B939" s="1">
        <v>36544</v>
      </c>
      <c r="C939" s="2">
        <v>1634.85</v>
      </c>
      <c r="D939" s="2">
        <v>1610.05</v>
      </c>
      <c r="E939" s="2">
        <v>1644.45</v>
      </c>
      <c r="F939" s="2">
        <v>1608.85</v>
      </c>
      <c r="G939" s="3">
        <f t="shared" si="44"/>
        <v>1.7520383394535211E-2</v>
      </c>
      <c r="H939" s="2">
        <f t="shared" si="42"/>
        <v>35.600000000000136</v>
      </c>
      <c r="I939" s="3">
        <f t="shared" si="43"/>
        <v>2.2111114561659661E-2</v>
      </c>
    </row>
    <row r="940" spans="2:9" x14ac:dyDescent="0.25">
      <c r="B940" s="1">
        <v>36545</v>
      </c>
      <c r="C940" s="2">
        <v>1601.1</v>
      </c>
      <c r="D940" s="2">
        <v>1634.65</v>
      </c>
      <c r="E940" s="2">
        <v>1644.4</v>
      </c>
      <c r="F940" s="2">
        <v>1596.65</v>
      </c>
      <c r="G940" s="3">
        <f t="shared" si="44"/>
        <v>-2.0644095788604488E-2</v>
      </c>
      <c r="H940" s="2">
        <f t="shared" si="42"/>
        <v>47.75</v>
      </c>
      <c r="I940" s="3">
        <f t="shared" si="43"/>
        <v>2.921114611690576E-2</v>
      </c>
    </row>
    <row r="941" spans="2:9" x14ac:dyDescent="0.25">
      <c r="B941" s="1">
        <v>36546</v>
      </c>
      <c r="C941" s="2">
        <v>1620.6</v>
      </c>
      <c r="D941" s="2">
        <v>1601.25</v>
      </c>
      <c r="E941" s="2">
        <v>1626.5</v>
      </c>
      <c r="F941" s="2">
        <v>1593.2</v>
      </c>
      <c r="G941" s="3">
        <f t="shared" si="44"/>
        <v>1.2179126850290434E-2</v>
      </c>
      <c r="H941" s="2">
        <f t="shared" si="42"/>
        <v>33.299999999999955</v>
      </c>
      <c r="I941" s="3">
        <f t="shared" si="43"/>
        <v>2.0796252927400439E-2</v>
      </c>
    </row>
    <row r="942" spans="2:9" x14ac:dyDescent="0.25">
      <c r="B942" s="1">
        <v>36549</v>
      </c>
      <c r="C942" s="2">
        <v>1613.6</v>
      </c>
      <c r="D942" s="2">
        <v>1623.05</v>
      </c>
      <c r="E942" s="2">
        <v>1645</v>
      </c>
      <c r="F942" s="2">
        <v>1608.3</v>
      </c>
      <c r="G942" s="3">
        <f t="shared" si="44"/>
        <v>-4.3193878810316999E-3</v>
      </c>
      <c r="H942" s="2">
        <f t="shared" si="42"/>
        <v>36.700000000000045</v>
      </c>
      <c r="I942" s="3">
        <f t="shared" si="43"/>
        <v>2.2611749483996208E-2</v>
      </c>
    </row>
    <row r="943" spans="2:9" x14ac:dyDescent="0.25">
      <c r="B943" s="1">
        <v>36550</v>
      </c>
      <c r="C943" s="2">
        <v>1586.4</v>
      </c>
      <c r="D943" s="2">
        <v>1612.95</v>
      </c>
      <c r="E943" s="2">
        <v>1613.65</v>
      </c>
      <c r="F943" s="2">
        <v>1579.55</v>
      </c>
      <c r="G943" s="3">
        <f t="shared" si="44"/>
        <v>-1.6856717897868023E-2</v>
      </c>
      <c r="H943" s="2">
        <f t="shared" si="42"/>
        <v>34.100000000000136</v>
      </c>
      <c r="I943" s="3">
        <f t="shared" si="43"/>
        <v>2.1141386899779992E-2</v>
      </c>
    </row>
    <row r="944" spans="2:9" x14ac:dyDescent="0.25">
      <c r="B944" s="1">
        <v>36552</v>
      </c>
      <c r="C944" s="2">
        <v>1603.9</v>
      </c>
      <c r="D944" s="2">
        <v>1600.5</v>
      </c>
      <c r="E944" s="2">
        <v>1633.55</v>
      </c>
      <c r="F944" s="2">
        <v>1600.05</v>
      </c>
      <c r="G944" s="3">
        <f t="shared" si="44"/>
        <v>1.1031265758951081E-2</v>
      </c>
      <c r="H944" s="2">
        <f t="shared" si="42"/>
        <v>33.5</v>
      </c>
      <c r="I944" s="3">
        <f t="shared" si="43"/>
        <v>2.0930959075288972E-2</v>
      </c>
    </row>
    <row r="945" spans="2:9" x14ac:dyDescent="0.25">
      <c r="B945" s="1">
        <v>36553</v>
      </c>
      <c r="C945" s="2">
        <v>1599.1</v>
      </c>
      <c r="D945" s="2">
        <v>1603.65</v>
      </c>
      <c r="E945" s="2">
        <v>1610.9</v>
      </c>
      <c r="F945" s="2">
        <v>1592.7</v>
      </c>
      <c r="G945" s="3">
        <f t="shared" si="44"/>
        <v>-2.9927052808780275E-3</v>
      </c>
      <c r="H945" s="2">
        <f t="shared" si="42"/>
        <v>18.200000000000045</v>
      </c>
      <c r="I945" s="3">
        <f t="shared" si="43"/>
        <v>1.1349109843170295E-2</v>
      </c>
    </row>
    <row r="946" spans="2:9" x14ac:dyDescent="0.25">
      <c r="B946" s="1">
        <v>36556</v>
      </c>
      <c r="C946" s="2">
        <v>1546.2</v>
      </c>
      <c r="D946" s="2">
        <v>1598.35</v>
      </c>
      <c r="E946" s="2">
        <v>1598.35</v>
      </c>
      <c r="F946" s="2">
        <v>1538.7</v>
      </c>
      <c r="G946" s="3">
        <f t="shared" si="44"/>
        <v>-3.3081108123319325E-2</v>
      </c>
      <c r="H946" s="2">
        <f t="shared" si="42"/>
        <v>59.649999999999864</v>
      </c>
      <c r="I946" s="3">
        <f t="shared" si="43"/>
        <v>3.7319735977726948E-2</v>
      </c>
    </row>
    <row r="947" spans="2:9" x14ac:dyDescent="0.25">
      <c r="B947" s="1">
        <v>36557</v>
      </c>
      <c r="C947" s="2">
        <v>1549.5</v>
      </c>
      <c r="D947" s="2">
        <v>1546.2</v>
      </c>
      <c r="E947" s="2">
        <v>1554.15</v>
      </c>
      <c r="F947" s="2">
        <v>1521.4</v>
      </c>
      <c r="G947" s="3">
        <f t="shared" si="44"/>
        <v>2.1342646488164974E-3</v>
      </c>
      <c r="H947" s="2">
        <f t="shared" si="42"/>
        <v>32.75</v>
      </c>
      <c r="I947" s="3">
        <f t="shared" si="43"/>
        <v>2.1180959772345104E-2</v>
      </c>
    </row>
    <row r="948" spans="2:9" x14ac:dyDescent="0.25">
      <c r="B948" s="1">
        <v>36558</v>
      </c>
      <c r="C948" s="2">
        <v>1588</v>
      </c>
      <c r="D948" s="2">
        <v>1554.2</v>
      </c>
      <c r="E948" s="2">
        <v>1605.9</v>
      </c>
      <c r="F948" s="2">
        <v>1554.2</v>
      </c>
      <c r="G948" s="3">
        <f t="shared" si="44"/>
        <v>2.4846724749919336E-2</v>
      </c>
      <c r="H948" s="2">
        <f t="shared" si="42"/>
        <v>51.700000000000045</v>
      </c>
      <c r="I948" s="3">
        <f t="shared" si="43"/>
        <v>3.3264702097542169E-2</v>
      </c>
    </row>
    <row r="949" spans="2:9" x14ac:dyDescent="0.25">
      <c r="B949" s="1">
        <v>36559</v>
      </c>
      <c r="C949" s="2">
        <v>1597.9</v>
      </c>
      <c r="D949" s="2">
        <v>1591.25</v>
      </c>
      <c r="E949" s="2">
        <v>1616.7</v>
      </c>
      <c r="F949" s="2">
        <v>1591.25</v>
      </c>
      <c r="G949" s="3">
        <f t="shared" si="44"/>
        <v>6.2342569269522308E-3</v>
      </c>
      <c r="H949" s="2">
        <f t="shared" si="42"/>
        <v>25.450000000000045</v>
      </c>
      <c r="I949" s="3">
        <f t="shared" si="43"/>
        <v>1.599371563236452E-2</v>
      </c>
    </row>
    <row r="950" spans="2:9" x14ac:dyDescent="0.25">
      <c r="B950" s="1">
        <v>36560</v>
      </c>
      <c r="C950" s="2">
        <v>1599.75</v>
      </c>
      <c r="D950" s="2">
        <v>1598.5</v>
      </c>
      <c r="E950" s="2">
        <v>1621.35</v>
      </c>
      <c r="F950" s="2">
        <v>1596.45</v>
      </c>
      <c r="G950" s="3">
        <f t="shared" si="44"/>
        <v>1.1577695725639714E-3</v>
      </c>
      <c r="H950" s="2">
        <f t="shared" si="42"/>
        <v>24.899999999999864</v>
      </c>
      <c r="I950" s="3">
        <f t="shared" si="43"/>
        <v>1.5577103534563569E-2</v>
      </c>
    </row>
    <row r="951" spans="2:9" x14ac:dyDescent="0.25">
      <c r="B951" s="1">
        <v>36563</v>
      </c>
      <c r="C951" s="2">
        <v>1636.6</v>
      </c>
      <c r="D951" s="2">
        <v>1599.8</v>
      </c>
      <c r="E951" s="2">
        <v>1645.9</v>
      </c>
      <c r="F951" s="2">
        <v>1599.8</v>
      </c>
      <c r="G951" s="3">
        <f t="shared" si="44"/>
        <v>2.3034849195186613E-2</v>
      </c>
      <c r="H951" s="2">
        <f t="shared" si="42"/>
        <v>46.100000000000136</v>
      </c>
      <c r="I951" s="3">
        <f t="shared" si="43"/>
        <v>2.8816102012751681E-2</v>
      </c>
    </row>
    <row r="952" spans="2:9" x14ac:dyDescent="0.25">
      <c r="B952" s="1">
        <v>36564</v>
      </c>
      <c r="C952" s="2">
        <v>1662.75</v>
      </c>
      <c r="D952" s="2">
        <v>1636.6</v>
      </c>
      <c r="E952" s="2">
        <v>1676.1</v>
      </c>
      <c r="F952" s="2">
        <v>1636.6</v>
      </c>
      <c r="G952" s="3">
        <f t="shared" si="44"/>
        <v>1.5978247586459826E-2</v>
      </c>
      <c r="H952" s="2">
        <f t="shared" si="42"/>
        <v>39.5</v>
      </c>
      <c r="I952" s="3">
        <f t="shared" si="43"/>
        <v>2.4135402664059637E-2</v>
      </c>
    </row>
    <row r="953" spans="2:9" x14ac:dyDescent="0.25">
      <c r="B953" s="1">
        <v>36565</v>
      </c>
      <c r="C953" s="2">
        <v>1689.65</v>
      </c>
      <c r="D953" s="2">
        <v>1666.95</v>
      </c>
      <c r="E953" s="2">
        <v>1731.65</v>
      </c>
      <c r="F953" s="2">
        <v>1666.7</v>
      </c>
      <c r="G953" s="3">
        <f t="shared" si="44"/>
        <v>1.6178018343106393E-2</v>
      </c>
      <c r="H953" s="2">
        <f t="shared" si="42"/>
        <v>64.950000000000045</v>
      </c>
      <c r="I953" s="3">
        <f t="shared" si="43"/>
        <v>3.8963376226041596E-2</v>
      </c>
    </row>
    <row r="954" spans="2:9" x14ac:dyDescent="0.25">
      <c r="B954" s="1">
        <v>36566</v>
      </c>
      <c r="C954" s="2">
        <v>1711.2</v>
      </c>
      <c r="D954" s="2">
        <v>1692.1</v>
      </c>
      <c r="E954" s="2">
        <v>1713.7</v>
      </c>
      <c r="F954" s="2">
        <v>1692.1</v>
      </c>
      <c r="G954" s="3">
        <f t="shared" si="44"/>
        <v>1.2754120675879665E-2</v>
      </c>
      <c r="H954" s="2">
        <f t="shared" si="42"/>
        <v>21.600000000000136</v>
      </c>
      <c r="I954" s="3">
        <f t="shared" si="43"/>
        <v>1.2765203002186714E-2</v>
      </c>
    </row>
    <row r="955" spans="2:9" x14ac:dyDescent="0.25">
      <c r="B955" s="1">
        <v>36567</v>
      </c>
      <c r="C955" s="2">
        <v>1756</v>
      </c>
      <c r="D955" s="2">
        <v>1712.85</v>
      </c>
      <c r="E955" s="2">
        <v>1771.65</v>
      </c>
      <c r="F955" s="2">
        <v>1712.85</v>
      </c>
      <c r="G955" s="3">
        <f t="shared" si="44"/>
        <v>2.6180458158017839E-2</v>
      </c>
      <c r="H955" s="2">
        <f t="shared" si="42"/>
        <v>58.800000000000182</v>
      </c>
      <c r="I955" s="3">
        <f t="shared" si="43"/>
        <v>3.4328750328400146E-2</v>
      </c>
    </row>
    <row r="956" spans="2:9" x14ac:dyDescent="0.25">
      <c r="B956" s="1">
        <v>36570</v>
      </c>
      <c r="C956" s="2">
        <v>1744.5</v>
      </c>
      <c r="D956" s="2">
        <v>1777.75</v>
      </c>
      <c r="E956" s="2">
        <v>1795.45</v>
      </c>
      <c r="F956" s="2">
        <v>1738.75</v>
      </c>
      <c r="G956" s="3">
        <f t="shared" si="44"/>
        <v>-6.5489749430523991E-3</v>
      </c>
      <c r="H956" s="2">
        <f t="shared" si="42"/>
        <v>56.700000000000045</v>
      </c>
      <c r="I956" s="3">
        <f t="shared" si="43"/>
        <v>3.1894248347630459E-2</v>
      </c>
    </row>
    <row r="957" spans="2:9" x14ac:dyDescent="0.25">
      <c r="B957" s="1">
        <v>36571</v>
      </c>
      <c r="C957" s="2">
        <v>1702.55</v>
      </c>
      <c r="D957" s="2">
        <v>1744.5</v>
      </c>
      <c r="E957" s="2">
        <v>1744.5</v>
      </c>
      <c r="F957" s="2">
        <v>1694.45</v>
      </c>
      <c r="G957" s="3">
        <f t="shared" si="44"/>
        <v>-2.4047004872456368E-2</v>
      </c>
      <c r="H957" s="2">
        <f t="shared" si="42"/>
        <v>50.049999999999955</v>
      </c>
      <c r="I957" s="3">
        <f t="shared" si="43"/>
        <v>2.8690169102894788E-2</v>
      </c>
    </row>
    <row r="958" spans="2:9" x14ac:dyDescent="0.25">
      <c r="B958" s="1">
        <v>36572</v>
      </c>
      <c r="C958" s="2">
        <v>1711.1</v>
      </c>
      <c r="D958" s="2">
        <v>1704.85</v>
      </c>
      <c r="E958" s="2">
        <v>1742.8</v>
      </c>
      <c r="F958" s="2">
        <v>1704.15</v>
      </c>
      <c r="G958" s="3">
        <f t="shared" si="44"/>
        <v>5.0218789462863622E-3</v>
      </c>
      <c r="H958" s="2">
        <f t="shared" si="42"/>
        <v>38.649999999999864</v>
      </c>
      <c r="I958" s="3">
        <f t="shared" si="43"/>
        <v>2.267061618324185E-2</v>
      </c>
    </row>
    <row r="959" spans="2:9" x14ac:dyDescent="0.25">
      <c r="B959" s="1">
        <v>36573</v>
      </c>
      <c r="C959" s="2">
        <v>1742.1</v>
      </c>
      <c r="D959" s="2">
        <v>1710.05</v>
      </c>
      <c r="E959" s="2">
        <v>1753.1</v>
      </c>
      <c r="F959" s="2">
        <v>1710.05</v>
      </c>
      <c r="G959" s="3">
        <f t="shared" si="44"/>
        <v>1.8117000759745094E-2</v>
      </c>
      <c r="H959" s="2">
        <f t="shared" si="42"/>
        <v>43.049999999999955</v>
      </c>
      <c r="I959" s="3">
        <f t="shared" si="43"/>
        <v>2.5174702494079094E-2</v>
      </c>
    </row>
    <row r="960" spans="2:9" x14ac:dyDescent="0.25">
      <c r="B960" s="1">
        <v>36574</v>
      </c>
      <c r="C960" s="2">
        <v>1717.8</v>
      </c>
      <c r="D960" s="2">
        <v>1742.3</v>
      </c>
      <c r="E960" s="2">
        <v>1764.15</v>
      </c>
      <c r="F960" s="2">
        <v>1713.45</v>
      </c>
      <c r="G960" s="3">
        <f t="shared" si="44"/>
        <v>-1.3948682624418729E-2</v>
      </c>
      <c r="H960" s="2">
        <f t="shared" si="42"/>
        <v>50.700000000000045</v>
      </c>
      <c r="I960" s="3">
        <f t="shared" si="43"/>
        <v>2.9099466222808956E-2</v>
      </c>
    </row>
    <row r="961" spans="2:9" x14ac:dyDescent="0.25">
      <c r="B961" s="1">
        <v>36577</v>
      </c>
      <c r="C961" s="2">
        <v>1753.5</v>
      </c>
      <c r="D961" s="2">
        <v>1719.55</v>
      </c>
      <c r="E961" s="2">
        <v>1767.8</v>
      </c>
      <c r="F961" s="2">
        <v>1719.55</v>
      </c>
      <c r="G961" s="3">
        <f t="shared" si="44"/>
        <v>2.0782396088019572E-2</v>
      </c>
      <c r="H961" s="2">
        <f t="shared" si="42"/>
        <v>48.25</v>
      </c>
      <c r="I961" s="3">
        <f t="shared" si="43"/>
        <v>2.8059666773283708E-2</v>
      </c>
    </row>
    <row r="962" spans="2:9" x14ac:dyDescent="0.25">
      <c r="B962" s="1">
        <v>36578</v>
      </c>
      <c r="C962" s="2">
        <v>1739.05</v>
      </c>
      <c r="D962" s="2">
        <v>1754.2</v>
      </c>
      <c r="E962" s="2">
        <v>1781.05</v>
      </c>
      <c r="F962" s="2">
        <v>1733.55</v>
      </c>
      <c r="G962" s="3">
        <f t="shared" si="44"/>
        <v>-8.2406615340747669E-3</v>
      </c>
      <c r="H962" s="2">
        <f t="shared" si="42"/>
        <v>47.5</v>
      </c>
      <c r="I962" s="3">
        <f t="shared" si="43"/>
        <v>2.707787025424695E-2</v>
      </c>
    </row>
    <row r="963" spans="2:9" x14ac:dyDescent="0.25">
      <c r="B963" s="1">
        <v>36579</v>
      </c>
      <c r="C963" s="2">
        <v>1696.4</v>
      </c>
      <c r="D963" s="2">
        <v>1745.2</v>
      </c>
      <c r="E963" s="2">
        <v>1818.15</v>
      </c>
      <c r="F963" s="2">
        <v>1689.2</v>
      </c>
      <c r="G963" s="3">
        <f t="shared" si="44"/>
        <v>-2.4524884275897718E-2</v>
      </c>
      <c r="H963" s="2">
        <f t="shared" si="42"/>
        <v>128.95000000000005</v>
      </c>
      <c r="I963" s="3">
        <f t="shared" si="43"/>
        <v>7.3888379555351852E-2</v>
      </c>
    </row>
    <row r="964" spans="2:9" x14ac:dyDescent="0.25">
      <c r="B964" s="1">
        <v>36580</v>
      </c>
      <c r="C964" s="2">
        <v>1732</v>
      </c>
      <c r="D964" s="2">
        <v>1696.4</v>
      </c>
      <c r="E964" s="2">
        <v>1751.6</v>
      </c>
      <c r="F964" s="2">
        <v>1693.1</v>
      </c>
      <c r="G964" s="3">
        <f t="shared" si="44"/>
        <v>2.0985616599858536E-2</v>
      </c>
      <c r="H964" s="2">
        <f t="shared" si="42"/>
        <v>58.5</v>
      </c>
      <c r="I964" s="3">
        <f t="shared" si="43"/>
        <v>3.4484791322801224E-2</v>
      </c>
    </row>
    <row r="965" spans="2:9" x14ac:dyDescent="0.25">
      <c r="B965" s="1">
        <v>36581</v>
      </c>
      <c r="C965" s="2">
        <v>1710.45</v>
      </c>
      <c r="D965" s="2">
        <v>1734.05</v>
      </c>
      <c r="E965" s="2">
        <v>1757.05</v>
      </c>
      <c r="F965" s="2">
        <v>1699.25</v>
      </c>
      <c r="G965" s="3">
        <f t="shared" si="44"/>
        <v>-1.2442263279445753E-2</v>
      </c>
      <c r="H965" s="2">
        <f t="shared" ref="H965:H1028" si="45">E965-F965</f>
        <v>57.799999999999955</v>
      </c>
      <c r="I965" s="3">
        <f t="shared" si="43"/>
        <v>3.3332372192266632E-2</v>
      </c>
    </row>
    <row r="966" spans="2:9" x14ac:dyDescent="0.25">
      <c r="B966" s="1">
        <v>36584</v>
      </c>
      <c r="C966" s="2">
        <v>1722.55</v>
      </c>
      <c r="D966" s="2">
        <v>1711.15</v>
      </c>
      <c r="E966" s="2">
        <v>1726.65</v>
      </c>
      <c r="F966" s="2">
        <v>1670.75</v>
      </c>
      <c r="G966" s="3">
        <f t="shared" si="44"/>
        <v>7.074161770294296E-3</v>
      </c>
      <c r="H966" s="2">
        <f t="shared" si="45"/>
        <v>55.900000000000091</v>
      </c>
      <c r="I966" s="3">
        <f t="shared" ref="I966:I1029" si="46">H966/D966</f>
        <v>3.2668088712269575E-2</v>
      </c>
    </row>
    <row r="967" spans="2:9" x14ac:dyDescent="0.25">
      <c r="B967" s="1">
        <v>36585</v>
      </c>
      <c r="C967" s="2">
        <v>1654.8</v>
      </c>
      <c r="D967" s="2">
        <v>1722.85</v>
      </c>
      <c r="E967" s="2">
        <v>1783.3</v>
      </c>
      <c r="F967" s="2">
        <v>1626.35</v>
      </c>
      <c r="G967" s="3">
        <f t="shared" ref="G967:G1030" si="47">C967/C966-1</f>
        <v>-3.9331224057356784E-2</v>
      </c>
      <c r="H967" s="2">
        <f t="shared" si="45"/>
        <v>156.95000000000005</v>
      </c>
      <c r="I967" s="3">
        <f t="shared" si="46"/>
        <v>9.1099050991090377E-2</v>
      </c>
    </row>
    <row r="968" spans="2:9" x14ac:dyDescent="0.25">
      <c r="B968" s="1">
        <v>36586</v>
      </c>
      <c r="C968" s="2">
        <v>1712.7</v>
      </c>
      <c r="D968" s="2">
        <v>1661.5</v>
      </c>
      <c r="E968" s="2">
        <v>1727.9</v>
      </c>
      <c r="F968" s="2">
        <v>1630</v>
      </c>
      <c r="G968" s="3">
        <f t="shared" si="47"/>
        <v>3.498912255257447E-2</v>
      </c>
      <c r="H968" s="2">
        <f t="shared" si="45"/>
        <v>97.900000000000091</v>
      </c>
      <c r="I968" s="3">
        <f t="shared" si="46"/>
        <v>5.8922660246765027E-2</v>
      </c>
    </row>
    <row r="969" spans="2:9" x14ac:dyDescent="0.25">
      <c r="B969" s="1">
        <v>36587</v>
      </c>
      <c r="C969" s="2">
        <v>1696.55</v>
      </c>
      <c r="D969" s="2">
        <v>1713.65</v>
      </c>
      <c r="E969" s="2">
        <v>1773.85</v>
      </c>
      <c r="F969" s="2">
        <v>1690.05</v>
      </c>
      <c r="G969" s="3">
        <f t="shared" si="47"/>
        <v>-9.4295556723302809E-3</v>
      </c>
      <c r="H969" s="2">
        <f t="shared" si="45"/>
        <v>83.799999999999955</v>
      </c>
      <c r="I969" s="3">
        <f t="shared" si="46"/>
        <v>4.8901467627578528E-2</v>
      </c>
    </row>
    <row r="970" spans="2:9" x14ac:dyDescent="0.25">
      <c r="B970" s="1">
        <v>36588</v>
      </c>
      <c r="C970" s="2">
        <v>1656</v>
      </c>
      <c r="D970" s="2">
        <v>1696.45</v>
      </c>
      <c r="E970" s="2">
        <v>1719.15</v>
      </c>
      <c r="F970" s="2">
        <v>1644.4</v>
      </c>
      <c r="G970" s="3">
        <f t="shared" si="47"/>
        <v>-2.3901447054316072E-2</v>
      </c>
      <c r="H970" s="2">
        <f t="shared" si="45"/>
        <v>74.75</v>
      </c>
      <c r="I970" s="3">
        <f t="shared" si="46"/>
        <v>4.406260131450971E-2</v>
      </c>
    </row>
    <row r="971" spans="2:9" x14ac:dyDescent="0.25">
      <c r="B971" s="1">
        <v>36591</v>
      </c>
      <c r="C971" s="2">
        <v>1688.5</v>
      </c>
      <c r="D971" s="2">
        <v>1656</v>
      </c>
      <c r="E971" s="2">
        <v>1721</v>
      </c>
      <c r="F971" s="2">
        <v>1656</v>
      </c>
      <c r="G971" s="3">
        <f t="shared" si="47"/>
        <v>1.962560386473422E-2</v>
      </c>
      <c r="H971" s="2">
        <f t="shared" si="45"/>
        <v>65</v>
      </c>
      <c r="I971" s="3">
        <f t="shared" si="46"/>
        <v>3.92512077294686E-2</v>
      </c>
    </row>
    <row r="972" spans="2:9" x14ac:dyDescent="0.25">
      <c r="B972" s="1">
        <v>36592</v>
      </c>
      <c r="C972" s="2">
        <v>1702.75</v>
      </c>
      <c r="D972" s="2">
        <v>1711.85</v>
      </c>
      <c r="E972" s="2">
        <v>1730.85</v>
      </c>
      <c r="F972" s="2">
        <v>1684.9</v>
      </c>
      <c r="G972" s="3">
        <f t="shared" si="47"/>
        <v>8.4394432928633911E-3</v>
      </c>
      <c r="H972" s="2">
        <f t="shared" si="45"/>
        <v>45.949999999999818</v>
      </c>
      <c r="I972" s="3">
        <f t="shared" si="46"/>
        <v>2.6842305108508234E-2</v>
      </c>
    </row>
    <row r="973" spans="2:9" x14ac:dyDescent="0.25">
      <c r="B973" s="1">
        <v>36593</v>
      </c>
      <c r="C973" s="2">
        <v>1666.35</v>
      </c>
      <c r="D973" s="2">
        <v>1717.75</v>
      </c>
      <c r="E973" s="2">
        <v>1765.25</v>
      </c>
      <c r="F973" s="2">
        <v>1654.45</v>
      </c>
      <c r="G973" s="3">
        <f t="shared" si="47"/>
        <v>-2.1377183967112079E-2</v>
      </c>
      <c r="H973" s="2">
        <f t="shared" si="45"/>
        <v>110.79999999999995</v>
      </c>
      <c r="I973" s="3">
        <f t="shared" si="46"/>
        <v>6.4502983554067791E-2</v>
      </c>
    </row>
    <row r="974" spans="2:9" x14ac:dyDescent="0.25">
      <c r="B974" s="1">
        <v>36594</v>
      </c>
      <c r="C974" s="2">
        <v>1646.25</v>
      </c>
      <c r="D974" s="2">
        <v>1667.45</v>
      </c>
      <c r="E974" s="2">
        <v>1692.25</v>
      </c>
      <c r="F974" s="2">
        <v>1595.45</v>
      </c>
      <c r="G974" s="3">
        <f t="shared" si="47"/>
        <v>-1.2062291835448713E-2</v>
      </c>
      <c r="H974" s="2">
        <f t="shared" si="45"/>
        <v>96.799999999999955</v>
      </c>
      <c r="I974" s="3">
        <f t="shared" si="46"/>
        <v>5.8052715223844767E-2</v>
      </c>
    </row>
    <row r="975" spans="2:9" x14ac:dyDescent="0.25">
      <c r="B975" s="1">
        <v>36595</v>
      </c>
      <c r="C975" s="2">
        <v>1602.75</v>
      </c>
      <c r="D975" s="2">
        <v>1647.85</v>
      </c>
      <c r="E975" s="2">
        <v>1680.45</v>
      </c>
      <c r="F975" s="2">
        <v>1588.2</v>
      </c>
      <c r="G975" s="3">
        <f t="shared" si="47"/>
        <v>-2.6423690205011341E-2</v>
      </c>
      <c r="H975" s="2">
        <f t="shared" si="45"/>
        <v>92.25</v>
      </c>
      <c r="I975" s="3">
        <f t="shared" si="46"/>
        <v>5.5982037199987865E-2</v>
      </c>
    </row>
    <row r="976" spans="2:9" x14ac:dyDescent="0.25">
      <c r="B976" s="1">
        <v>36598</v>
      </c>
      <c r="C976" s="2">
        <v>1560.7</v>
      </c>
      <c r="D976" s="2">
        <v>1601.4</v>
      </c>
      <c r="E976" s="2">
        <v>1645</v>
      </c>
      <c r="F976" s="2">
        <v>1553.45</v>
      </c>
      <c r="G976" s="3">
        <f t="shared" si="47"/>
        <v>-2.6236156605833671E-2</v>
      </c>
      <c r="H976" s="2">
        <f t="shared" si="45"/>
        <v>91.549999999999955</v>
      </c>
      <c r="I976" s="3">
        <f t="shared" si="46"/>
        <v>5.7168727363556854E-2</v>
      </c>
    </row>
    <row r="977" spans="2:9" x14ac:dyDescent="0.25">
      <c r="B977" s="1">
        <v>36599</v>
      </c>
      <c r="C977" s="2">
        <v>1567.05</v>
      </c>
      <c r="D977" s="2">
        <v>1561.55</v>
      </c>
      <c r="E977" s="2">
        <v>1571.3</v>
      </c>
      <c r="F977" s="2">
        <v>1503.2</v>
      </c>
      <c r="G977" s="3">
        <f t="shared" si="47"/>
        <v>4.0686871275708025E-3</v>
      </c>
      <c r="H977" s="2">
        <f t="shared" si="45"/>
        <v>68.099999999999909</v>
      </c>
      <c r="I977" s="3">
        <f t="shared" si="46"/>
        <v>4.3610515193237429E-2</v>
      </c>
    </row>
    <row r="978" spans="2:9" x14ac:dyDescent="0.25">
      <c r="B978" s="1">
        <v>36600</v>
      </c>
      <c r="C978" s="2">
        <v>1620.1</v>
      </c>
      <c r="D978" s="2">
        <v>1546.8</v>
      </c>
      <c r="E978" s="2">
        <v>1630.95</v>
      </c>
      <c r="F978" s="2">
        <v>1538.7</v>
      </c>
      <c r="G978" s="3">
        <f t="shared" si="47"/>
        <v>3.3853418844325356E-2</v>
      </c>
      <c r="H978" s="2">
        <f t="shared" si="45"/>
        <v>92.25</v>
      </c>
      <c r="I978" s="3">
        <f t="shared" si="46"/>
        <v>5.9639255236617533E-2</v>
      </c>
    </row>
    <row r="979" spans="2:9" x14ac:dyDescent="0.25">
      <c r="B979" s="1">
        <v>36601</v>
      </c>
      <c r="C979" s="2">
        <v>1562.2</v>
      </c>
      <c r="D979" s="2">
        <v>1620.4</v>
      </c>
      <c r="E979" s="2">
        <v>1621.2</v>
      </c>
      <c r="F979" s="2">
        <v>1554.3</v>
      </c>
      <c r="G979" s="3">
        <f t="shared" si="47"/>
        <v>-3.5738534658354304E-2</v>
      </c>
      <c r="H979" s="2">
        <f t="shared" si="45"/>
        <v>66.900000000000091</v>
      </c>
      <c r="I979" s="3">
        <f t="shared" si="46"/>
        <v>4.1286102196988451E-2</v>
      </c>
    </row>
    <row r="980" spans="2:9" x14ac:dyDescent="0.25">
      <c r="B980" s="1">
        <v>36606</v>
      </c>
      <c r="C980" s="2">
        <v>1556.6</v>
      </c>
      <c r="D980" s="2">
        <v>1563.3</v>
      </c>
      <c r="E980" s="2">
        <v>1585.25</v>
      </c>
      <c r="F980" s="2">
        <v>1542.65</v>
      </c>
      <c r="G980" s="3">
        <f t="shared" si="47"/>
        <v>-3.5846882601460184E-3</v>
      </c>
      <c r="H980" s="2">
        <f t="shared" si="45"/>
        <v>42.599999999999909</v>
      </c>
      <c r="I980" s="3">
        <f t="shared" si="46"/>
        <v>2.7250047975436519E-2</v>
      </c>
    </row>
    <row r="981" spans="2:9" x14ac:dyDescent="0.25">
      <c r="B981" s="1">
        <v>36607</v>
      </c>
      <c r="C981" s="2">
        <v>1589.6</v>
      </c>
      <c r="D981" s="2">
        <v>1551.05</v>
      </c>
      <c r="E981" s="2">
        <v>1604</v>
      </c>
      <c r="F981" s="2">
        <v>1551.05</v>
      </c>
      <c r="G981" s="3">
        <f t="shared" si="47"/>
        <v>2.1200051394064001E-2</v>
      </c>
      <c r="H981" s="2">
        <f t="shared" si="45"/>
        <v>52.950000000000045</v>
      </c>
      <c r="I981" s="3">
        <f t="shared" si="46"/>
        <v>3.4138164469230549E-2</v>
      </c>
    </row>
    <row r="982" spans="2:9" x14ac:dyDescent="0.25">
      <c r="B982" s="1">
        <v>36608</v>
      </c>
      <c r="C982" s="2">
        <v>1553.4</v>
      </c>
      <c r="D982" s="2">
        <v>1590.3</v>
      </c>
      <c r="E982" s="2">
        <v>1629.2</v>
      </c>
      <c r="F982" s="2">
        <v>1544.5</v>
      </c>
      <c r="G982" s="3">
        <f t="shared" si="47"/>
        <v>-2.2773024660291741E-2</v>
      </c>
      <c r="H982" s="2">
        <f t="shared" si="45"/>
        <v>84.700000000000045</v>
      </c>
      <c r="I982" s="3">
        <f t="shared" si="46"/>
        <v>5.3260391121172139E-2</v>
      </c>
    </row>
    <row r="983" spans="2:9" x14ac:dyDescent="0.25">
      <c r="B983" s="1">
        <v>36609</v>
      </c>
      <c r="C983" s="2">
        <v>1569.55</v>
      </c>
      <c r="D983" s="2">
        <v>1554.2</v>
      </c>
      <c r="E983" s="2">
        <v>1579.4</v>
      </c>
      <c r="F983" s="2">
        <v>1540.45</v>
      </c>
      <c r="G983" s="3">
        <f t="shared" si="47"/>
        <v>1.0396549504313013E-2</v>
      </c>
      <c r="H983" s="2">
        <f t="shared" si="45"/>
        <v>38.950000000000045</v>
      </c>
      <c r="I983" s="3">
        <f t="shared" si="46"/>
        <v>2.5061124694376557E-2</v>
      </c>
    </row>
    <row r="984" spans="2:9" x14ac:dyDescent="0.25">
      <c r="B984" s="1">
        <v>36612</v>
      </c>
      <c r="C984" s="2">
        <v>1562.95</v>
      </c>
      <c r="D984" s="2">
        <v>1570.45</v>
      </c>
      <c r="E984" s="2">
        <v>1593.3</v>
      </c>
      <c r="F984" s="2">
        <v>1555.75</v>
      </c>
      <c r="G984" s="3">
        <f t="shared" si="47"/>
        <v>-4.2050269185435196E-3</v>
      </c>
      <c r="H984" s="2">
        <f t="shared" si="45"/>
        <v>37.549999999999955</v>
      </c>
      <c r="I984" s="3">
        <f t="shared" si="46"/>
        <v>2.3910344168868766E-2</v>
      </c>
    </row>
    <row r="985" spans="2:9" x14ac:dyDescent="0.25">
      <c r="B985" s="1">
        <v>36613</v>
      </c>
      <c r="C985" s="2">
        <v>1568.6</v>
      </c>
      <c r="D985" s="2">
        <v>1563.3</v>
      </c>
      <c r="E985" s="2">
        <v>1575.85</v>
      </c>
      <c r="F985" s="2">
        <v>1527.55</v>
      </c>
      <c r="G985" s="3">
        <f t="shared" si="47"/>
        <v>3.6149588918390485E-3</v>
      </c>
      <c r="H985" s="2">
        <f t="shared" si="45"/>
        <v>48.299999999999955</v>
      </c>
      <c r="I985" s="3">
        <f t="shared" si="46"/>
        <v>3.0896181155248486E-2</v>
      </c>
    </row>
    <row r="986" spans="2:9" x14ac:dyDescent="0.25">
      <c r="B986" s="1">
        <v>36614</v>
      </c>
      <c r="C986" s="2">
        <v>1558.25</v>
      </c>
      <c r="D986" s="2">
        <v>1569.3</v>
      </c>
      <c r="E986" s="2">
        <v>1609.4</v>
      </c>
      <c r="F986" s="2">
        <v>1553.4</v>
      </c>
      <c r="G986" s="3">
        <f t="shared" si="47"/>
        <v>-6.5982404692082053E-3</v>
      </c>
      <c r="H986" s="2">
        <f t="shared" si="45"/>
        <v>56</v>
      </c>
      <c r="I986" s="3">
        <f t="shared" si="46"/>
        <v>3.5684700184795769E-2</v>
      </c>
    </row>
    <row r="987" spans="2:9" x14ac:dyDescent="0.25">
      <c r="B987" s="1">
        <v>36615</v>
      </c>
      <c r="C987" s="2">
        <v>1549.5</v>
      </c>
      <c r="D987" s="2">
        <v>1556.95</v>
      </c>
      <c r="E987" s="2">
        <v>1557.85</v>
      </c>
      <c r="F987" s="2">
        <v>1489.1</v>
      </c>
      <c r="G987" s="3">
        <f t="shared" si="47"/>
        <v>-5.6152735440397894E-3</v>
      </c>
      <c r="H987" s="2">
        <f t="shared" si="45"/>
        <v>68.75</v>
      </c>
      <c r="I987" s="3">
        <f t="shared" si="46"/>
        <v>4.4156845113844372E-2</v>
      </c>
    </row>
    <row r="988" spans="2:9" x14ac:dyDescent="0.25">
      <c r="B988" s="1">
        <v>36616</v>
      </c>
      <c r="C988" s="2">
        <v>1528.45</v>
      </c>
      <c r="D988" s="2">
        <v>1545.55</v>
      </c>
      <c r="E988" s="2">
        <v>1545.55</v>
      </c>
      <c r="F988" s="2">
        <v>1493.9</v>
      </c>
      <c r="G988" s="3">
        <f t="shared" si="47"/>
        <v>-1.3585027428202667E-2</v>
      </c>
      <c r="H988" s="2">
        <f t="shared" si="45"/>
        <v>51.649999999999864</v>
      </c>
      <c r="I988" s="3">
        <f t="shared" si="46"/>
        <v>3.3418524149978882E-2</v>
      </c>
    </row>
    <row r="989" spans="2:9" x14ac:dyDescent="0.25">
      <c r="B989" s="1">
        <v>36619</v>
      </c>
      <c r="C989" s="2">
        <v>1534.75</v>
      </c>
      <c r="D989" s="2">
        <v>1528.7</v>
      </c>
      <c r="E989" s="2">
        <v>1555.5</v>
      </c>
      <c r="F989" s="2">
        <v>1510.75</v>
      </c>
      <c r="G989" s="3">
        <f t="shared" si="47"/>
        <v>4.1218227616213188E-3</v>
      </c>
      <c r="H989" s="2">
        <f t="shared" si="45"/>
        <v>44.75</v>
      </c>
      <c r="I989" s="3">
        <f t="shared" si="46"/>
        <v>2.9273238699548634E-2</v>
      </c>
    </row>
    <row r="990" spans="2:9" x14ac:dyDescent="0.25">
      <c r="B990" s="1">
        <v>36620</v>
      </c>
      <c r="C990" s="2">
        <v>1428.1</v>
      </c>
      <c r="D990" s="2">
        <v>1534.05</v>
      </c>
      <c r="E990" s="2">
        <v>1534.05</v>
      </c>
      <c r="F990" s="2">
        <v>1420.85</v>
      </c>
      <c r="G990" s="3">
        <f t="shared" si="47"/>
        <v>-6.94901449747517E-2</v>
      </c>
      <c r="H990" s="2">
        <f t="shared" si="45"/>
        <v>113.20000000000005</v>
      </c>
      <c r="I990" s="3">
        <f t="shared" si="46"/>
        <v>7.3791597405560475E-2</v>
      </c>
    </row>
    <row r="991" spans="2:9" x14ac:dyDescent="0.25">
      <c r="B991" s="1">
        <v>36621</v>
      </c>
      <c r="C991" s="2">
        <v>1434.65</v>
      </c>
      <c r="D991" s="2">
        <v>1428.5</v>
      </c>
      <c r="E991" s="2">
        <v>1467.4</v>
      </c>
      <c r="F991" s="2">
        <v>1391.65</v>
      </c>
      <c r="G991" s="3">
        <f t="shared" si="47"/>
        <v>4.5865135494713716E-3</v>
      </c>
      <c r="H991" s="2">
        <f t="shared" si="45"/>
        <v>75.75</v>
      </c>
      <c r="I991" s="3">
        <f t="shared" si="46"/>
        <v>5.3027651382569131E-2</v>
      </c>
    </row>
    <row r="992" spans="2:9" x14ac:dyDescent="0.25">
      <c r="B992" s="1">
        <v>36622</v>
      </c>
      <c r="C992" s="2">
        <v>1452.95</v>
      </c>
      <c r="D992" s="2">
        <v>1436.15</v>
      </c>
      <c r="E992" s="2">
        <v>1475.25</v>
      </c>
      <c r="F992" s="2">
        <v>1381.05</v>
      </c>
      <c r="G992" s="3">
        <f t="shared" si="47"/>
        <v>1.2755724392709E-2</v>
      </c>
      <c r="H992" s="2">
        <f t="shared" si="45"/>
        <v>94.200000000000045</v>
      </c>
      <c r="I992" s="3">
        <f t="shared" si="46"/>
        <v>6.5592034258259962E-2</v>
      </c>
    </row>
    <row r="993" spans="2:9" x14ac:dyDescent="0.25">
      <c r="B993" s="1">
        <v>36623</v>
      </c>
      <c r="C993" s="2">
        <v>1557.15</v>
      </c>
      <c r="D993" s="2">
        <v>1453.3</v>
      </c>
      <c r="E993" s="2">
        <v>1558.05</v>
      </c>
      <c r="F993" s="2">
        <v>1453.3</v>
      </c>
      <c r="G993" s="3">
        <f t="shared" si="47"/>
        <v>7.171616366702227E-2</v>
      </c>
      <c r="H993" s="2">
        <f t="shared" si="45"/>
        <v>104.75</v>
      </c>
      <c r="I993" s="3">
        <f t="shared" si="46"/>
        <v>7.2077341223422561E-2</v>
      </c>
    </row>
    <row r="994" spans="2:9" x14ac:dyDescent="0.25">
      <c r="B994" s="1">
        <v>36626</v>
      </c>
      <c r="C994" s="2">
        <v>1613</v>
      </c>
      <c r="D994" s="2">
        <v>1557.55</v>
      </c>
      <c r="E994" s="2">
        <v>1636.95</v>
      </c>
      <c r="F994" s="2">
        <v>1557.55</v>
      </c>
      <c r="G994" s="3">
        <f t="shared" si="47"/>
        <v>3.5866807950422075E-2</v>
      </c>
      <c r="H994" s="2">
        <f t="shared" si="45"/>
        <v>79.400000000000091</v>
      </c>
      <c r="I994" s="3">
        <f t="shared" si="46"/>
        <v>5.0977496709575999E-2</v>
      </c>
    </row>
    <row r="995" spans="2:9" x14ac:dyDescent="0.25">
      <c r="B995" s="1">
        <v>36627</v>
      </c>
      <c r="C995" s="2">
        <v>1624.65</v>
      </c>
      <c r="D995" s="2">
        <v>1613</v>
      </c>
      <c r="E995" s="2">
        <v>1631.6</v>
      </c>
      <c r="F995" s="2">
        <v>1550.85</v>
      </c>
      <c r="G995" s="3">
        <f t="shared" si="47"/>
        <v>7.2225666460012938E-3</v>
      </c>
      <c r="H995" s="2">
        <f t="shared" si="45"/>
        <v>80.75</v>
      </c>
      <c r="I995" s="3">
        <f t="shared" si="46"/>
        <v>5.0061996280223189E-2</v>
      </c>
    </row>
    <row r="996" spans="2:9" x14ac:dyDescent="0.25">
      <c r="B996" s="1">
        <v>36628</v>
      </c>
      <c r="C996" s="2">
        <v>1592.7</v>
      </c>
      <c r="D996" s="2">
        <v>1624.4</v>
      </c>
      <c r="E996" s="2">
        <v>1628.55</v>
      </c>
      <c r="F996" s="2">
        <v>1586</v>
      </c>
      <c r="G996" s="3">
        <f t="shared" si="47"/>
        <v>-1.9665774166743644E-2</v>
      </c>
      <c r="H996" s="2">
        <f t="shared" si="45"/>
        <v>42.549999999999955</v>
      </c>
      <c r="I996" s="3">
        <f t="shared" si="46"/>
        <v>2.6194287121398641E-2</v>
      </c>
    </row>
    <row r="997" spans="2:9" x14ac:dyDescent="0.25">
      <c r="B997" s="1">
        <v>36629</v>
      </c>
      <c r="C997" s="2">
        <v>1518.65</v>
      </c>
      <c r="D997" s="2">
        <v>1587.95</v>
      </c>
      <c r="E997" s="2">
        <v>1587.95</v>
      </c>
      <c r="F997" s="2">
        <v>1502.7</v>
      </c>
      <c r="G997" s="3">
        <f t="shared" si="47"/>
        <v>-4.6493376028128308E-2</v>
      </c>
      <c r="H997" s="2">
        <f t="shared" si="45"/>
        <v>85.25</v>
      </c>
      <c r="I997" s="3">
        <f t="shared" si="46"/>
        <v>5.3685569444881766E-2</v>
      </c>
    </row>
    <row r="998" spans="2:9" x14ac:dyDescent="0.25">
      <c r="B998" s="1">
        <v>36633</v>
      </c>
      <c r="C998" s="2">
        <v>1443.55</v>
      </c>
      <c r="D998" s="2">
        <v>1518.55</v>
      </c>
      <c r="E998" s="2">
        <v>1518.55</v>
      </c>
      <c r="F998" s="2">
        <v>1412.45</v>
      </c>
      <c r="G998" s="3">
        <f t="shared" si="47"/>
        <v>-4.9451815757416195E-2</v>
      </c>
      <c r="H998" s="2">
        <f t="shared" si="45"/>
        <v>106.09999999999991</v>
      </c>
      <c r="I998" s="3">
        <f t="shared" si="46"/>
        <v>6.9869283197787305E-2</v>
      </c>
    </row>
    <row r="999" spans="2:9" x14ac:dyDescent="0.25">
      <c r="B999" s="1">
        <v>36634</v>
      </c>
      <c r="C999" s="2">
        <v>1414.8</v>
      </c>
      <c r="D999" s="2">
        <v>1443.55</v>
      </c>
      <c r="E999" s="2">
        <v>1478.85</v>
      </c>
      <c r="F999" s="2">
        <v>1410</v>
      </c>
      <c r="G999" s="3">
        <f t="shared" si="47"/>
        <v>-1.9916178864604617E-2</v>
      </c>
      <c r="H999" s="2">
        <f t="shared" si="45"/>
        <v>68.849999999999909</v>
      </c>
      <c r="I999" s="3">
        <f t="shared" si="46"/>
        <v>4.7694918776627002E-2</v>
      </c>
    </row>
    <row r="1000" spans="2:9" x14ac:dyDescent="0.25">
      <c r="B1000" s="1">
        <v>36635</v>
      </c>
      <c r="C1000" s="2">
        <v>1404.95</v>
      </c>
      <c r="D1000" s="2">
        <v>1417.75</v>
      </c>
      <c r="E1000" s="2">
        <v>1469.05</v>
      </c>
      <c r="F1000" s="2">
        <v>1375.05</v>
      </c>
      <c r="G1000" s="3">
        <f t="shared" si="47"/>
        <v>-6.962114786542184E-3</v>
      </c>
      <c r="H1000" s="2">
        <f t="shared" si="45"/>
        <v>94</v>
      </c>
      <c r="I1000" s="3">
        <f t="shared" si="46"/>
        <v>6.6302239463939344E-2</v>
      </c>
    </row>
    <row r="1001" spans="2:9" x14ac:dyDescent="0.25">
      <c r="B1001" s="1">
        <v>36636</v>
      </c>
      <c r="C1001" s="2">
        <v>1415.65</v>
      </c>
      <c r="D1001" s="2">
        <v>1405.7</v>
      </c>
      <c r="E1001" s="2">
        <v>1425.55</v>
      </c>
      <c r="F1001" s="2">
        <v>1339.75</v>
      </c>
      <c r="G1001" s="3">
        <f t="shared" si="47"/>
        <v>7.6159293925051053E-3</v>
      </c>
      <c r="H1001" s="2">
        <f t="shared" si="45"/>
        <v>85.799999999999955</v>
      </c>
      <c r="I1001" s="3">
        <f t="shared" si="46"/>
        <v>6.103720566265914E-2</v>
      </c>
    </row>
    <row r="1002" spans="2:9" x14ac:dyDescent="0.25">
      <c r="B1002" s="1">
        <v>36640</v>
      </c>
      <c r="C1002" s="2">
        <v>1388</v>
      </c>
      <c r="D1002" s="2">
        <v>1416.05</v>
      </c>
      <c r="E1002" s="2">
        <v>1431.8</v>
      </c>
      <c r="F1002" s="2">
        <v>1371.85</v>
      </c>
      <c r="G1002" s="3">
        <f t="shared" si="47"/>
        <v>-1.9531663899975293E-2</v>
      </c>
      <c r="H1002" s="2">
        <f t="shared" si="45"/>
        <v>59.950000000000045</v>
      </c>
      <c r="I1002" s="3">
        <f t="shared" si="46"/>
        <v>4.2336075703541573E-2</v>
      </c>
    </row>
    <row r="1003" spans="2:9" x14ac:dyDescent="0.25">
      <c r="B1003" s="1">
        <v>36641</v>
      </c>
      <c r="C1003" s="2">
        <v>1359.45</v>
      </c>
      <c r="D1003" s="2">
        <v>1383.8</v>
      </c>
      <c r="E1003" s="2">
        <v>1383.8</v>
      </c>
      <c r="F1003" s="2">
        <v>1311.3</v>
      </c>
      <c r="G1003" s="3">
        <f t="shared" si="47"/>
        <v>-2.0569164265129669E-2</v>
      </c>
      <c r="H1003" s="2">
        <f t="shared" si="45"/>
        <v>72.5</v>
      </c>
      <c r="I1003" s="3">
        <f t="shared" si="46"/>
        <v>5.2391964156670044E-2</v>
      </c>
    </row>
    <row r="1004" spans="2:9" x14ac:dyDescent="0.25">
      <c r="B1004" s="1">
        <v>36642</v>
      </c>
      <c r="C1004" s="2">
        <v>1436.1</v>
      </c>
      <c r="D1004" s="2">
        <v>1362.5</v>
      </c>
      <c r="E1004" s="2">
        <v>1439.05</v>
      </c>
      <c r="F1004" s="2">
        <v>1362.5</v>
      </c>
      <c r="G1004" s="3">
        <f t="shared" si="47"/>
        <v>5.6383096105042441E-2</v>
      </c>
      <c r="H1004" s="2">
        <f t="shared" si="45"/>
        <v>76.549999999999955</v>
      </c>
      <c r="I1004" s="3">
        <f t="shared" si="46"/>
        <v>5.6183486238532074E-2</v>
      </c>
    </row>
    <row r="1005" spans="2:9" x14ac:dyDescent="0.25">
      <c r="B1005" s="1">
        <v>36643</v>
      </c>
      <c r="C1005" s="2">
        <v>1416.9</v>
      </c>
      <c r="D1005" s="2">
        <v>1436.15</v>
      </c>
      <c r="E1005" s="2">
        <v>1455.85</v>
      </c>
      <c r="F1005" s="2">
        <v>1400.65</v>
      </c>
      <c r="G1005" s="3">
        <f t="shared" si="47"/>
        <v>-1.3369542510967114E-2</v>
      </c>
      <c r="H1005" s="2">
        <f t="shared" si="45"/>
        <v>55.199999999999818</v>
      </c>
      <c r="I1005" s="3">
        <f t="shared" si="46"/>
        <v>3.8436096508024799E-2</v>
      </c>
    </row>
    <row r="1006" spans="2:9" x14ac:dyDescent="0.25">
      <c r="B1006" s="1">
        <v>36644</v>
      </c>
      <c r="C1006" s="2">
        <v>1406.55</v>
      </c>
      <c r="D1006" s="2">
        <v>1419.9</v>
      </c>
      <c r="E1006" s="2">
        <v>1438</v>
      </c>
      <c r="F1006" s="2">
        <v>1396.55</v>
      </c>
      <c r="G1006" s="3">
        <f t="shared" si="47"/>
        <v>-7.3046792293035567E-3</v>
      </c>
      <c r="H1006" s="2">
        <f t="shared" si="45"/>
        <v>41.450000000000045</v>
      </c>
      <c r="I1006" s="3">
        <f t="shared" si="46"/>
        <v>2.9192196633565773E-2</v>
      </c>
    </row>
    <row r="1007" spans="2:9" x14ac:dyDescent="0.25">
      <c r="B1007" s="1">
        <v>36648</v>
      </c>
      <c r="C1007" s="2">
        <v>1333.45</v>
      </c>
      <c r="D1007" s="2">
        <v>1410</v>
      </c>
      <c r="E1007" s="2">
        <v>1421.5</v>
      </c>
      <c r="F1007" s="2">
        <v>1319.65</v>
      </c>
      <c r="G1007" s="3">
        <f t="shared" si="47"/>
        <v>-5.1971135046745554E-2</v>
      </c>
      <c r="H1007" s="2">
        <f t="shared" si="45"/>
        <v>101.84999999999991</v>
      </c>
      <c r="I1007" s="3">
        <f t="shared" si="46"/>
        <v>7.2234042553191422E-2</v>
      </c>
    </row>
    <row r="1008" spans="2:9" x14ac:dyDescent="0.25">
      <c r="B1008" s="1">
        <v>36649</v>
      </c>
      <c r="C1008" s="2">
        <v>1316.05</v>
      </c>
      <c r="D1008" s="2">
        <v>1330.15</v>
      </c>
      <c r="E1008" s="2">
        <v>1342.15</v>
      </c>
      <c r="F1008" s="2">
        <v>1258.0999999999999</v>
      </c>
      <c r="G1008" s="3">
        <f t="shared" si="47"/>
        <v>-1.3048858224905424E-2</v>
      </c>
      <c r="H1008" s="2">
        <f t="shared" si="45"/>
        <v>84.050000000000182</v>
      </c>
      <c r="I1008" s="3">
        <f t="shared" si="46"/>
        <v>6.3188362214787935E-2</v>
      </c>
    </row>
    <row r="1009" spans="2:9" x14ac:dyDescent="0.25">
      <c r="B1009" s="1">
        <v>36650</v>
      </c>
      <c r="C1009" s="2">
        <v>1380.55</v>
      </c>
      <c r="D1009" s="2">
        <v>1317.95</v>
      </c>
      <c r="E1009" s="2">
        <v>1385.15</v>
      </c>
      <c r="F1009" s="2">
        <v>1317.95</v>
      </c>
      <c r="G1009" s="3">
        <f t="shared" si="47"/>
        <v>4.9010295961399608E-2</v>
      </c>
      <c r="H1009" s="2">
        <f t="shared" si="45"/>
        <v>67.200000000000045</v>
      </c>
      <c r="I1009" s="3">
        <f t="shared" si="46"/>
        <v>5.0988277248757576E-2</v>
      </c>
    </row>
    <row r="1010" spans="2:9" x14ac:dyDescent="0.25">
      <c r="B1010" s="1">
        <v>36651</v>
      </c>
      <c r="C1010" s="2">
        <v>1422.4</v>
      </c>
      <c r="D1010" s="2">
        <v>1381.9</v>
      </c>
      <c r="E1010" s="2">
        <v>1428.6</v>
      </c>
      <c r="F1010" s="2">
        <v>1381.9</v>
      </c>
      <c r="G1010" s="3">
        <f t="shared" si="47"/>
        <v>3.0314005287747747E-2</v>
      </c>
      <c r="H1010" s="2">
        <f t="shared" si="45"/>
        <v>46.699999999999818</v>
      </c>
      <c r="I1010" s="3">
        <f t="shared" si="46"/>
        <v>3.3794051667993208E-2</v>
      </c>
    </row>
    <row r="1011" spans="2:9" x14ac:dyDescent="0.25">
      <c r="B1011" s="1">
        <v>36654</v>
      </c>
      <c r="C1011" s="2">
        <v>1365.05</v>
      </c>
      <c r="D1011" s="2">
        <v>1423.25</v>
      </c>
      <c r="E1011" s="2">
        <v>1436.6</v>
      </c>
      <c r="F1011" s="2">
        <v>1358.8</v>
      </c>
      <c r="G1011" s="3">
        <f t="shared" si="47"/>
        <v>-4.0319178852643467E-2</v>
      </c>
      <c r="H1011" s="2">
        <f t="shared" si="45"/>
        <v>77.799999999999955</v>
      </c>
      <c r="I1011" s="3">
        <f t="shared" si="46"/>
        <v>5.4663621991919868E-2</v>
      </c>
    </row>
    <row r="1012" spans="2:9" x14ac:dyDescent="0.25">
      <c r="B1012" s="1">
        <v>36655</v>
      </c>
      <c r="C1012" s="2">
        <v>1378.55</v>
      </c>
      <c r="D1012" s="2">
        <v>1362.45</v>
      </c>
      <c r="E1012" s="2">
        <v>1385.7</v>
      </c>
      <c r="F1012" s="2">
        <v>1328.05</v>
      </c>
      <c r="G1012" s="3">
        <f t="shared" si="47"/>
        <v>9.8897476282919783E-3</v>
      </c>
      <c r="H1012" s="2">
        <f t="shared" si="45"/>
        <v>57.650000000000091</v>
      </c>
      <c r="I1012" s="3">
        <f t="shared" si="46"/>
        <v>4.2313479393739285E-2</v>
      </c>
    </row>
    <row r="1013" spans="2:9" x14ac:dyDescent="0.25">
      <c r="B1013" s="1">
        <v>36656</v>
      </c>
      <c r="C1013" s="2">
        <v>1363.15</v>
      </c>
      <c r="D1013" s="2">
        <v>1380.4</v>
      </c>
      <c r="E1013" s="2">
        <v>1391.35</v>
      </c>
      <c r="F1013" s="2">
        <v>1359.65</v>
      </c>
      <c r="G1013" s="3">
        <f t="shared" si="47"/>
        <v>-1.1171158100903078E-2</v>
      </c>
      <c r="H1013" s="2">
        <f t="shared" si="45"/>
        <v>31.699999999999818</v>
      </c>
      <c r="I1013" s="3">
        <f t="shared" si="46"/>
        <v>2.2964358157055793E-2</v>
      </c>
    </row>
    <row r="1014" spans="2:9" x14ac:dyDescent="0.25">
      <c r="B1014" s="1">
        <v>36657</v>
      </c>
      <c r="C1014" s="2">
        <v>1304.55</v>
      </c>
      <c r="D1014" s="2">
        <v>1359.1</v>
      </c>
      <c r="E1014" s="2">
        <v>1359.1</v>
      </c>
      <c r="F1014" s="2">
        <v>1295.95</v>
      </c>
      <c r="G1014" s="3">
        <f t="shared" si="47"/>
        <v>-4.298866595752493E-2</v>
      </c>
      <c r="H1014" s="2">
        <f t="shared" si="45"/>
        <v>63.149999999999864</v>
      </c>
      <c r="I1014" s="3">
        <f t="shared" si="46"/>
        <v>4.6464572143330045E-2</v>
      </c>
    </row>
    <row r="1015" spans="2:9" x14ac:dyDescent="0.25">
      <c r="B1015" s="1">
        <v>36658</v>
      </c>
      <c r="C1015" s="2">
        <v>1282.8</v>
      </c>
      <c r="D1015" s="2">
        <v>1305.3</v>
      </c>
      <c r="E1015" s="2">
        <v>1326.3</v>
      </c>
      <c r="F1015" s="2">
        <v>1276.4000000000001</v>
      </c>
      <c r="G1015" s="3">
        <f t="shared" si="47"/>
        <v>-1.6672415775554783E-2</v>
      </c>
      <c r="H1015" s="2">
        <f t="shared" si="45"/>
        <v>49.899999999999864</v>
      </c>
      <c r="I1015" s="3">
        <f t="shared" si="46"/>
        <v>3.8228759672105928E-2</v>
      </c>
    </row>
    <row r="1016" spans="2:9" x14ac:dyDescent="0.25">
      <c r="B1016" s="1">
        <v>36661</v>
      </c>
      <c r="C1016" s="2">
        <v>1299.25</v>
      </c>
      <c r="D1016" s="2">
        <v>1281.3</v>
      </c>
      <c r="E1016" s="2">
        <v>1311.7</v>
      </c>
      <c r="F1016" s="2">
        <v>1220.7</v>
      </c>
      <c r="G1016" s="3">
        <f t="shared" si="47"/>
        <v>1.2823511069535387E-2</v>
      </c>
      <c r="H1016" s="2">
        <f t="shared" si="45"/>
        <v>91</v>
      </c>
      <c r="I1016" s="3">
        <f t="shared" si="46"/>
        <v>7.102161866853976E-2</v>
      </c>
    </row>
    <row r="1017" spans="2:9" x14ac:dyDescent="0.25">
      <c r="B1017" s="1">
        <v>36662</v>
      </c>
      <c r="C1017" s="2">
        <v>1306.8499999999999</v>
      </c>
      <c r="D1017" s="2">
        <v>1300.2</v>
      </c>
      <c r="E1017" s="2">
        <v>1310.45</v>
      </c>
      <c r="F1017" s="2">
        <v>1287.8</v>
      </c>
      <c r="G1017" s="3">
        <f t="shared" si="47"/>
        <v>5.8495285741773095E-3</v>
      </c>
      <c r="H1017" s="2">
        <f t="shared" si="45"/>
        <v>22.650000000000091</v>
      </c>
      <c r="I1017" s="3">
        <f t="shared" si="46"/>
        <v>1.7420396862021296E-2</v>
      </c>
    </row>
    <row r="1018" spans="2:9" x14ac:dyDescent="0.25">
      <c r="B1018" s="1">
        <v>36663</v>
      </c>
      <c r="C1018" s="2">
        <v>1311.65</v>
      </c>
      <c r="D1018" s="2">
        <v>1310.8</v>
      </c>
      <c r="E1018" s="2">
        <v>1347.7</v>
      </c>
      <c r="F1018" s="2">
        <v>1303.75</v>
      </c>
      <c r="G1018" s="3">
        <f t="shared" si="47"/>
        <v>3.6729540498146029E-3</v>
      </c>
      <c r="H1018" s="2">
        <f t="shared" si="45"/>
        <v>43.950000000000045</v>
      </c>
      <c r="I1018" s="3">
        <f t="shared" si="46"/>
        <v>3.3529142508391854E-2</v>
      </c>
    </row>
    <row r="1019" spans="2:9" x14ac:dyDescent="0.25">
      <c r="B1019" s="1">
        <v>36664</v>
      </c>
      <c r="C1019" s="2">
        <v>1293.4000000000001</v>
      </c>
      <c r="D1019" s="2">
        <v>1311.3</v>
      </c>
      <c r="E1019" s="2">
        <v>1316.2</v>
      </c>
      <c r="F1019" s="2">
        <v>1289.55</v>
      </c>
      <c r="G1019" s="3">
        <f t="shared" si="47"/>
        <v>-1.3913772729005403E-2</v>
      </c>
      <c r="H1019" s="2">
        <f t="shared" si="45"/>
        <v>26.650000000000091</v>
      </c>
      <c r="I1019" s="3">
        <f t="shared" si="46"/>
        <v>2.0323343247159377E-2</v>
      </c>
    </row>
    <row r="1020" spans="2:9" x14ac:dyDescent="0.25">
      <c r="B1020" s="1">
        <v>36665</v>
      </c>
      <c r="C1020" s="2">
        <v>1268</v>
      </c>
      <c r="D1020" s="2">
        <v>1293.45</v>
      </c>
      <c r="E1020" s="2">
        <v>1293.45</v>
      </c>
      <c r="F1020" s="2">
        <v>1252.7</v>
      </c>
      <c r="G1020" s="3">
        <f t="shared" si="47"/>
        <v>-1.9638162981289731E-2</v>
      </c>
      <c r="H1020" s="2">
        <f t="shared" si="45"/>
        <v>40.75</v>
      </c>
      <c r="I1020" s="3">
        <f t="shared" si="46"/>
        <v>3.1504890022807222E-2</v>
      </c>
    </row>
    <row r="1021" spans="2:9" x14ac:dyDescent="0.25">
      <c r="B1021" s="1">
        <v>36668</v>
      </c>
      <c r="C1021" s="2">
        <v>1233</v>
      </c>
      <c r="D1021" s="2">
        <v>1267.8499999999999</v>
      </c>
      <c r="E1021" s="2">
        <v>1267.8499999999999</v>
      </c>
      <c r="F1021" s="2">
        <v>1228.4000000000001</v>
      </c>
      <c r="G1021" s="3">
        <f t="shared" si="47"/>
        <v>-2.7602523659306044E-2</v>
      </c>
      <c r="H1021" s="2">
        <f t="shared" si="45"/>
        <v>39.449999999999818</v>
      </c>
      <c r="I1021" s="3">
        <f t="shared" si="46"/>
        <v>3.1115668257285817E-2</v>
      </c>
    </row>
    <row r="1022" spans="2:9" x14ac:dyDescent="0.25">
      <c r="B1022" s="1">
        <v>36669</v>
      </c>
      <c r="C1022" s="2">
        <v>1224.4000000000001</v>
      </c>
      <c r="D1022" s="2">
        <v>1229.25</v>
      </c>
      <c r="E1022" s="2">
        <v>1230.9000000000001</v>
      </c>
      <c r="F1022" s="2">
        <v>1203.2</v>
      </c>
      <c r="G1022" s="3">
        <f t="shared" si="47"/>
        <v>-6.974858069748513E-3</v>
      </c>
      <c r="H1022" s="2">
        <f t="shared" si="45"/>
        <v>27.700000000000045</v>
      </c>
      <c r="I1022" s="3">
        <f t="shared" si="46"/>
        <v>2.2534065487085659E-2</v>
      </c>
    </row>
    <row r="1023" spans="2:9" x14ac:dyDescent="0.25">
      <c r="B1023" s="1">
        <v>36670</v>
      </c>
      <c r="C1023" s="2">
        <v>1235.9000000000001</v>
      </c>
      <c r="D1023" s="2">
        <v>1224.5</v>
      </c>
      <c r="E1023" s="2">
        <v>1246.25</v>
      </c>
      <c r="F1023" s="2">
        <v>1201.5</v>
      </c>
      <c r="G1023" s="3">
        <f t="shared" si="47"/>
        <v>9.3923554393988695E-3</v>
      </c>
      <c r="H1023" s="2">
        <f t="shared" si="45"/>
        <v>44.75</v>
      </c>
      <c r="I1023" s="3">
        <f t="shared" si="46"/>
        <v>3.6545528787260105E-2</v>
      </c>
    </row>
    <row r="1024" spans="2:9" x14ac:dyDescent="0.25">
      <c r="B1024" s="1">
        <v>36671</v>
      </c>
      <c r="C1024" s="2">
        <v>1247.6500000000001</v>
      </c>
      <c r="D1024" s="2">
        <v>1237</v>
      </c>
      <c r="E1024" s="2">
        <v>1269.8</v>
      </c>
      <c r="F1024" s="2">
        <v>1235.7</v>
      </c>
      <c r="G1024" s="3">
        <f t="shared" si="47"/>
        <v>9.5072416862205245E-3</v>
      </c>
      <c r="H1024" s="2">
        <f t="shared" si="45"/>
        <v>34.099999999999909</v>
      </c>
      <c r="I1024" s="3">
        <f t="shared" si="46"/>
        <v>2.7566693613581172E-2</v>
      </c>
    </row>
    <row r="1025" spans="2:9" x14ac:dyDescent="0.25">
      <c r="B1025" s="1">
        <v>36672</v>
      </c>
      <c r="C1025" s="2">
        <v>1275.3499999999999</v>
      </c>
      <c r="D1025" s="2">
        <v>1247.0999999999999</v>
      </c>
      <c r="E1025" s="2">
        <v>1278.75</v>
      </c>
      <c r="F1025" s="2">
        <v>1232.8499999999999</v>
      </c>
      <c r="G1025" s="3">
        <f t="shared" si="47"/>
        <v>2.2201739269827048E-2</v>
      </c>
      <c r="H1025" s="2">
        <f t="shared" si="45"/>
        <v>45.900000000000091</v>
      </c>
      <c r="I1025" s="3">
        <f t="shared" si="46"/>
        <v>3.6805388501323144E-2</v>
      </c>
    </row>
    <row r="1026" spans="2:9" x14ac:dyDescent="0.25">
      <c r="B1026" s="1">
        <v>36675</v>
      </c>
      <c r="C1026" s="2">
        <v>1311.05</v>
      </c>
      <c r="D1026" s="2">
        <v>1273.7</v>
      </c>
      <c r="E1026" s="2">
        <v>1317.75</v>
      </c>
      <c r="F1026" s="2">
        <v>1267.4000000000001</v>
      </c>
      <c r="G1026" s="3">
        <f t="shared" si="47"/>
        <v>2.7992315834868942E-2</v>
      </c>
      <c r="H1026" s="2">
        <f t="shared" si="45"/>
        <v>50.349999999999909</v>
      </c>
      <c r="I1026" s="3">
        <f t="shared" si="46"/>
        <v>3.9530501687995531E-2</v>
      </c>
    </row>
    <row r="1027" spans="2:9" x14ac:dyDescent="0.25">
      <c r="B1027" s="1">
        <v>36676</v>
      </c>
      <c r="C1027" s="2">
        <v>1344.85</v>
      </c>
      <c r="D1027" s="2">
        <v>1310.8</v>
      </c>
      <c r="E1027" s="2">
        <v>1347.3</v>
      </c>
      <c r="F1027" s="2">
        <v>1304.95</v>
      </c>
      <c r="G1027" s="3">
        <f t="shared" si="47"/>
        <v>2.5780862667327709E-2</v>
      </c>
      <c r="H1027" s="2">
        <f t="shared" si="45"/>
        <v>42.349999999999909</v>
      </c>
      <c r="I1027" s="3">
        <f t="shared" si="46"/>
        <v>3.2308513884650523E-2</v>
      </c>
    </row>
    <row r="1028" spans="2:9" x14ac:dyDescent="0.25">
      <c r="B1028" s="1">
        <v>36677</v>
      </c>
      <c r="C1028" s="2">
        <v>1380.45</v>
      </c>
      <c r="D1028" s="2">
        <v>1355.35</v>
      </c>
      <c r="E1028" s="2">
        <v>1410.75</v>
      </c>
      <c r="F1028" s="2">
        <v>1355.35</v>
      </c>
      <c r="G1028" s="3">
        <f t="shared" si="47"/>
        <v>2.6471353682566923E-2</v>
      </c>
      <c r="H1028" s="2">
        <f t="shared" si="45"/>
        <v>55.400000000000091</v>
      </c>
      <c r="I1028" s="3">
        <f t="shared" si="46"/>
        <v>4.0875050724905077E-2</v>
      </c>
    </row>
    <row r="1029" spans="2:9" x14ac:dyDescent="0.25">
      <c r="B1029" s="1">
        <v>36678</v>
      </c>
      <c r="C1029" s="2">
        <v>1349</v>
      </c>
      <c r="D1029" s="2">
        <v>1380.4</v>
      </c>
      <c r="E1029" s="2">
        <v>1380.4</v>
      </c>
      <c r="F1029" s="2">
        <v>1345.1</v>
      </c>
      <c r="G1029" s="3">
        <f t="shared" si="47"/>
        <v>-2.2782426020500623E-2</v>
      </c>
      <c r="H1029" s="2">
        <f t="shared" ref="H1029:H1092" si="48">E1029-F1029</f>
        <v>35.300000000000182</v>
      </c>
      <c r="I1029" s="3">
        <f t="shared" si="46"/>
        <v>2.557229788467124E-2</v>
      </c>
    </row>
    <row r="1030" spans="2:9" x14ac:dyDescent="0.25">
      <c r="B1030" s="1">
        <v>36679</v>
      </c>
      <c r="C1030" s="2">
        <v>1389.25</v>
      </c>
      <c r="D1030" s="2">
        <v>1350.15</v>
      </c>
      <c r="E1030" s="2">
        <v>1395.35</v>
      </c>
      <c r="F1030" s="2">
        <v>1350.15</v>
      </c>
      <c r="G1030" s="3">
        <f t="shared" si="47"/>
        <v>2.9836916234247557E-2</v>
      </c>
      <c r="H1030" s="2">
        <f t="shared" si="48"/>
        <v>45.199999999999818</v>
      </c>
      <c r="I1030" s="3">
        <f t="shared" ref="I1030:I1093" si="49">H1030/D1030</f>
        <v>3.3477761730177989E-2</v>
      </c>
    </row>
    <row r="1031" spans="2:9" x14ac:dyDescent="0.25">
      <c r="B1031" s="1">
        <v>36682</v>
      </c>
      <c r="C1031" s="2">
        <v>1404.6</v>
      </c>
      <c r="D1031" s="2">
        <v>1390.95</v>
      </c>
      <c r="E1031" s="2">
        <v>1461.05</v>
      </c>
      <c r="F1031" s="2">
        <v>1390.95</v>
      </c>
      <c r="G1031" s="3">
        <f t="shared" ref="G1031:G1094" si="50">C1031/C1030-1</f>
        <v>1.1049127226920863E-2</v>
      </c>
      <c r="H1031" s="2">
        <f t="shared" si="48"/>
        <v>70.099999999999909</v>
      </c>
      <c r="I1031" s="3">
        <f t="shared" si="49"/>
        <v>5.0397210539559228E-2</v>
      </c>
    </row>
    <row r="1032" spans="2:9" x14ac:dyDescent="0.25">
      <c r="B1032" s="1">
        <v>36683</v>
      </c>
      <c r="C1032" s="2">
        <v>1421.75</v>
      </c>
      <c r="D1032" s="2">
        <v>1405.45</v>
      </c>
      <c r="E1032" s="2">
        <v>1426.15</v>
      </c>
      <c r="F1032" s="2">
        <v>1392.7</v>
      </c>
      <c r="G1032" s="3">
        <f t="shared" si="50"/>
        <v>1.2209881816887425E-2</v>
      </c>
      <c r="H1032" s="2">
        <f t="shared" si="48"/>
        <v>33.450000000000045</v>
      </c>
      <c r="I1032" s="3">
        <f t="shared" si="49"/>
        <v>2.3800206339606562E-2</v>
      </c>
    </row>
    <row r="1033" spans="2:9" x14ac:dyDescent="0.25">
      <c r="B1033" s="1">
        <v>36684</v>
      </c>
      <c r="C1033" s="2">
        <v>1430.35</v>
      </c>
      <c r="D1033" s="2">
        <v>1423.4</v>
      </c>
      <c r="E1033" s="2">
        <v>1442.7</v>
      </c>
      <c r="F1033" s="2">
        <v>1413.8</v>
      </c>
      <c r="G1033" s="3">
        <f t="shared" si="50"/>
        <v>6.0488834183223261E-3</v>
      </c>
      <c r="H1033" s="2">
        <f t="shared" si="48"/>
        <v>28.900000000000091</v>
      </c>
      <c r="I1033" s="3">
        <f t="shared" si="49"/>
        <v>2.0303498665167969E-2</v>
      </c>
    </row>
    <row r="1034" spans="2:9" x14ac:dyDescent="0.25">
      <c r="B1034" s="1">
        <v>36685</v>
      </c>
      <c r="C1034" s="2">
        <v>1463.65</v>
      </c>
      <c r="D1034" s="2">
        <v>1430.5</v>
      </c>
      <c r="E1034" s="2">
        <v>1468.7</v>
      </c>
      <c r="F1034" s="2">
        <v>1430.5</v>
      </c>
      <c r="G1034" s="3">
        <f t="shared" si="50"/>
        <v>2.3281015136155547E-2</v>
      </c>
      <c r="H1034" s="2">
        <f t="shared" si="48"/>
        <v>38.200000000000045</v>
      </c>
      <c r="I1034" s="3">
        <f t="shared" si="49"/>
        <v>2.6703949667948302E-2</v>
      </c>
    </row>
    <row r="1035" spans="2:9" x14ac:dyDescent="0.25">
      <c r="B1035" s="1">
        <v>36686</v>
      </c>
      <c r="C1035" s="2">
        <v>1467.2</v>
      </c>
      <c r="D1035" s="2">
        <v>1464.3</v>
      </c>
      <c r="E1035" s="2">
        <v>1485.5</v>
      </c>
      <c r="F1035" s="2">
        <v>1458.9</v>
      </c>
      <c r="G1035" s="3">
        <f t="shared" si="50"/>
        <v>2.4254432412120774E-3</v>
      </c>
      <c r="H1035" s="2">
        <f t="shared" si="48"/>
        <v>26.599999999999909</v>
      </c>
      <c r="I1035" s="3">
        <f t="shared" si="49"/>
        <v>1.8165676432424987E-2</v>
      </c>
    </row>
    <row r="1036" spans="2:9" x14ac:dyDescent="0.25">
      <c r="B1036" s="1">
        <v>36689</v>
      </c>
      <c r="C1036" s="2">
        <v>1440.4</v>
      </c>
      <c r="D1036" s="2">
        <v>1464.4</v>
      </c>
      <c r="E1036" s="2">
        <v>1477.55</v>
      </c>
      <c r="F1036" s="2">
        <v>1437.15</v>
      </c>
      <c r="G1036" s="3">
        <f t="shared" si="50"/>
        <v>-1.8266085059978177E-2</v>
      </c>
      <c r="H1036" s="2">
        <f t="shared" si="48"/>
        <v>40.399999999999864</v>
      </c>
      <c r="I1036" s="3">
        <f t="shared" si="49"/>
        <v>2.758809068560493E-2</v>
      </c>
    </row>
    <row r="1037" spans="2:9" x14ac:dyDescent="0.25">
      <c r="B1037" s="1">
        <v>36690</v>
      </c>
      <c r="C1037" s="2">
        <v>1432.9</v>
      </c>
      <c r="D1037" s="2">
        <v>1438.8</v>
      </c>
      <c r="E1037" s="2">
        <v>1438.8</v>
      </c>
      <c r="F1037" s="2">
        <v>1411.9</v>
      </c>
      <c r="G1037" s="3">
        <f t="shared" si="50"/>
        <v>-5.2068869758400416E-3</v>
      </c>
      <c r="H1037" s="2">
        <f t="shared" si="48"/>
        <v>26.899999999999864</v>
      </c>
      <c r="I1037" s="3">
        <f t="shared" si="49"/>
        <v>1.869613566861264E-2</v>
      </c>
    </row>
    <row r="1038" spans="2:9" x14ac:dyDescent="0.25">
      <c r="B1038" s="1">
        <v>36691</v>
      </c>
      <c r="C1038" s="2">
        <v>1435.5</v>
      </c>
      <c r="D1038" s="2">
        <v>1434.95</v>
      </c>
      <c r="E1038" s="2">
        <v>1459.15</v>
      </c>
      <c r="F1038" s="2">
        <v>1423.95</v>
      </c>
      <c r="G1038" s="3">
        <f t="shared" si="50"/>
        <v>1.8145020587618799E-3</v>
      </c>
      <c r="H1038" s="2">
        <f t="shared" si="48"/>
        <v>35.200000000000045</v>
      </c>
      <c r="I1038" s="3">
        <f t="shared" si="49"/>
        <v>2.4530471444998113E-2</v>
      </c>
    </row>
    <row r="1039" spans="2:9" x14ac:dyDescent="0.25">
      <c r="B1039" s="1">
        <v>36692</v>
      </c>
      <c r="C1039" s="2">
        <v>1445.25</v>
      </c>
      <c r="D1039" s="2">
        <v>1437</v>
      </c>
      <c r="E1039" s="2">
        <v>1452.8</v>
      </c>
      <c r="F1039" s="2">
        <v>1422.4</v>
      </c>
      <c r="G1039" s="3">
        <f t="shared" si="50"/>
        <v>6.7920585161964642E-3</v>
      </c>
      <c r="H1039" s="2">
        <f t="shared" si="48"/>
        <v>30.399999999999864</v>
      </c>
      <c r="I1039" s="3">
        <f t="shared" si="49"/>
        <v>2.1155184411969286E-2</v>
      </c>
    </row>
    <row r="1040" spans="2:9" x14ac:dyDescent="0.25">
      <c r="B1040" s="1">
        <v>36693</v>
      </c>
      <c r="C1040" s="2">
        <v>1477.3</v>
      </c>
      <c r="D1040" s="2">
        <v>1443.15</v>
      </c>
      <c r="E1040" s="2">
        <v>1480.85</v>
      </c>
      <c r="F1040" s="2">
        <v>1441.6</v>
      </c>
      <c r="G1040" s="3">
        <f t="shared" si="50"/>
        <v>2.217609410136645E-2</v>
      </c>
      <c r="H1040" s="2">
        <f t="shared" si="48"/>
        <v>39.25</v>
      </c>
      <c r="I1040" s="3">
        <f t="shared" si="49"/>
        <v>2.7197450022520178E-2</v>
      </c>
    </row>
    <row r="1041" spans="2:9" x14ac:dyDescent="0.25">
      <c r="B1041" s="1">
        <v>36696</v>
      </c>
      <c r="C1041" s="2">
        <v>1498.75</v>
      </c>
      <c r="D1041" s="2">
        <v>1477.55</v>
      </c>
      <c r="E1041" s="2">
        <v>1510.45</v>
      </c>
      <c r="F1041" s="2">
        <v>1477.55</v>
      </c>
      <c r="G1041" s="3">
        <f t="shared" si="50"/>
        <v>1.4519731943410275E-2</v>
      </c>
      <c r="H1041" s="2">
        <f t="shared" si="48"/>
        <v>32.900000000000091</v>
      </c>
      <c r="I1041" s="3">
        <f t="shared" si="49"/>
        <v>2.2266589963114678E-2</v>
      </c>
    </row>
    <row r="1042" spans="2:9" x14ac:dyDescent="0.25">
      <c r="B1042" s="1">
        <v>36697</v>
      </c>
      <c r="C1042" s="2">
        <v>1507.1</v>
      </c>
      <c r="D1042" s="2">
        <v>1498</v>
      </c>
      <c r="E1042" s="2">
        <v>1518.05</v>
      </c>
      <c r="F1042" s="2">
        <v>1497.05</v>
      </c>
      <c r="G1042" s="3">
        <f t="shared" si="50"/>
        <v>5.5713094245204431E-3</v>
      </c>
      <c r="H1042" s="2">
        <f t="shared" si="48"/>
        <v>21</v>
      </c>
      <c r="I1042" s="3">
        <f t="shared" si="49"/>
        <v>1.4018691588785047E-2</v>
      </c>
    </row>
    <row r="1043" spans="2:9" x14ac:dyDescent="0.25">
      <c r="B1043" s="1">
        <v>36698</v>
      </c>
      <c r="C1043" s="2">
        <v>1475.15</v>
      </c>
      <c r="D1043" s="2">
        <v>1524.05</v>
      </c>
      <c r="E1043" s="2">
        <v>1539.1</v>
      </c>
      <c r="F1043" s="2">
        <v>1470.4</v>
      </c>
      <c r="G1043" s="3">
        <f t="shared" si="50"/>
        <v>-2.1199654966491788E-2</v>
      </c>
      <c r="H1043" s="2">
        <f t="shared" si="48"/>
        <v>68.699999999999818</v>
      </c>
      <c r="I1043" s="3">
        <f t="shared" si="49"/>
        <v>4.5077261244709704E-2</v>
      </c>
    </row>
    <row r="1044" spans="2:9" x14ac:dyDescent="0.25">
      <c r="B1044" s="1">
        <v>36699</v>
      </c>
      <c r="C1044" s="2">
        <v>1488.25</v>
      </c>
      <c r="D1044" s="2">
        <v>1475.65</v>
      </c>
      <c r="E1044" s="2">
        <v>1491.4</v>
      </c>
      <c r="F1044" s="2">
        <v>1461.3</v>
      </c>
      <c r="G1044" s="3">
        <f t="shared" si="50"/>
        <v>8.8804528353048084E-3</v>
      </c>
      <c r="H1044" s="2">
        <f t="shared" si="48"/>
        <v>30.100000000000136</v>
      </c>
      <c r="I1044" s="3">
        <f t="shared" si="49"/>
        <v>2.0397790804052542E-2</v>
      </c>
    </row>
    <row r="1045" spans="2:9" x14ac:dyDescent="0.25">
      <c r="B1045" s="1">
        <v>36700</v>
      </c>
      <c r="C1045" s="2">
        <v>1472.2</v>
      </c>
      <c r="D1045" s="2">
        <v>1487.85</v>
      </c>
      <c r="E1045" s="2">
        <v>1499.85</v>
      </c>
      <c r="F1045" s="2">
        <v>1462.75</v>
      </c>
      <c r="G1045" s="3">
        <f t="shared" si="50"/>
        <v>-1.0784478414244902E-2</v>
      </c>
      <c r="H1045" s="2">
        <f t="shared" si="48"/>
        <v>37.099999999999909</v>
      </c>
      <c r="I1045" s="3">
        <f t="shared" si="49"/>
        <v>2.4935309338979004E-2</v>
      </c>
    </row>
    <row r="1046" spans="2:9" x14ac:dyDescent="0.25">
      <c r="B1046" s="1">
        <v>36703</v>
      </c>
      <c r="C1046" s="2">
        <v>1451.65</v>
      </c>
      <c r="D1046" s="2">
        <v>1472.15</v>
      </c>
      <c r="E1046" s="2">
        <v>1472.15</v>
      </c>
      <c r="F1046" s="2">
        <v>1431.25</v>
      </c>
      <c r="G1046" s="3">
        <f t="shared" si="50"/>
        <v>-1.3958701263415252E-2</v>
      </c>
      <c r="H1046" s="2">
        <f t="shared" si="48"/>
        <v>40.900000000000091</v>
      </c>
      <c r="I1046" s="3">
        <f t="shared" si="49"/>
        <v>2.7782494990320341E-2</v>
      </c>
    </row>
    <row r="1047" spans="2:9" x14ac:dyDescent="0.25">
      <c r="B1047" s="1">
        <v>36704</v>
      </c>
      <c r="C1047" s="2">
        <v>1454.3</v>
      </c>
      <c r="D1047" s="2">
        <v>1452.8</v>
      </c>
      <c r="E1047" s="2">
        <v>1467.15</v>
      </c>
      <c r="F1047" s="2">
        <v>1448.95</v>
      </c>
      <c r="G1047" s="3">
        <f t="shared" si="50"/>
        <v>1.8255089036611771E-3</v>
      </c>
      <c r="H1047" s="2">
        <f t="shared" si="48"/>
        <v>18.200000000000045</v>
      </c>
      <c r="I1047" s="3">
        <f t="shared" si="49"/>
        <v>1.2527533039647609E-2</v>
      </c>
    </row>
    <row r="1048" spans="2:9" x14ac:dyDescent="0.25">
      <c r="B1048" s="1">
        <v>36705</v>
      </c>
      <c r="C1048" s="2">
        <v>1470</v>
      </c>
      <c r="D1048" s="2">
        <v>1453.7</v>
      </c>
      <c r="E1048" s="2">
        <v>1474.7</v>
      </c>
      <c r="F1048" s="2">
        <v>1445.6</v>
      </c>
      <c r="G1048" s="3">
        <f t="shared" si="50"/>
        <v>1.0795571752733268E-2</v>
      </c>
      <c r="H1048" s="2">
        <f t="shared" si="48"/>
        <v>29.100000000000136</v>
      </c>
      <c r="I1048" s="3">
        <f t="shared" si="49"/>
        <v>2.0017885395886451E-2</v>
      </c>
    </row>
    <row r="1049" spans="2:9" x14ac:dyDescent="0.25">
      <c r="B1049" s="1">
        <v>36706</v>
      </c>
      <c r="C1049" s="2">
        <v>1492.35</v>
      </c>
      <c r="D1049" s="2">
        <v>1471.35</v>
      </c>
      <c r="E1049" s="2">
        <v>1505.75</v>
      </c>
      <c r="F1049" s="2">
        <v>1471.35</v>
      </c>
      <c r="G1049" s="3">
        <f t="shared" si="50"/>
        <v>1.5204081632653077E-2</v>
      </c>
      <c r="H1049" s="2">
        <f t="shared" si="48"/>
        <v>34.400000000000091</v>
      </c>
      <c r="I1049" s="3">
        <f t="shared" si="49"/>
        <v>2.3379889217385458E-2</v>
      </c>
    </row>
    <row r="1050" spans="2:9" x14ac:dyDescent="0.25">
      <c r="B1050" s="1">
        <v>36707</v>
      </c>
      <c r="C1050" s="2">
        <v>1471.45</v>
      </c>
      <c r="D1050" s="2">
        <v>1490.2</v>
      </c>
      <c r="E1050" s="2">
        <v>1490.65</v>
      </c>
      <c r="F1050" s="2">
        <v>1462.45</v>
      </c>
      <c r="G1050" s="3">
        <f t="shared" si="50"/>
        <v>-1.400475759707831E-2</v>
      </c>
      <c r="H1050" s="2">
        <f t="shared" si="48"/>
        <v>28.200000000000045</v>
      </c>
      <c r="I1050" s="3">
        <f t="shared" si="49"/>
        <v>1.8923634411488421E-2</v>
      </c>
    </row>
    <row r="1051" spans="2:9" x14ac:dyDescent="0.25">
      <c r="B1051" s="1">
        <v>36710</v>
      </c>
      <c r="C1051" s="2">
        <v>1495.25</v>
      </c>
      <c r="D1051" s="2">
        <v>1473.45</v>
      </c>
      <c r="E1051" s="2">
        <v>1498.7</v>
      </c>
      <c r="F1051" s="2">
        <v>1473.45</v>
      </c>
      <c r="G1051" s="3">
        <f t="shared" si="50"/>
        <v>1.6174521730266012E-2</v>
      </c>
      <c r="H1051" s="2">
        <f t="shared" si="48"/>
        <v>25.25</v>
      </c>
      <c r="I1051" s="3">
        <f t="shared" si="49"/>
        <v>1.7136652075061928E-2</v>
      </c>
    </row>
    <row r="1052" spans="2:9" x14ac:dyDescent="0.25">
      <c r="B1052" s="1">
        <v>36711</v>
      </c>
      <c r="C1052" s="2">
        <v>1511.3</v>
      </c>
      <c r="D1052" s="2">
        <v>1496.15</v>
      </c>
      <c r="E1052" s="2">
        <v>1516.8</v>
      </c>
      <c r="F1052" s="2">
        <v>1494.8</v>
      </c>
      <c r="G1052" s="3">
        <f t="shared" si="50"/>
        <v>1.0733990971409479E-2</v>
      </c>
      <c r="H1052" s="2">
        <f t="shared" si="48"/>
        <v>22</v>
      </c>
      <c r="I1052" s="3">
        <f t="shared" si="49"/>
        <v>1.4704407980483239E-2</v>
      </c>
    </row>
    <row r="1053" spans="2:9" x14ac:dyDescent="0.25">
      <c r="B1053" s="1">
        <v>36712</v>
      </c>
      <c r="C1053" s="2">
        <v>1526.05</v>
      </c>
      <c r="D1053" s="2">
        <v>1511.5</v>
      </c>
      <c r="E1053" s="2">
        <v>1530.9</v>
      </c>
      <c r="F1053" s="2">
        <v>1511.5</v>
      </c>
      <c r="G1053" s="3">
        <f t="shared" si="50"/>
        <v>9.7598094355852982E-3</v>
      </c>
      <c r="H1053" s="2">
        <f t="shared" si="48"/>
        <v>19.400000000000091</v>
      </c>
      <c r="I1053" s="3">
        <f t="shared" si="49"/>
        <v>1.2834932186569692E-2</v>
      </c>
    </row>
    <row r="1054" spans="2:9" x14ac:dyDescent="0.25">
      <c r="B1054" s="1">
        <v>36713</v>
      </c>
      <c r="C1054" s="2">
        <v>1516.8</v>
      </c>
      <c r="D1054" s="2">
        <v>1525.15</v>
      </c>
      <c r="E1054" s="2">
        <v>1525.15</v>
      </c>
      <c r="F1054" s="2">
        <v>1504.05</v>
      </c>
      <c r="G1054" s="3">
        <f t="shared" si="50"/>
        <v>-6.0614003473018485E-3</v>
      </c>
      <c r="H1054" s="2">
        <f t="shared" si="48"/>
        <v>21.100000000000136</v>
      </c>
      <c r="I1054" s="3">
        <f t="shared" si="49"/>
        <v>1.3834704783136174E-2</v>
      </c>
    </row>
    <row r="1055" spans="2:9" x14ac:dyDescent="0.25">
      <c r="B1055" s="1">
        <v>36714</v>
      </c>
      <c r="C1055" s="2">
        <v>1517.6</v>
      </c>
      <c r="D1055" s="2">
        <v>1517</v>
      </c>
      <c r="E1055" s="2">
        <v>1528.15</v>
      </c>
      <c r="F1055" s="2">
        <v>1513.4</v>
      </c>
      <c r="G1055" s="3">
        <f t="shared" si="50"/>
        <v>5.2742616033762957E-4</v>
      </c>
      <c r="H1055" s="2">
        <f t="shared" si="48"/>
        <v>14.75</v>
      </c>
      <c r="I1055" s="3">
        <f t="shared" si="49"/>
        <v>9.72313777191826E-3</v>
      </c>
    </row>
    <row r="1056" spans="2:9" x14ac:dyDescent="0.25">
      <c r="B1056" s="1">
        <v>36717</v>
      </c>
      <c r="C1056" s="2">
        <v>1509.65</v>
      </c>
      <c r="D1056" s="2">
        <v>1518.15</v>
      </c>
      <c r="E1056" s="2">
        <v>1523.2</v>
      </c>
      <c r="F1056" s="2">
        <v>1502.7</v>
      </c>
      <c r="G1056" s="3">
        <f t="shared" si="50"/>
        <v>-5.2385345282023321E-3</v>
      </c>
      <c r="H1056" s="2">
        <f t="shared" si="48"/>
        <v>20.5</v>
      </c>
      <c r="I1056" s="3">
        <f t="shared" si="49"/>
        <v>1.3503277014787735E-2</v>
      </c>
    </row>
    <row r="1057" spans="2:9" x14ac:dyDescent="0.25">
      <c r="B1057" s="1">
        <v>36718</v>
      </c>
      <c r="C1057" s="2">
        <v>1518.55</v>
      </c>
      <c r="D1057" s="2">
        <v>1510.55</v>
      </c>
      <c r="E1057" s="2">
        <v>1523.1</v>
      </c>
      <c r="F1057" s="2">
        <v>1506.15</v>
      </c>
      <c r="G1057" s="3">
        <f t="shared" si="50"/>
        <v>5.8954062199847446E-3</v>
      </c>
      <c r="H1057" s="2">
        <f t="shared" si="48"/>
        <v>16.949999999999818</v>
      </c>
      <c r="I1057" s="3">
        <f t="shared" si="49"/>
        <v>1.1221078415146682E-2</v>
      </c>
    </row>
    <row r="1058" spans="2:9" x14ac:dyDescent="0.25">
      <c r="B1058" s="1">
        <v>36719</v>
      </c>
      <c r="C1058" s="2">
        <v>1533.35</v>
      </c>
      <c r="D1058" s="2">
        <v>1518.7</v>
      </c>
      <c r="E1058" s="2">
        <v>1537.1</v>
      </c>
      <c r="F1058" s="2">
        <v>1507.95</v>
      </c>
      <c r="G1058" s="3">
        <f t="shared" si="50"/>
        <v>9.7461394093047993E-3</v>
      </c>
      <c r="H1058" s="2">
        <f t="shared" si="48"/>
        <v>29.149999999999864</v>
      </c>
      <c r="I1058" s="3">
        <f t="shared" si="49"/>
        <v>1.9194047540659686E-2</v>
      </c>
    </row>
    <row r="1059" spans="2:9" x14ac:dyDescent="0.25">
      <c r="B1059" s="1">
        <v>36720</v>
      </c>
      <c r="C1059" s="2">
        <v>1522.6</v>
      </c>
      <c r="D1059" s="2">
        <v>1535.55</v>
      </c>
      <c r="E1059" s="2">
        <v>1564.75</v>
      </c>
      <c r="F1059" s="2">
        <v>1513.65</v>
      </c>
      <c r="G1059" s="3">
        <f t="shared" si="50"/>
        <v>-7.0107933609416806E-3</v>
      </c>
      <c r="H1059" s="2">
        <f t="shared" si="48"/>
        <v>51.099999999999909</v>
      </c>
      <c r="I1059" s="3">
        <f t="shared" si="49"/>
        <v>3.327797857445209E-2</v>
      </c>
    </row>
    <row r="1060" spans="2:9" x14ac:dyDescent="0.25">
      <c r="B1060" s="1">
        <v>36721</v>
      </c>
      <c r="C1060" s="2">
        <v>1509.75</v>
      </c>
      <c r="D1060" s="2">
        <v>1522.2</v>
      </c>
      <c r="E1060" s="2">
        <v>1534.35</v>
      </c>
      <c r="F1060" s="2">
        <v>1505.9</v>
      </c>
      <c r="G1060" s="3">
        <f t="shared" si="50"/>
        <v>-8.4395113621436035E-3</v>
      </c>
      <c r="H1060" s="2">
        <f t="shared" si="48"/>
        <v>28.449999999999818</v>
      </c>
      <c r="I1060" s="3">
        <f t="shared" si="49"/>
        <v>1.8690053869399433E-2</v>
      </c>
    </row>
    <row r="1061" spans="2:9" x14ac:dyDescent="0.25">
      <c r="B1061" s="1">
        <v>36724</v>
      </c>
      <c r="C1061" s="2">
        <v>1479.65</v>
      </c>
      <c r="D1061" s="2">
        <v>1509.25</v>
      </c>
      <c r="E1061" s="2">
        <v>1512.25</v>
      </c>
      <c r="F1061" s="2">
        <v>1475.15</v>
      </c>
      <c r="G1061" s="3">
        <f t="shared" si="50"/>
        <v>-1.9937075674780536E-2</v>
      </c>
      <c r="H1061" s="2">
        <f t="shared" si="48"/>
        <v>37.099999999999909</v>
      </c>
      <c r="I1061" s="3">
        <f t="shared" si="49"/>
        <v>2.4581745900281535E-2</v>
      </c>
    </row>
    <row r="1062" spans="2:9" x14ac:dyDescent="0.25">
      <c r="B1062" s="1">
        <v>36725</v>
      </c>
      <c r="C1062" s="2">
        <v>1463.1</v>
      </c>
      <c r="D1062" s="2">
        <v>1479.3</v>
      </c>
      <c r="E1062" s="2">
        <v>1482.9</v>
      </c>
      <c r="F1062" s="2">
        <v>1458.6</v>
      </c>
      <c r="G1062" s="3">
        <f t="shared" si="50"/>
        <v>-1.1185077552123945E-2</v>
      </c>
      <c r="H1062" s="2">
        <f t="shared" si="48"/>
        <v>24.300000000000182</v>
      </c>
      <c r="I1062" s="3">
        <f t="shared" si="49"/>
        <v>1.6426688298519693E-2</v>
      </c>
    </row>
    <row r="1063" spans="2:9" x14ac:dyDescent="0.25">
      <c r="B1063" s="1">
        <v>36726</v>
      </c>
      <c r="C1063" s="2">
        <v>1435.8</v>
      </c>
      <c r="D1063" s="2">
        <v>1464.55</v>
      </c>
      <c r="E1063" s="2">
        <v>1468.55</v>
      </c>
      <c r="F1063" s="2">
        <v>1432.85</v>
      </c>
      <c r="G1063" s="3">
        <f t="shared" si="50"/>
        <v>-1.8659011687512828E-2</v>
      </c>
      <c r="H1063" s="2">
        <f t="shared" si="48"/>
        <v>35.700000000000045</v>
      </c>
      <c r="I1063" s="3">
        <f t="shared" si="49"/>
        <v>2.4376088218224061E-2</v>
      </c>
    </row>
    <row r="1064" spans="2:9" x14ac:dyDescent="0.25">
      <c r="B1064" s="1">
        <v>36727</v>
      </c>
      <c r="C1064" s="2">
        <v>1424.2</v>
      </c>
      <c r="D1064" s="2">
        <v>1434.95</v>
      </c>
      <c r="E1064" s="2">
        <v>1443.25</v>
      </c>
      <c r="F1064" s="2">
        <v>1416</v>
      </c>
      <c r="G1064" s="3">
        <f t="shared" si="50"/>
        <v>-8.0791196545478838E-3</v>
      </c>
      <c r="H1064" s="2">
        <f t="shared" si="48"/>
        <v>27.25</v>
      </c>
      <c r="I1064" s="3">
        <f t="shared" si="49"/>
        <v>1.89902087180738E-2</v>
      </c>
    </row>
    <row r="1065" spans="2:9" x14ac:dyDescent="0.25">
      <c r="B1065" s="1">
        <v>36728</v>
      </c>
      <c r="C1065" s="2">
        <v>1397.25</v>
      </c>
      <c r="D1065" s="2">
        <v>1424.9</v>
      </c>
      <c r="E1065" s="2">
        <v>1435.2</v>
      </c>
      <c r="F1065" s="2">
        <v>1394.3</v>
      </c>
      <c r="G1065" s="3">
        <f t="shared" si="50"/>
        <v>-1.8922904086504766E-2</v>
      </c>
      <c r="H1065" s="2">
        <f t="shared" si="48"/>
        <v>40.900000000000091</v>
      </c>
      <c r="I1065" s="3">
        <f t="shared" si="49"/>
        <v>2.8703768685521852E-2</v>
      </c>
    </row>
    <row r="1066" spans="2:9" x14ac:dyDescent="0.25">
      <c r="B1066" s="1">
        <v>36731</v>
      </c>
      <c r="C1066" s="2">
        <v>1317.75</v>
      </c>
      <c r="D1066" s="2">
        <v>1397.05</v>
      </c>
      <c r="E1066" s="2">
        <v>1397.05</v>
      </c>
      <c r="F1066" s="2">
        <v>1310.85</v>
      </c>
      <c r="G1066" s="3">
        <f t="shared" si="50"/>
        <v>-5.689747718733229E-2</v>
      </c>
      <c r="H1066" s="2">
        <f t="shared" si="48"/>
        <v>86.200000000000045</v>
      </c>
      <c r="I1066" s="3">
        <f t="shared" si="49"/>
        <v>6.1701442324898929E-2</v>
      </c>
    </row>
    <row r="1067" spans="2:9" x14ac:dyDescent="0.25">
      <c r="B1067" s="1">
        <v>36732</v>
      </c>
      <c r="C1067" s="2">
        <v>1348.9</v>
      </c>
      <c r="D1067" s="2">
        <v>1317.35</v>
      </c>
      <c r="E1067" s="2">
        <v>1363.45</v>
      </c>
      <c r="F1067" s="2">
        <v>1269.25</v>
      </c>
      <c r="G1067" s="3">
        <f t="shared" si="50"/>
        <v>2.3638778220451684E-2</v>
      </c>
      <c r="H1067" s="2">
        <f t="shared" si="48"/>
        <v>94.200000000000045</v>
      </c>
      <c r="I1067" s="3">
        <f t="shared" si="49"/>
        <v>7.1507192469730932E-2</v>
      </c>
    </row>
    <row r="1068" spans="2:9" x14ac:dyDescent="0.25">
      <c r="B1068" s="1">
        <v>36733</v>
      </c>
      <c r="C1068" s="2">
        <v>1318.25</v>
      </c>
      <c r="D1068" s="2">
        <v>1350.8</v>
      </c>
      <c r="E1068" s="2">
        <v>1371.8</v>
      </c>
      <c r="F1068" s="2">
        <v>1315.15</v>
      </c>
      <c r="G1068" s="3">
        <f t="shared" si="50"/>
        <v>-2.2722218103640057E-2</v>
      </c>
      <c r="H1068" s="2">
        <f t="shared" si="48"/>
        <v>56.649999999999864</v>
      </c>
      <c r="I1068" s="3">
        <f t="shared" si="49"/>
        <v>4.1938110749185568E-2</v>
      </c>
    </row>
    <row r="1069" spans="2:9" x14ac:dyDescent="0.25">
      <c r="B1069" s="1">
        <v>36734</v>
      </c>
      <c r="C1069" s="2">
        <v>1338.05</v>
      </c>
      <c r="D1069" s="2">
        <v>1317</v>
      </c>
      <c r="E1069" s="2">
        <v>1342.75</v>
      </c>
      <c r="F1069" s="2">
        <v>1291.3</v>
      </c>
      <c r="G1069" s="3">
        <f t="shared" si="50"/>
        <v>1.501991276313297E-2</v>
      </c>
      <c r="H1069" s="2">
        <f t="shared" si="48"/>
        <v>51.450000000000045</v>
      </c>
      <c r="I1069" s="3">
        <f t="shared" si="49"/>
        <v>3.906605922551256E-2</v>
      </c>
    </row>
    <row r="1070" spans="2:9" x14ac:dyDescent="0.25">
      <c r="B1070" s="1">
        <v>36735</v>
      </c>
      <c r="C1070" s="2">
        <v>1333.8</v>
      </c>
      <c r="D1070" s="2">
        <v>1337.7</v>
      </c>
      <c r="E1070" s="2">
        <v>1359.4</v>
      </c>
      <c r="F1070" s="2">
        <v>1327.95</v>
      </c>
      <c r="G1070" s="3">
        <f t="shared" si="50"/>
        <v>-3.1762639662195058E-3</v>
      </c>
      <c r="H1070" s="2">
        <f t="shared" si="48"/>
        <v>31.450000000000045</v>
      </c>
      <c r="I1070" s="3">
        <f t="shared" si="49"/>
        <v>2.3510503102339871E-2</v>
      </c>
    </row>
    <row r="1071" spans="2:9" x14ac:dyDescent="0.25">
      <c r="B1071" s="1">
        <v>36738</v>
      </c>
      <c r="C1071" s="2">
        <v>1332.85</v>
      </c>
      <c r="D1071" s="2">
        <v>1333.3</v>
      </c>
      <c r="E1071" s="2">
        <v>1343.65</v>
      </c>
      <c r="F1071" s="2">
        <v>1317.3</v>
      </c>
      <c r="G1071" s="3">
        <f t="shared" si="50"/>
        <v>-7.1225071225078374E-4</v>
      </c>
      <c r="H1071" s="2">
        <f t="shared" si="48"/>
        <v>26.350000000000136</v>
      </c>
      <c r="I1071" s="3">
        <f t="shared" si="49"/>
        <v>1.9762994074851974E-2</v>
      </c>
    </row>
    <row r="1072" spans="2:9" x14ac:dyDescent="0.25">
      <c r="B1072" s="1">
        <v>36739</v>
      </c>
      <c r="C1072" s="2">
        <v>1326.85</v>
      </c>
      <c r="D1072" s="2">
        <v>1332.85</v>
      </c>
      <c r="E1072" s="2">
        <v>1344.5</v>
      </c>
      <c r="F1072" s="2">
        <v>1322.6</v>
      </c>
      <c r="G1072" s="3">
        <f t="shared" si="50"/>
        <v>-4.5016318415425083E-3</v>
      </c>
      <c r="H1072" s="2">
        <f t="shared" si="48"/>
        <v>21.900000000000091</v>
      </c>
      <c r="I1072" s="3">
        <f t="shared" si="49"/>
        <v>1.6430956221630412E-2</v>
      </c>
    </row>
    <row r="1073" spans="2:9" x14ac:dyDescent="0.25">
      <c r="B1073" s="1">
        <v>36740</v>
      </c>
      <c r="C1073" s="2">
        <v>1331.9</v>
      </c>
      <c r="D1073" s="2">
        <v>1323.7</v>
      </c>
      <c r="E1073" s="2">
        <v>1333.85</v>
      </c>
      <c r="F1073" s="2">
        <v>1312.25</v>
      </c>
      <c r="G1073" s="3">
        <f t="shared" si="50"/>
        <v>3.8060067076159942E-3</v>
      </c>
      <c r="H1073" s="2">
        <f t="shared" si="48"/>
        <v>21.599999999999909</v>
      </c>
      <c r="I1073" s="3">
        <f t="shared" si="49"/>
        <v>1.6317896804411806E-2</v>
      </c>
    </row>
    <row r="1074" spans="2:9" x14ac:dyDescent="0.25">
      <c r="B1074" s="1">
        <v>36741</v>
      </c>
      <c r="C1074" s="2">
        <v>1321.25</v>
      </c>
      <c r="D1074" s="2">
        <v>1330.7</v>
      </c>
      <c r="E1074" s="2">
        <v>1339.4</v>
      </c>
      <c r="F1074" s="2">
        <v>1319</v>
      </c>
      <c r="G1074" s="3">
        <f t="shared" si="50"/>
        <v>-7.9960958029883233E-3</v>
      </c>
      <c r="H1074" s="2">
        <f t="shared" si="48"/>
        <v>20.400000000000091</v>
      </c>
      <c r="I1074" s="3">
        <f t="shared" si="49"/>
        <v>1.5330277297662951E-2</v>
      </c>
    </row>
    <row r="1075" spans="2:9" x14ac:dyDescent="0.25">
      <c r="B1075" s="1">
        <v>36742</v>
      </c>
      <c r="C1075" s="2">
        <v>1318.55</v>
      </c>
      <c r="D1075" s="2">
        <v>1320.25</v>
      </c>
      <c r="E1075" s="2">
        <v>1333.15</v>
      </c>
      <c r="F1075" s="2">
        <v>1302.6500000000001</v>
      </c>
      <c r="G1075" s="3">
        <f t="shared" si="50"/>
        <v>-2.0435193945128605E-3</v>
      </c>
      <c r="H1075" s="2">
        <f t="shared" si="48"/>
        <v>30.5</v>
      </c>
      <c r="I1075" s="3">
        <f t="shared" si="49"/>
        <v>2.3101685286877484E-2</v>
      </c>
    </row>
    <row r="1076" spans="2:9" x14ac:dyDescent="0.25">
      <c r="B1076" s="1">
        <v>36745</v>
      </c>
      <c r="C1076" s="2">
        <v>1310.8</v>
      </c>
      <c r="D1076" s="2">
        <v>1319.7</v>
      </c>
      <c r="E1076" s="2">
        <v>1321.7</v>
      </c>
      <c r="F1076" s="2">
        <v>1299.9000000000001</v>
      </c>
      <c r="G1076" s="3">
        <f t="shared" si="50"/>
        <v>-5.8776686511698983E-3</v>
      </c>
      <c r="H1076" s="2">
        <f t="shared" si="48"/>
        <v>21.799999999999955</v>
      </c>
      <c r="I1076" s="3">
        <f t="shared" si="49"/>
        <v>1.6518905811926918E-2</v>
      </c>
    </row>
    <row r="1077" spans="2:9" x14ac:dyDescent="0.25">
      <c r="B1077" s="1">
        <v>36746</v>
      </c>
      <c r="C1077" s="2">
        <v>1345.6</v>
      </c>
      <c r="D1077" s="2">
        <v>1312.1</v>
      </c>
      <c r="E1077" s="2">
        <v>1348.25</v>
      </c>
      <c r="F1077" s="2">
        <v>1311.15</v>
      </c>
      <c r="G1077" s="3">
        <f t="shared" si="50"/>
        <v>2.6548672566371723E-2</v>
      </c>
      <c r="H1077" s="2">
        <f t="shared" si="48"/>
        <v>37.099999999999909</v>
      </c>
      <c r="I1077" s="3">
        <f t="shared" si="49"/>
        <v>2.8275283896044442E-2</v>
      </c>
    </row>
    <row r="1078" spans="2:9" x14ac:dyDescent="0.25">
      <c r="B1078" s="1">
        <v>36747</v>
      </c>
      <c r="C1078" s="2">
        <v>1344.95</v>
      </c>
      <c r="D1078" s="2">
        <v>1345.95</v>
      </c>
      <c r="E1078" s="2">
        <v>1363.95</v>
      </c>
      <c r="F1078" s="2">
        <v>1341.05</v>
      </c>
      <c r="G1078" s="3">
        <f t="shared" si="50"/>
        <v>-4.8305588585006998E-4</v>
      </c>
      <c r="H1078" s="2">
        <f t="shared" si="48"/>
        <v>22.900000000000091</v>
      </c>
      <c r="I1078" s="3">
        <f t="shared" si="49"/>
        <v>1.7014004977896721E-2</v>
      </c>
    </row>
    <row r="1079" spans="2:9" x14ac:dyDescent="0.25">
      <c r="B1079" s="1">
        <v>36748</v>
      </c>
      <c r="C1079" s="2">
        <v>1328</v>
      </c>
      <c r="D1079" s="2">
        <v>1345.25</v>
      </c>
      <c r="E1079" s="2">
        <v>1360.4</v>
      </c>
      <c r="F1079" s="2">
        <v>1325.15</v>
      </c>
      <c r="G1079" s="3">
        <f t="shared" si="50"/>
        <v>-1.2602698985092364E-2</v>
      </c>
      <c r="H1079" s="2">
        <f t="shared" si="48"/>
        <v>35.25</v>
      </c>
      <c r="I1079" s="3">
        <f t="shared" si="49"/>
        <v>2.6203307935328005E-2</v>
      </c>
    </row>
    <row r="1080" spans="2:9" x14ac:dyDescent="0.25">
      <c r="B1080" s="1">
        <v>36749</v>
      </c>
      <c r="C1080" s="2">
        <v>1310.75</v>
      </c>
      <c r="D1080" s="2">
        <v>1328.15</v>
      </c>
      <c r="E1080" s="2">
        <v>1328.15</v>
      </c>
      <c r="F1080" s="2">
        <v>1306.5999999999999</v>
      </c>
      <c r="G1080" s="3">
        <f t="shared" si="50"/>
        <v>-1.2989457831325324E-2</v>
      </c>
      <c r="H1080" s="2">
        <f t="shared" si="48"/>
        <v>21.550000000000182</v>
      </c>
      <c r="I1080" s="3">
        <f t="shared" si="49"/>
        <v>1.6225576930316742E-2</v>
      </c>
    </row>
    <row r="1081" spans="2:9" x14ac:dyDescent="0.25">
      <c r="B1081" s="1">
        <v>36752</v>
      </c>
      <c r="C1081" s="2">
        <v>1317.9</v>
      </c>
      <c r="D1081" s="2">
        <v>1312.25</v>
      </c>
      <c r="E1081" s="2">
        <v>1321.55</v>
      </c>
      <c r="F1081" s="2">
        <v>1295.45</v>
      </c>
      <c r="G1081" s="3">
        <f t="shared" si="50"/>
        <v>5.4548922372688047E-3</v>
      </c>
      <c r="H1081" s="2">
        <f t="shared" si="48"/>
        <v>26.099999999999909</v>
      </c>
      <c r="I1081" s="3">
        <f t="shared" si="49"/>
        <v>1.9889502762430868E-2</v>
      </c>
    </row>
    <row r="1082" spans="2:9" x14ac:dyDescent="0.25">
      <c r="B1082" s="1">
        <v>36754</v>
      </c>
      <c r="C1082" s="2">
        <v>1351.45</v>
      </c>
      <c r="D1082" s="2">
        <v>1319.35</v>
      </c>
      <c r="E1082" s="2">
        <v>1354.95</v>
      </c>
      <c r="F1082" s="2">
        <v>1319.35</v>
      </c>
      <c r="G1082" s="3">
        <f t="shared" si="50"/>
        <v>2.5457166704605738E-2</v>
      </c>
      <c r="H1082" s="2">
        <f t="shared" si="48"/>
        <v>35.600000000000136</v>
      </c>
      <c r="I1082" s="3">
        <f t="shared" si="49"/>
        <v>2.6982984045173866E-2</v>
      </c>
    </row>
    <row r="1083" spans="2:9" x14ac:dyDescent="0.25">
      <c r="B1083" s="1">
        <v>36755</v>
      </c>
      <c r="C1083" s="2">
        <v>1341.4</v>
      </c>
      <c r="D1083" s="2">
        <v>1351.5</v>
      </c>
      <c r="E1083" s="2">
        <v>1363.05</v>
      </c>
      <c r="F1083" s="2">
        <v>1334.95</v>
      </c>
      <c r="G1083" s="3">
        <f t="shared" si="50"/>
        <v>-7.4364571386288381E-3</v>
      </c>
      <c r="H1083" s="2">
        <f t="shared" si="48"/>
        <v>28.099999999999909</v>
      </c>
      <c r="I1083" s="3">
        <f t="shared" si="49"/>
        <v>2.0791712911579659E-2</v>
      </c>
    </row>
    <row r="1084" spans="2:9" x14ac:dyDescent="0.25">
      <c r="B1084" s="1">
        <v>36756</v>
      </c>
      <c r="C1084" s="2">
        <v>1358.05</v>
      </c>
      <c r="D1084" s="2">
        <v>1342</v>
      </c>
      <c r="E1084" s="2">
        <v>1360.65</v>
      </c>
      <c r="F1084" s="2">
        <v>1339.05</v>
      </c>
      <c r="G1084" s="3">
        <f t="shared" si="50"/>
        <v>1.2412404950052025E-2</v>
      </c>
      <c r="H1084" s="2">
        <f t="shared" si="48"/>
        <v>21.600000000000136</v>
      </c>
      <c r="I1084" s="3">
        <f t="shared" si="49"/>
        <v>1.6095380029806362E-2</v>
      </c>
    </row>
    <row r="1085" spans="2:9" x14ac:dyDescent="0.25">
      <c r="B1085" s="1">
        <v>36759</v>
      </c>
      <c r="C1085" s="2">
        <v>1370.25</v>
      </c>
      <c r="D1085" s="2">
        <v>1358.75</v>
      </c>
      <c r="E1085" s="2">
        <v>1374.5</v>
      </c>
      <c r="F1085" s="2">
        <v>1358.75</v>
      </c>
      <c r="G1085" s="3">
        <f t="shared" si="50"/>
        <v>8.9834689444423521E-3</v>
      </c>
      <c r="H1085" s="2">
        <f t="shared" si="48"/>
        <v>15.75</v>
      </c>
      <c r="I1085" s="3">
        <f t="shared" si="49"/>
        <v>1.1591536338546458E-2</v>
      </c>
    </row>
    <row r="1086" spans="2:9" x14ac:dyDescent="0.25">
      <c r="B1086" s="1">
        <v>36760</v>
      </c>
      <c r="C1086" s="2">
        <v>1381.2</v>
      </c>
      <c r="D1086" s="2">
        <v>1370.75</v>
      </c>
      <c r="E1086" s="2">
        <v>1394.9</v>
      </c>
      <c r="F1086" s="2">
        <v>1370.75</v>
      </c>
      <c r="G1086" s="3">
        <f t="shared" si="50"/>
        <v>7.9912424740011812E-3</v>
      </c>
      <c r="H1086" s="2">
        <f t="shared" si="48"/>
        <v>24.150000000000091</v>
      </c>
      <c r="I1086" s="3">
        <f t="shared" si="49"/>
        <v>1.7618092285245371E-2</v>
      </c>
    </row>
    <row r="1087" spans="2:9" x14ac:dyDescent="0.25">
      <c r="B1087" s="1">
        <v>36761</v>
      </c>
      <c r="C1087" s="2">
        <v>1386.05</v>
      </c>
      <c r="D1087" s="2">
        <v>1381.6</v>
      </c>
      <c r="E1087" s="2">
        <v>1398.9</v>
      </c>
      <c r="F1087" s="2">
        <v>1376.9</v>
      </c>
      <c r="G1087" s="3">
        <f t="shared" si="50"/>
        <v>3.5114393281203693E-3</v>
      </c>
      <c r="H1087" s="2">
        <f t="shared" si="48"/>
        <v>22</v>
      </c>
      <c r="I1087" s="3">
        <f t="shared" si="49"/>
        <v>1.5923566878980892E-2</v>
      </c>
    </row>
    <row r="1088" spans="2:9" x14ac:dyDescent="0.25">
      <c r="B1088" s="1">
        <v>36762</v>
      </c>
      <c r="C1088" s="2">
        <v>1386.95</v>
      </c>
      <c r="D1088" s="2">
        <v>1386.3</v>
      </c>
      <c r="E1088" s="2">
        <v>1390.45</v>
      </c>
      <c r="F1088" s="2">
        <v>1374.9</v>
      </c>
      <c r="G1088" s="3">
        <f t="shared" si="50"/>
        <v>6.4932722484756233E-4</v>
      </c>
      <c r="H1088" s="2">
        <f t="shared" si="48"/>
        <v>15.549999999999955</v>
      </c>
      <c r="I1088" s="3">
        <f t="shared" si="49"/>
        <v>1.1216908317103048E-2</v>
      </c>
    </row>
    <row r="1089" spans="2:9" x14ac:dyDescent="0.25">
      <c r="B1089" s="1">
        <v>36763</v>
      </c>
      <c r="C1089" s="2">
        <v>1381.25</v>
      </c>
      <c r="D1089" s="2">
        <v>1387.35</v>
      </c>
      <c r="E1089" s="2">
        <v>1396.1</v>
      </c>
      <c r="F1089" s="2">
        <v>1377.75</v>
      </c>
      <c r="G1089" s="3">
        <f t="shared" si="50"/>
        <v>-4.1097371931215765E-3</v>
      </c>
      <c r="H1089" s="2">
        <f t="shared" si="48"/>
        <v>18.349999999999909</v>
      </c>
      <c r="I1089" s="3">
        <f t="shared" si="49"/>
        <v>1.3226655133888283E-2</v>
      </c>
    </row>
    <row r="1090" spans="2:9" x14ac:dyDescent="0.25">
      <c r="B1090" s="1">
        <v>36766</v>
      </c>
      <c r="C1090" s="2">
        <v>1369.85</v>
      </c>
      <c r="D1090" s="2">
        <v>1379.6</v>
      </c>
      <c r="E1090" s="2">
        <v>1383.45</v>
      </c>
      <c r="F1090" s="2">
        <v>1368.25</v>
      </c>
      <c r="G1090" s="3">
        <f t="shared" si="50"/>
        <v>-8.2533936651584261E-3</v>
      </c>
      <c r="H1090" s="2">
        <f t="shared" si="48"/>
        <v>15.200000000000045</v>
      </c>
      <c r="I1090" s="3">
        <f t="shared" si="49"/>
        <v>1.1017686285879999E-2</v>
      </c>
    </row>
    <row r="1091" spans="2:9" x14ac:dyDescent="0.25">
      <c r="B1091" s="1">
        <v>36767</v>
      </c>
      <c r="C1091" s="2">
        <v>1367.7</v>
      </c>
      <c r="D1091" s="2">
        <v>1368.65</v>
      </c>
      <c r="E1091" s="2">
        <v>1373.55</v>
      </c>
      <c r="F1091" s="2">
        <v>1360.65</v>
      </c>
      <c r="G1091" s="3">
        <f t="shared" si="50"/>
        <v>-1.5695149103915895E-3</v>
      </c>
      <c r="H1091" s="2">
        <f t="shared" si="48"/>
        <v>12.899999999999864</v>
      </c>
      <c r="I1091" s="3">
        <f t="shared" si="49"/>
        <v>9.425346144010421E-3</v>
      </c>
    </row>
    <row r="1092" spans="2:9" x14ac:dyDescent="0.25">
      <c r="B1092" s="1">
        <v>36768</v>
      </c>
      <c r="C1092" s="2">
        <v>1375.95</v>
      </c>
      <c r="D1092" s="2">
        <v>1369.9</v>
      </c>
      <c r="E1092" s="2">
        <v>1384.85</v>
      </c>
      <c r="F1092" s="2">
        <v>1369.8</v>
      </c>
      <c r="G1092" s="3">
        <f t="shared" si="50"/>
        <v>6.0320245667908612E-3</v>
      </c>
      <c r="H1092" s="2">
        <f t="shared" si="48"/>
        <v>15.049999999999955</v>
      </c>
      <c r="I1092" s="3">
        <f t="shared" si="49"/>
        <v>1.0986203372508909E-2</v>
      </c>
    </row>
    <row r="1093" spans="2:9" x14ac:dyDescent="0.25">
      <c r="B1093" s="1">
        <v>36769</v>
      </c>
      <c r="C1093" s="2">
        <v>1394.1</v>
      </c>
      <c r="D1093" s="2">
        <v>1376.5</v>
      </c>
      <c r="E1093" s="2">
        <v>1397.3</v>
      </c>
      <c r="F1093" s="2">
        <v>1375.9</v>
      </c>
      <c r="G1093" s="3">
        <f t="shared" si="50"/>
        <v>1.3190886296740256E-2</v>
      </c>
      <c r="H1093" s="2">
        <f t="shared" ref="H1093:H1156" si="51">E1093-F1093</f>
        <v>21.399999999999864</v>
      </c>
      <c r="I1093" s="3">
        <f t="shared" si="49"/>
        <v>1.5546676353069279E-2</v>
      </c>
    </row>
    <row r="1094" spans="2:9" x14ac:dyDescent="0.25">
      <c r="B1094" s="1">
        <v>36773</v>
      </c>
      <c r="C1094" s="2">
        <v>1427.75</v>
      </c>
      <c r="D1094" s="2">
        <v>1395.95</v>
      </c>
      <c r="E1094" s="2">
        <v>1433.15</v>
      </c>
      <c r="F1094" s="2">
        <v>1395.95</v>
      </c>
      <c r="G1094" s="3">
        <f t="shared" si="50"/>
        <v>2.4137436338856677E-2</v>
      </c>
      <c r="H1094" s="2">
        <f t="shared" si="51"/>
        <v>37.200000000000045</v>
      </c>
      <c r="I1094" s="3">
        <f t="shared" ref="I1094:I1157" si="52">H1094/D1094</f>
        <v>2.6648518929761125E-2</v>
      </c>
    </row>
    <row r="1095" spans="2:9" x14ac:dyDescent="0.25">
      <c r="B1095" s="1">
        <v>36774</v>
      </c>
      <c r="C1095" s="2">
        <v>1428.25</v>
      </c>
      <c r="D1095" s="2">
        <v>1428.05</v>
      </c>
      <c r="E1095" s="2">
        <v>1434.65</v>
      </c>
      <c r="F1095" s="2">
        <v>1420.9</v>
      </c>
      <c r="G1095" s="3">
        <f t="shared" ref="G1095:G1158" si="53">C1095/C1094-1</f>
        <v>3.5020136578522987E-4</v>
      </c>
      <c r="H1095" s="2">
        <f t="shared" si="51"/>
        <v>13.75</v>
      </c>
      <c r="I1095" s="3">
        <f t="shared" si="52"/>
        <v>9.6285144077588331E-3</v>
      </c>
    </row>
    <row r="1096" spans="2:9" x14ac:dyDescent="0.25">
      <c r="B1096" s="1">
        <v>36775</v>
      </c>
      <c r="C1096" s="2">
        <v>1435.35</v>
      </c>
      <c r="D1096" s="2">
        <v>1430.9</v>
      </c>
      <c r="E1096" s="2">
        <v>1444.45</v>
      </c>
      <c r="F1096" s="2">
        <v>1421</v>
      </c>
      <c r="G1096" s="3">
        <f t="shared" si="53"/>
        <v>4.9711185016627635E-3</v>
      </c>
      <c r="H1096" s="2">
        <f t="shared" si="51"/>
        <v>23.450000000000045</v>
      </c>
      <c r="I1096" s="3">
        <f t="shared" si="52"/>
        <v>1.6388287092040005E-2</v>
      </c>
    </row>
    <row r="1097" spans="2:9" x14ac:dyDescent="0.25">
      <c r="B1097" s="1">
        <v>36776</v>
      </c>
      <c r="C1097" s="2">
        <v>1439.75</v>
      </c>
      <c r="D1097" s="2">
        <v>1434.7</v>
      </c>
      <c r="E1097" s="2">
        <v>1450.2</v>
      </c>
      <c r="F1097" s="2">
        <v>1424.35</v>
      </c>
      <c r="G1097" s="3">
        <f t="shared" si="53"/>
        <v>3.0654544187829202E-3</v>
      </c>
      <c r="H1097" s="2">
        <f t="shared" si="51"/>
        <v>25.850000000000136</v>
      </c>
      <c r="I1097" s="3">
        <f t="shared" si="52"/>
        <v>1.8017704049627194E-2</v>
      </c>
    </row>
    <row r="1098" spans="2:9" x14ac:dyDescent="0.25">
      <c r="B1098" s="1">
        <v>36777</v>
      </c>
      <c r="C1098" s="2">
        <v>1450.05</v>
      </c>
      <c r="D1098" s="2">
        <v>1440.6</v>
      </c>
      <c r="E1098" s="2">
        <v>1453.15</v>
      </c>
      <c r="F1098" s="2">
        <v>1440.6</v>
      </c>
      <c r="G1098" s="3">
        <f t="shared" si="53"/>
        <v>7.1540197951032169E-3</v>
      </c>
      <c r="H1098" s="2">
        <f t="shared" si="51"/>
        <v>12.550000000000182</v>
      </c>
      <c r="I1098" s="3">
        <f t="shared" si="52"/>
        <v>8.7116479244760403E-3</v>
      </c>
    </row>
    <row r="1099" spans="2:9" x14ac:dyDescent="0.25">
      <c r="B1099" s="1">
        <v>36780</v>
      </c>
      <c r="C1099" s="2">
        <v>1456.35</v>
      </c>
      <c r="D1099" s="2">
        <v>1449.35</v>
      </c>
      <c r="E1099" s="2">
        <v>1469</v>
      </c>
      <c r="F1099" s="2">
        <v>1448.95</v>
      </c>
      <c r="G1099" s="3">
        <f t="shared" si="53"/>
        <v>4.3446777697320194E-3</v>
      </c>
      <c r="H1099" s="2">
        <f t="shared" si="51"/>
        <v>20.049999999999955</v>
      </c>
      <c r="I1099" s="3">
        <f t="shared" si="52"/>
        <v>1.3833787559940632E-2</v>
      </c>
    </row>
    <row r="1100" spans="2:9" x14ac:dyDescent="0.25">
      <c r="B1100" s="1">
        <v>36781</v>
      </c>
      <c r="C1100" s="2">
        <v>1467.65</v>
      </c>
      <c r="D1100" s="2">
        <v>1457.1</v>
      </c>
      <c r="E1100" s="2">
        <v>1470.55</v>
      </c>
      <c r="F1100" s="2">
        <v>1447.8</v>
      </c>
      <c r="G1100" s="3">
        <f t="shared" si="53"/>
        <v>7.7591238369898452E-3</v>
      </c>
      <c r="H1100" s="2">
        <f t="shared" si="51"/>
        <v>22.75</v>
      </c>
      <c r="I1100" s="3">
        <f t="shared" si="52"/>
        <v>1.5613204309930686E-2</v>
      </c>
    </row>
    <row r="1101" spans="2:9" x14ac:dyDescent="0.25">
      <c r="B1101" s="1">
        <v>36782</v>
      </c>
      <c r="C1101" s="2">
        <v>1456.15</v>
      </c>
      <c r="D1101" s="2">
        <v>1467.65</v>
      </c>
      <c r="E1101" s="2">
        <v>1482</v>
      </c>
      <c r="F1101" s="2">
        <v>1452.6</v>
      </c>
      <c r="G1101" s="3">
        <f t="shared" si="53"/>
        <v>-7.8356556399686861E-3</v>
      </c>
      <c r="H1101" s="2">
        <f t="shared" si="51"/>
        <v>29.400000000000091</v>
      </c>
      <c r="I1101" s="3">
        <f t="shared" si="52"/>
        <v>2.0032023983919931E-2</v>
      </c>
    </row>
    <row r="1102" spans="2:9" x14ac:dyDescent="0.25">
      <c r="B1102" s="1">
        <v>36783</v>
      </c>
      <c r="C1102" s="2">
        <v>1445.3</v>
      </c>
      <c r="D1102" s="2">
        <v>1456.75</v>
      </c>
      <c r="E1102" s="2">
        <v>1466.65</v>
      </c>
      <c r="F1102" s="2">
        <v>1437.85</v>
      </c>
      <c r="G1102" s="3">
        <f t="shared" si="53"/>
        <v>-7.4511554441507588E-3</v>
      </c>
      <c r="H1102" s="2">
        <f t="shared" si="51"/>
        <v>28.800000000000182</v>
      </c>
      <c r="I1102" s="3">
        <f t="shared" si="52"/>
        <v>1.977003603912832E-2</v>
      </c>
    </row>
    <row r="1103" spans="2:9" x14ac:dyDescent="0.25">
      <c r="B1103" s="1">
        <v>36784</v>
      </c>
      <c r="C1103" s="2">
        <v>1417.2</v>
      </c>
      <c r="D1103" s="2">
        <v>1443.25</v>
      </c>
      <c r="E1103" s="2">
        <v>1451.05</v>
      </c>
      <c r="F1103" s="2">
        <v>1411.55</v>
      </c>
      <c r="G1103" s="3">
        <f t="shared" si="53"/>
        <v>-1.9442330312045897E-2</v>
      </c>
      <c r="H1103" s="2">
        <f t="shared" si="51"/>
        <v>39.5</v>
      </c>
      <c r="I1103" s="3">
        <f t="shared" si="52"/>
        <v>2.7368785726658584E-2</v>
      </c>
    </row>
    <row r="1104" spans="2:9" x14ac:dyDescent="0.25">
      <c r="B1104" s="1">
        <v>36787</v>
      </c>
      <c r="C1104" s="2">
        <v>1354.35</v>
      </c>
      <c r="D1104" s="2">
        <v>1416.05</v>
      </c>
      <c r="E1104" s="2">
        <v>1416.05</v>
      </c>
      <c r="F1104" s="2">
        <v>1352.1</v>
      </c>
      <c r="G1104" s="3">
        <f t="shared" si="53"/>
        <v>-4.4348010160880746E-2</v>
      </c>
      <c r="H1104" s="2">
        <f t="shared" si="51"/>
        <v>63.950000000000045</v>
      </c>
      <c r="I1104" s="3">
        <f t="shared" si="52"/>
        <v>4.5160834716288303E-2</v>
      </c>
    </row>
    <row r="1105" spans="2:9" x14ac:dyDescent="0.25">
      <c r="B1105" s="1">
        <v>36788</v>
      </c>
      <c r="C1105" s="2">
        <v>1317</v>
      </c>
      <c r="D1105" s="2">
        <v>1351.8</v>
      </c>
      <c r="E1105" s="2">
        <v>1361.7</v>
      </c>
      <c r="F1105" s="2">
        <v>1295.3</v>
      </c>
      <c r="G1105" s="3">
        <f t="shared" si="53"/>
        <v>-2.7577804851035448E-2</v>
      </c>
      <c r="H1105" s="2">
        <f t="shared" si="51"/>
        <v>66.400000000000091</v>
      </c>
      <c r="I1105" s="3">
        <f t="shared" si="52"/>
        <v>4.9119692262169029E-2</v>
      </c>
    </row>
    <row r="1106" spans="2:9" x14ac:dyDescent="0.25">
      <c r="B1106" s="1">
        <v>36789</v>
      </c>
      <c r="C1106" s="2">
        <v>1342.9</v>
      </c>
      <c r="D1106" s="2">
        <v>1317.8</v>
      </c>
      <c r="E1106" s="2">
        <v>1351.1</v>
      </c>
      <c r="F1106" s="2">
        <v>1311.1</v>
      </c>
      <c r="G1106" s="3">
        <f t="shared" si="53"/>
        <v>1.9665907365224111E-2</v>
      </c>
      <c r="H1106" s="2">
        <f t="shared" si="51"/>
        <v>40</v>
      </c>
      <c r="I1106" s="3">
        <f t="shared" si="52"/>
        <v>3.0353619669145546E-2</v>
      </c>
    </row>
    <row r="1107" spans="2:9" x14ac:dyDescent="0.25">
      <c r="B1107" s="1">
        <v>36790</v>
      </c>
      <c r="C1107" s="2">
        <v>1329.85</v>
      </c>
      <c r="D1107" s="2">
        <v>1341.65</v>
      </c>
      <c r="E1107" s="2">
        <v>1347.4</v>
      </c>
      <c r="F1107" s="2">
        <v>1325.75</v>
      </c>
      <c r="G1107" s="3">
        <f t="shared" si="53"/>
        <v>-9.7177749646288891E-3</v>
      </c>
      <c r="H1107" s="2">
        <f t="shared" si="51"/>
        <v>21.650000000000091</v>
      </c>
      <c r="I1107" s="3">
        <f t="shared" si="52"/>
        <v>1.6136846420452496E-2</v>
      </c>
    </row>
    <row r="1108" spans="2:9" x14ac:dyDescent="0.25">
      <c r="B1108" s="1">
        <v>36791</v>
      </c>
      <c r="C1108" s="2">
        <v>1266.45</v>
      </c>
      <c r="D1108" s="2">
        <v>1329.1</v>
      </c>
      <c r="E1108" s="2">
        <v>1329.1</v>
      </c>
      <c r="F1108" s="2">
        <v>1261.2</v>
      </c>
      <c r="G1108" s="3">
        <f t="shared" si="53"/>
        <v>-4.7674549761251184E-2</v>
      </c>
      <c r="H1108" s="2">
        <f t="shared" si="51"/>
        <v>67.899999999999864</v>
      </c>
      <c r="I1108" s="3">
        <f t="shared" si="52"/>
        <v>5.1087201865924213E-2</v>
      </c>
    </row>
    <row r="1109" spans="2:9" x14ac:dyDescent="0.25">
      <c r="B1109" s="1">
        <v>36794</v>
      </c>
      <c r="C1109" s="2">
        <v>1292.55</v>
      </c>
      <c r="D1109" s="2">
        <v>1268.4000000000001</v>
      </c>
      <c r="E1109" s="2">
        <v>1305.0999999999999</v>
      </c>
      <c r="F1109" s="2">
        <v>1268.4000000000001</v>
      </c>
      <c r="G1109" s="3">
        <f t="shared" si="53"/>
        <v>2.0608788345374718E-2</v>
      </c>
      <c r="H1109" s="2">
        <f t="shared" si="51"/>
        <v>36.699999999999818</v>
      </c>
      <c r="I1109" s="3">
        <f t="shared" si="52"/>
        <v>2.8934090192368193E-2</v>
      </c>
    </row>
    <row r="1110" spans="2:9" x14ac:dyDescent="0.25">
      <c r="B1110" s="1">
        <v>36795</v>
      </c>
      <c r="C1110" s="2">
        <v>1267.9000000000001</v>
      </c>
      <c r="D1110" s="2">
        <v>1292.9000000000001</v>
      </c>
      <c r="E1110" s="2">
        <v>1298.25</v>
      </c>
      <c r="F1110" s="2">
        <v>1261</v>
      </c>
      <c r="G1110" s="3">
        <f t="shared" si="53"/>
        <v>-1.9070828981470611E-2</v>
      </c>
      <c r="H1110" s="2">
        <f t="shared" si="51"/>
        <v>37.25</v>
      </c>
      <c r="I1110" s="3">
        <f t="shared" si="52"/>
        <v>2.8811199628741586E-2</v>
      </c>
    </row>
    <row r="1111" spans="2:9" x14ac:dyDescent="0.25">
      <c r="B1111" s="1">
        <v>36796</v>
      </c>
      <c r="C1111" s="2">
        <v>1292.55</v>
      </c>
      <c r="D1111" s="2">
        <v>1267.45</v>
      </c>
      <c r="E1111" s="2">
        <v>1299</v>
      </c>
      <c r="F1111" s="2">
        <v>1249.3499999999999</v>
      </c>
      <c r="G1111" s="3">
        <f t="shared" si="53"/>
        <v>1.944159634040532E-2</v>
      </c>
      <c r="H1111" s="2">
        <f t="shared" si="51"/>
        <v>49.650000000000091</v>
      </c>
      <c r="I1111" s="3">
        <f t="shared" si="52"/>
        <v>3.9173142924770275E-2</v>
      </c>
    </row>
    <row r="1112" spans="2:9" x14ac:dyDescent="0.25">
      <c r="B1112" s="1">
        <v>36797</v>
      </c>
      <c r="C1112" s="2">
        <v>1266.4000000000001</v>
      </c>
      <c r="D1112" s="2">
        <v>1292.4000000000001</v>
      </c>
      <c r="E1112" s="2">
        <v>1302.75</v>
      </c>
      <c r="F1112" s="2">
        <v>1260.8</v>
      </c>
      <c r="G1112" s="3">
        <f t="shared" si="53"/>
        <v>-2.0231325674055056E-2</v>
      </c>
      <c r="H1112" s="2">
        <f t="shared" si="51"/>
        <v>41.950000000000045</v>
      </c>
      <c r="I1112" s="3">
        <f t="shared" si="52"/>
        <v>3.245899102445067E-2</v>
      </c>
    </row>
    <row r="1113" spans="2:9" x14ac:dyDescent="0.25">
      <c r="B1113" s="1">
        <v>36798</v>
      </c>
      <c r="C1113" s="2">
        <v>1271.6500000000001</v>
      </c>
      <c r="D1113" s="2">
        <v>1267.3</v>
      </c>
      <c r="E1113" s="2">
        <v>1284.1500000000001</v>
      </c>
      <c r="F1113" s="2">
        <v>1264.4000000000001</v>
      </c>
      <c r="G1113" s="3">
        <f t="shared" si="53"/>
        <v>4.1456096020213717E-3</v>
      </c>
      <c r="H1113" s="2">
        <f t="shared" si="51"/>
        <v>19.75</v>
      </c>
      <c r="I1113" s="3">
        <f t="shared" si="52"/>
        <v>1.5584313106604592E-2</v>
      </c>
    </row>
    <row r="1114" spans="2:9" x14ac:dyDescent="0.25">
      <c r="B1114" s="1">
        <v>36802</v>
      </c>
      <c r="C1114" s="2">
        <v>1282</v>
      </c>
      <c r="D1114" s="2">
        <v>1270.75</v>
      </c>
      <c r="E1114" s="2">
        <v>1288.1500000000001</v>
      </c>
      <c r="F1114" s="2">
        <v>1254.3499999999999</v>
      </c>
      <c r="G1114" s="3">
        <f t="shared" si="53"/>
        <v>8.1390319663428023E-3</v>
      </c>
      <c r="H1114" s="2">
        <f t="shared" si="51"/>
        <v>33.800000000000182</v>
      </c>
      <c r="I1114" s="3">
        <f t="shared" si="52"/>
        <v>2.6598465473145923E-2</v>
      </c>
    </row>
    <row r="1115" spans="2:9" x14ac:dyDescent="0.25">
      <c r="B1115" s="1">
        <v>36803</v>
      </c>
      <c r="C1115" s="2">
        <v>1297.8</v>
      </c>
      <c r="D1115" s="2">
        <v>1281.45</v>
      </c>
      <c r="E1115" s="2">
        <v>1300.05</v>
      </c>
      <c r="F1115" s="2">
        <v>1275.8</v>
      </c>
      <c r="G1115" s="3">
        <f t="shared" si="53"/>
        <v>1.2324492979719048E-2</v>
      </c>
      <c r="H1115" s="2">
        <f t="shared" si="51"/>
        <v>24.25</v>
      </c>
      <c r="I1115" s="3">
        <f t="shared" si="52"/>
        <v>1.8923875297514534E-2</v>
      </c>
    </row>
    <row r="1116" spans="2:9" x14ac:dyDescent="0.25">
      <c r="B1116" s="1">
        <v>36804</v>
      </c>
      <c r="C1116" s="2">
        <v>1284.75</v>
      </c>
      <c r="D1116" s="2">
        <v>1296.0999999999999</v>
      </c>
      <c r="E1116" s="2">
        <v>1306.45</v>
      </c>
      <c r="F1116" s="2">
        <v>1282.5</v>
      </c>
      <c r="G1116" s="3">
        <f t="shared" si="53"/>
        <v>-1.0055478502080439E-2</v>
      </c>
      <c r="H1116" s="2">
        <f t="shared" si="51"/>
        <v>23.950000000000045</v>
      </c>
      <c r="I1116" s="3">
        <f t="shared" si="52"/>
        <v>1.8478512460458334E-2</v>
      </c>
    </row>
    <row r="1117" spans="2:9" x14ac:dyDescent="0.25">
      <c r="B1117" s="1">
        <v>36805</v>
      </c>
      <c r="C1117" s="2">
        <v>1285</v>
      </c>
      <c r="D1117" s="2">
        <v>1284.3499999999999</v>
      </c>
      <c r="E1117" s="2">
        <v>1287.8499999999999</v>
      </c>
      <c r="F1117" s="2">
        <v>1262.6500000000001</v>
      </c>
      <c r="G1117" s="3">
        <f t="shared" si="53"/>
        <v>1.9459038723490529E-4</v>
      </c>
      <c r="H1117" s="2">
        <f t="shared" si="51"/>
        <v>25.199999999999818</v>
      </c>
      <c r="I1117" s="3">
        <f t="shared" si="52"/>
        <v>1.9620819869972998E-2</v>
      </c>
    </row>
    <row r="1118" spans="2:9" x14ac:dyDescent="0.25">
      <c r="B1118" s="1">
        <v>36808</v>
      </c>
      <c r="C1118" s="2">
        <v>1267.3</v>
      </c>
      <c r="D1118" s="2">
        <v>1285.05</v>
      </c>
      <c r="E1118" s="2">
        <v>1286.3499999999999</v>
      </c>
      <c r="F1118" s="2">
        <v>1264.2</v>
      </c>
      <c r="G1118" s="3">
        <f t="shared" si="53"/>
        <v>-1.37743190661479E-2</v>
      </c>
      <c r="H1118" s="2">
        <f t="shared" si="51"/>
        <v>22.149999999999864</v>
      </c>
      <c r="I1118" s="3">
        <f t="shared" si="52"/>
        <v>1.7236683397533065E-2</v>
      </c>
    </row>
    <row r="1119" spans="2:9" x14ac:dyDescent="0.25">
      <c r="B1119" s="1">
        <v>36809</v>
      </c>
      <c r="C1119" s="2">
        <v>1238.95</v>
      </c>
      <c r="D1119" s="2">
        <v>1268.7</v>
      </c>
      <c r="E1119" s="2">
        <v>1272.75</v>
      </c>
      <c r="F1119" s="2">
        <v>1230.05</v>
      </c>
      <c r="G1119" s="3">
        <f t="shared" si="53"/>
        <v>-2.2370393750493101E-2</v>
      </c>
      <c r="H1119" s="2">
        <f t="shared" si="51"/>
        <v>42.700000000000045</v>
      </c>
      <c r="I1119" s="3">
        <f t="shared" si="52"/>
        <v>3.3656498778277012E-2</v>
      </c>
    </row>
    <row r="1120" spans="2:9" x14ac:dyDescent="0.25">
      <c r="B1120" s="1">
        <v>36810</v>
      </c>
      <c r="C1120" s="2">
        <v>1201.9000000000001</v>
      </c>
      <c r="D1120" s="2">
        <v>1232.8499999999999</v>
      </c>
      <c r="E1120" s="2">
        <v>1234.0999999999999</v>
      </c>
      <c r="F1120" s="2">
        <v>1193.8</v>
      </c>
      <c r="G1120" s="3">
        <f t="shared" si="53"/>
        <v>-2.9904354493724528E-2</v>
      </c>
      <c r="H1120" s="2">
        <f t="shared" si="51"/>
        <v>40.299999999999955</v>
      </c>
      <c r="I1120" s="3">
        <f t="shared" si="52"/>
        <v>3.2688486028308358E-2</v>
      </c>
    </row>
    <row r="1121" spans="2:9" x14ac:dyDescent="0.25">
      <c r="B1121" s="1">
        <v>36811</v>
      </c>
      <c r="C1121" s="2">
        <v>1206.25</v>
      </c>
      <c r="D1121" s="2">
        <v>1201.3</v>
      </c>
      <c r="E1121" s="2">
        <v>1214.3499999999999</v>
      </c>
      <c r="F1121" s="2">
        <v>1185.0999999999999</v>
      </c>
      <c r="G1121" s="3">
        <f t="shared" si="53"/>
        <v>3.6192694899741529E-3</v>
      </c>
      <c r="H1121" s="2">
        <f t="shared" si="51"/>
        <v>29.25</v>
      </c>
      <c r="I1121" s="3">
        <f t="shared" si="52"/>
        <v>2.4348622325813703E-2</v>
      </c>
    </row>
    <row r="1122" spans="2:9" x14ac:dyDescent="0.25">
      <c r="B1122" s="1">
        <v>36812</v>
      </c>
      <c r="C1122" s="2">
        <v>1176.75</v>
      </c>
      <c r="D1122" s="2">
        <v>1205.7</v>
      </c>
      <c r="E1122" s="2">
        <v>1205.7</v>
      </c>
      <c r="F1122" s="2">
        <v>1167.5</v>
      </c>
      <c r="G1122" s="3">
        <f t="shared" si="53"/>
        <v>-2.4455958549222778E-2</v>
      </c>
      <c r="H1122" s="2">
        <f t="shared" si="51"/>
        <v>38.200000000000045</v>
      </c>
      <c r="I1122" s="3">
        <f t="shared" si="52"/>
        <v>3.1682839844074016E-2</v>
      </c>
    </row>
    <row r="1123" spans="2:9" x14ac:dyDescent="0.25">
      <c r="B1123" s="1">
        <v>36815</v>
      </c>
      <c r="C1123" s="2">
        <v>1175.45</v>
      </c>
      <c r="D1123" s="2">
        <v>1177.8499999999999</v>
      </c>
      <c r="E1123" s="2">
        <v>1228.8</v>
      </c>
      <c r="F1123" s="2">
        <v>1173.3499999999999</v>
      </c>
      <c r="G1123" s="3">
        <f t="shared" si="53"/>
        <v>-1.1047376248141116E-3</v>
      </c>
      <c r="H1123" s="2">
        <f t="shared" si="51"/>
        <v>55.450000000000045</v>
      </c>
      <c r="I1123" s="3">
        <f t="shared" si="52"/>
        <v>4.7077301863565013E-2</v>
      </c>
    </row>
    <row r="1124" spans="2:9" x14ac:dyDescent="0.25">
      <c r="B1124" s="1">
        <v>36816</v>
      </c>
      <c r="C1124" s="2">
        <v>1158.05</v>
      </c>
      <c r="D1124" s="2">
        <v>1174.3</v>
      </c>
      <c r="E1124" s="2">
        <v>1174.3</v>
      </c>
      <c r="F1124" s="2">
        <v>1140.5999999999999</v>
      </c>
      <c r="G1124" s="3">
        <f t="shared" si="53"/>
        <v>-1.4802841464970906E-2</v>
      </c>
      <c r="H1124" s="2">
        <f t="shared" si="51"/>
        <v>33.700000000000045</v>
      </c>
      <c r="I1124" s="3">
        <f t="shared" si="52"/>
        <v>2.8697947713531506E-2</v>
      </c>
    </row>
    <row r="1125" spans="2:9" x14ac:dyDescent="0.25">
      <c r="B1125" s="1">
        <v>36817</v>
      </c>
      <c r="C1125" s="2">
        <v>1136</v>
      </c>
      <c r="D1125" s="2">
        <v>1157.05</v>
      </c>
      <c r="E1125" s="2">
        <v>1157.05</v>
      </c>
      <c r="F1125" s="2">
        <v>1122.8</v>
      </c>
      <c r="G1125" s="3">
        <f t="shared" si="53"/>
        <v>-1.9040628642977397E-2</v>
      </c>
      <c r="H1125" s="2">
        <f t="shared" si="51"/>
        <v>34.25</v>
      </c>
      <c r="I1125" s="3">
        <f t="shared" si="52"/>
        <v>2.9601140832289013E-2</v>
      </c>
    </row>
    <row r="1126" spans="2:9" x14ac:dyDescent="0.25">
      <c r="B1126" s="1">
        <v>36818</v>
      </c>
      <c r="C1126" s="2">
        <v>1166.1500000000001</v>
      </c>
      <c r="D1126" s="2">
        <v>1135.6500000000001</v>
      </c>
      <c r="E1126" s="2">
        <v>1171.5</v>
      </c>
      <c r="F1126" s="2">
        <v>1108.2</v>
      </c>
      <c r="G1126" s="3">
        <f t="shared" si="53"/>
        <v>2.6540492957746631E-2</v>
      </c>
      <c r="H1126" s="2">
        <f t="shared" si="51"/>
        <v>63.299999999999955</v>
      </c>
      <c r="I1126" s="3">
        <f t="shared" si="52"/>
        <v>5.5739004094571346E-2</v>
      </c>
    </row>
    <row r="1127" spans="2:9" x14ac:dyDescent="0.25">
      <c r="B1127" s="1">
        <v>36819</v>
      </c>
      <c r="C1127" s="2">
        <v>1172</v>
      </c>
      <c r="D1127" s="2">
        <v>1166.2</v>
      </c>
      <c r="E1127" s="2">
        <v>1202.7</v>
      </c>
      <c r="F1127" s="2">
        <v>1166.2</v>
      </c>
      <c r="G1127" s="3">
        <f t="shared" si="53"/>
        <v>5.0165073103802804E-3</v>
      </c>
      <c r="H1127" s="2">
        <f t="shared" si="51"/>
        <v>36.5</v>
      </c>
      <c r="I1127" s="3">
        <f t="shared" si="52"/>
        <v>3.1298233579145941E-2</v>
      </c>
    </row>
    <row r="1128" spans="2:9" x14ac:dyDescent="0.25">
      <c r="B1128" s="1">
        <v>36822</v>
      </c>
      <c r="C1128" s="2">
        <v>1143.95</v>
      </c>
      <c r="D1128" s="2">
        <v>1171.75</v>
      </c>
      <c r="E1128" s="2">
        <v>1172.1500000000001</v>
      </c>
      <c r="F1128" s="2">
        <v>1141.45</v>
      </c>
      <c r="G1128" s="3">
        <f t="shared" si="53"/>
        <v>-2.3933447098976046E-2</v>
      </c>
      <c r="H1128" s="2">
        <f t="shared" si="51"/>
        <v>30.700000000000045</v>
      </c>
      <c r="I1128" s="3">
        <f t="shared" si="52"/>
        <v>2.620012801365483E-2</v>
      </c>
    </row>
    <row r="1129" spans="2:9" x14ac:dyDescent="0.25">
      <c r="B1129" s="1">
        <v>36823</v>
      </c>
      <c r="C1129" s="2">
        <v>1152.45</v>
      </c>
      <c r="D1129" s="2">
        <v>1143</v>
      </c>
      <c r="E1129" s="2">
        <v>1155.3499999999999</v>
      </c>
      <c r="F1129" s="2">
        <v>1132.9000000000001</v>
      </c>
      <c r="G1129" s="3">
        <f t="shared" si="53"/>
        <v>7.4303946850824421E-3</v>
      </c>
      <c r="H1129" s="2">
        <f t="shared" si="51"/>
        <v>22.449999999999818</v>
      </c>
      <c r="I1129" s="3">
        <f t="shared" si="52"/>
        <v>1.9641294838145074E-2</v>
      </c>
    </row>
    <row r="1130" spans="2:9" x14ac:dyDescent="0.25">
      <c r="B1130" s="1">
        <v>36824</v>
      </c>
      <c r="C1130" s="2">
        <v>1183.9000000000001</v>
      </c>
      <c r="D1130" s="2">
        <v>1158.2</v>
      </c>
      <c r="E1130" s="2">
        <v>1190.4000000000001</v>
      </c>
      <c r="F1130" s="2">
        <v>1157.25</v>
      </c>
      <c r="G1130" s="3">
        <f t="shared" si="53"/>
        <v>2.7289687188164491E-2</v>
      </c>
      <c r="H1130" s="2">
        <f t="shared" si="51"/>
        <v>33.150000000000091</v>
      </c>
      <c r="I1130" s="3">
        <f t="shared" si="52"/>
        <v>2.8621999654636583E-2</v>
      </c>
    </row>
    <row r="1131" spans="2:9" x14ac:dyDescent="0.25">
      <c r="B1131" s="1">
        <v>36825</v>
      </c>
      <c r="C1131" s="2">
        <v>1186.3</v>
      </c>
      <c r="D1131" s="2">
        <v>1182.8</v>
      </c>
      <c r="E1131" s="2">
        <v>1188.2</v>
      </c>
      <c r="F1131" s="2">
        <v>1176.5999999999999</v>
      </c>
      <c r="G1131" s="3">
        <f t="shared" si="53"/>
        <v>2.0271982430948299E-3</v>
      </c>
      <c r="H1131" s="2">
        <f t="shared" si="51"/>
        <v>11.600000000000136</v>
      </c>
      <c r="I1131" s="3">
        <f t="shared" si="52"/>
        <v>9.8072370645926089E-3</v>
      </c>
    </row>
    <row r="1132" spans="2:9" x14ac:dyDescent="0.25">
      <c r="B1132" s="1">
        <v>36826</v>
      </c>
      <c r="C1132" s="2">
        <v>1178.7</v>
      </c>
      <c r="D1132" s="2">
        <v>1186.95</v>
      </c>
      <c r="E1132" s="2">
        <v>1192.9000000000001</v>
      </c>
      <c r="F1132" s="2">
        <v>1171.8499999999999</v>
      </c>
      <c r="G1132" s="3">
        <f t="shared" si="53"/>
        <v>-6.4064739104778834E-3</v>
      </c>
      <c r="H1132" s="2">
        <f t="shared" si="51"/>
        <v>21.050000000000182</v>
      </c>
      <c r="I1132" s="3">
        <f t="shared" si="52"/>
        <v>1.773452967690314E-2</v>
      </c>
    </row>
    <row r="1133" spans="2:9" x14ac:dyDescent="0.25">
      <c r="B1133" s="1">
        <v>36829</v>
      </c>
      <c r="C1133" s="2">
        <v>1167.1500000000001</v>
      </c>
      <c r="D1133" s="2">
        <v>1178.75</v>
      </c>
      <c r="E1133" s="2">
        <v>1185.8</v>
      </c>
      <c r="F1133" s="2">
        <v>1164.25</v>
      </c>
      <c r="G1133" s="3">
        <f t="shared" si="53"/>
        <v>-9.7989310257062812E-3</v>
      </c>
      <c r="H1133" s="2">
        <f t="shared" si="51"/>
        <v>21.549999999999955</v>
      </c>
      <c r="I1133" s="3">
        <f t="shared" si="52"/>
        <v>1.8282078472958603E-2</v>
      </c>
    </row>
    <row r="1134" spans="2:9" x14ac:dyDescent="0.25">
      <c r="B1134" s="1">
        <v>36830</v>
      </c>
      <c r="C1134" s="2">
        <v>1172.75</v>
      </c>
      <c r="D1134" s="2">
        <v>1167.2</v>
      </c>
      <c r="E1134" s="2">
        <v>1175.5999999999999</v>
      </c>
      <c r="F1134" s="2">
        <v>1155.1500000000001</v>
      </c>
      <c r="G1134" s="3">
        <f t="shared" si="53"/>
        <v>4.7980122520669966E-3</v>
      </c>
      <c r="H1134" s="2">
        <f t="shared" si="51"/>
        <v>20.449999999999818</v>
      </c>
      <c r="I1134" s="3">
        <f t="shared" si="52"/>
        <v>1.7520562028786685E-2</v>
      </c>
    </row>
    <row r="1135" spans="2:9" x14ac:dyDescent="0.25">
      <c r="B1135" s="1">
        <v>36831</v>
      </c>
      <c r="C1135" s="2">
        <v>1200.8</v>
      </c>
      <c r="D1135" s="2">
        <v>1178.25</v>
      </c>
      <c r="E1135" s="2">
        <v>1203.8499999999999</v>
      </c>
      <c r="F1135" s="2">
        <v>1177.0999999999999</v>
      </c>
      <c r="G1135" s="3">
        <f t="shared" si="53"/>
        <v>2.3918141121296088E-2</v>
      </c>
      <c r="H1135" s="2">
        <f t="shared" si="51"/>
        <v>26.75</v>
      </c>
      <c r="I1135" s="3">
        <f t="shared" si="52"/>
        <v>2.2703161468279227E-2</v>
      </c>
    </row>
    <row r="1136" spans="2:9" x14ac:dyDescent="0.25">
      <c r="B1136" s="1">
        <v>36832</v>
      </c>
      <c r="C1136" s="2">
        <v>1224.8499999999999</v>
      </c>
      <c r="D1136" s="2">
        <v>1201.25</v>
      </c>
      <c r="E1136" s="2">
        <v>1226.3499999999999</v>
      </c>
      <c r="F1136" s="2">
        <v>1199.75</v>
      </c>
      <c r="G1136" s="3">
        <f t="shared" si="53"/>
        <v>2.0028314457028573E-2</v>
      </c>
      <c r="H1136" s="2">
        <f t="shared" si="51"/>
        <v>26.599999999999909</v>
      </c>
      <c r="I1136" s="3">
        <f t="shared" si="52"/>
        <v>2.2143600416233016E-2</v>
      </c>
    </row>
    <row r="1137" spans="2:9" x14ac:dyDescent="0.25">
      <c r="B1137" s="1">
        <v>36833</v>
      </c>
      <c r="C1137" s="2">
        <v>1242.05</v>
      </c>
      <c r="D1137" s="2">
        <v>1225</v>
      </c>
      <c r="E1137" s="2">
        <v>1249.2</v>
      </c>
      <c r="F1137" s="2">
        <v>1225</v>
      </c>
      <c r="G1137" s="3">
        <f t="shared" si="53"/>
        <v>1.4042535820712798E-2</v>
      </c>
      <c r="H1137" s="2">
        <f t="shared" si="51"/>
        <v>24.200000000000045</v>
      </c>
      <c r="I1137" s="3">
        <f t="shared" si="52"/>
        <v>1.9755102040816364E-2</v>
      </c>
    </row>
    <row r="1138" spans="2:9" x14ac:dyDescent="0.25">
      <c r="B1138" s="1">
        <v>36836</v>
      </c>
      <c r="C1138" s="2">
        <v>1240.25</v>
      </c>
      <c r="D1138" s="2">
        <v>1242.1500000000001</v>
      </c>
      <c r="E1138" s="2">
        <v>1261.4000000000001</v>
      </c>
      <c r="F1138" s="2">
        <v>1236.6500000000001</v>
      </c>
      <c r="G1138" s="3">
        <f t="shared" si="53"/>
        <v>-1.4492170202486943E-3</v>
      </c>
      <c r="H1138" s="2">
        <f t="shared" si="51"/>
        <v>24.75</v>
      </c>
      <c r="I1138" s="3">
        <f t="shared" si="52"/>
        <v>1.9925129815239705E-2</v>
      </c>
    </row>
    <row r="1139" spans="2:9" x14ac:dyDescent="0.25">
      <c r="B1139" s="1">
        <v>36837</v>
      </c>
      <c r="C1139" s="2">
        <v>1246.75</v>
      </c>
      <c r="D1139" s="2">
        <v>1239</v>
      </c>
      <c r="E1139" s="2">
        <v>1249.0999999999999</v>
      </c>
      <c r="F1139" s="2">
        <v>1232.3499999999999</v>
      </c>
      <c r="G1139" s="3">
        <f t="shared" si="53"/>
        <v>5.2408788550695196E-3</v>
      </c>
      <c r="H1139" s="2">
        <f t="shared" si="51"/>
        <v>16.75</v>
      </c>
      <c r="I1139" s="3">
        <f t="shared" si="52"/>
        <v>1.3518966908797418E-2</v>
      </c>
    </row>
    <row r="1140" spans="2:9" x14ac:dyDescent="0.25">
      <c r="B1140" s="1">
        <v>36838</v>
      </c>
      <c r="C1140" s="2">
        <v>1266.8</v>
      </c>
      <c r="D1140" s="2">
        <v>1246.6500000000001</v>
      </c>
      <c r="E1140" s="2">
        <v>1277.25</v>
      </c>
      <c r="F1140" s="2">
        <v>1246.6500000000001</v>
      </c>
      <c r="G1140" s="3">
        <f t="shared" si="53"/>
        <v>1.6081812713053978E-2</v>
      </c>
      <c r="H1140" s="2">
        <f t="shared" si="51"/>
        <v>30.599999999999909</v>
      </c>
      <c r="I1140" s="3">
        <f t="shared" si="52"/>
        <v>2.4545782697629574E-2</v>
      </c>
    </row>
    <row r="1141" spans="2:9" x14ac:dyDescent="0.25">
      <c r="B1141" s="1">
        <v>36839</v>
      </c>
      <c r="C1141" s="2">
        <v>1269.95</v>
      </c>
      <c r="D1141" s="2">
        <v>1266.75</v>
      </c>
      <c r="E1141" s="2">
        <v>1275.55</v>
      </c>
      <c r="F1141" s="2">
        <v>1255.95</v>
      </c>
      <c r="G1141" s="3">
        <f t="shared" si="53"/>
        <v>2.4865803599620762E-3</v>
      </c>
      <c r="H1141" s="2">
        <f t="shared" si="51"/>
        <v>19.599999999999909</v>
      </c>
      <c r="I1141" s="3">
        <f t="shared" si="52"/>
        <v>1.5472666271955721E-2</v>
      </c>
    </row>
    <row r="1142" spans="2:9" x14ac:dyDescent="0.25">
      <c r="B1142" s="1">
        <v>36840</v>
      </c>
      <c r="C1142" s="2">
        <v>1239.55</v>
      </c>
      <c r="D1142" s="2">
        <v>1271.3499999999999</v>
      </c>
      <c r="E1142" s="2">
        <v>1271.4000000000001</v>
      </c>
      <c r="F1142" s="2">
        <v>1237.5</v>
      </c>
      <c r="G1142" s="3">
        <f t="shared" si="53"/>
        <v>-2.3937950313004497E-2</v>
      </c>
      <c r="H1142" s="2">
        <f t="shared" si="51"/>
        <v>33.900000000000091</v>
      </c>
      <c r="I1142" s="3">
        <f t="shared" si="52"/>
        <v>2.6664569158768314E-2</v>
      </c>
    </row>
    <row r="1143" spans="2:9" x14ac:dyDescent="0.25">
      <c r="B1143" s="1">
        <v>36843</v>
      </c>
      <c r="C1143" s="2">
        <v>1208.05</v>
      </c>
      <c r="D1143" s="2">
        <v>1239.3499999999999</v>
      </c>
      <c r="E1143" s="2">
        <v>1239.3499999999999</v>
      </c>
      <c r="F1143" s="2">
        <v>1199.95</v>
      </c>
      <c r="G1143" s="3">
        <f t="shared" si="53"/>
        <v>-2.5412448065830318E-2</v>
      </c>
      <c r="H1143" s="2">
        <f t="shared" si="51"/>
        <v>39.399999999999864</v>
      </c>
      <c r="I1143" s="3">
        <f t="shared" si="52"/>
        <v>3.1790858111106518E-2</v>
      </c>
    </row>
    <row r="1144" spans="2:9" x14ac:dyDescent="0.25">
      <c r="B1144" s="1">
        <v>36844</v>
      </c>
      <c r="C1144" s="2">
        <v>1242.8499999999999</v>
      </c>
      <c r="D1144" s="2">
        <v>1207.2</v>
      </c>
      <c r="E1144" s="2">
        <v>1246.9000000000001</v>
      </c>
      <c r="F1144" s="2">
        <v>1207.05</v>
      </c>
      <c r="G1144" s="3">
        <f t="shared" si="53"/>
        <v>2.8806754687305869E-2</v>
      </c>
      <c r="H1144" s="2">
        <f t="shared" si="51"/>
        <v>39.850000000000136</v>
      </c>
      <c r="I1144" s="3">
        <f t="shared" si="52"/>
        <v>3.3010271703114755E-2</v>
      </c>
    </row>
    <row r="1145" spans="2:9" x14ac:dyDescent="0.25">
      <c r="B1145" s="1">
        <v>36845</v>
      </c>
      <c r="C1145" s="2">
        <v>1247.05</v>
      </c>
      <c r="D1145" s="2">
        <v>1245</v>
      </c>
      <c r="E1145" s="2">
        <v>1270.0999999999999</v>
      </c>
      <c r="F1145" s="2">
        <v>1243.2</v>
      </c>
      <c r="G1145" s="3">
        <f t="shared" si="53"/>
        <v>3.379329766262984E-3</v>
      </c>
      <c r="H1145" s="2">
        <f t="shared" si="51"/>
        <v>26.899999999999864</v>
      </c>
      <c r="I1145" s="3">
        <f t="shared" si="52"/>
        <v>2.1606425702811134E-2</v>
      </c>
    </row>
    <row r="1146" spans="2:9" x14ac:dyDescent="0.25">
      <c r="B1146" s="1">
        <v>36846</v>
      </c>
      <c r="C1146" s="2">
        <v>1233.25</v>
      </c>
      <c r="D1146" s="2">
        <v>1246.5999999999999</v>
      </c>
      <c r="E1146" s="2">
        <v>1254.55</v>
      </c>
      <c r="F1146" s="2">
        <v>1228.5999999999999</v>
      </c>
      <c r="G1146" s="3">
        <f t="shared" si="53"/>
        <v>-1.1066116033839779E-2</v>
      </c>
      <c r="H1146" s="2">
        <f t="shared" si="51"/>
        <v>25.950000000000045</v>
      </c>
      <c r="I1146" s="3">
        <f t="shared" si="52"/>
        <v>2.0816621209690397E-2</v>
      </c>
    </row>
    <row r="1147" spans="2:9" x14ac:dyDescent="0.25">
      <c r="B1147" s="1">
        <v>36847</v>
      </c>
      <c r="C1147" s="2">
        <v>1236</v>
      </c>
      <c r="D1147" s="2">
        <v>1232.3499999999999</v>
      </c>
      <c r="E1147" s="2">
        <v>1238</v>
      </c>
      <c r="F1147" s="2">
        <v>1216.9000000000001</v>
      </c>
      <c r="G1147" s="3">
        <f t="shared" si="53"/>
        <v>2.229880397324191E-3</v>
      </c>
      <c r="H1147" s="2">
        <f t="shared" si="51"/>
        <v>21.099999999999909</v>
      </c>
      <c r="I1147" s="3">
        <f t="shared" si="52"/>
        <v>1.7121759240475442E-2</v>
      </c>
    </row>
    <row r="1148" spans="2:9" x14ac:dyDescent="0.25">
      <c r="B1148" s="1">
        <v>36850</v>
      </c>
      <c r="C1148" s="2">
        <v>1237.5999999999999</v>
      </c>
      <c r="D1148" s="2">
        <v>1236</v>
      </c>
      <c r="E1148" s="2">
        <v>1241.75</v>
      </c>
      <c r="F1148" s="2">
        <v>1231.05</v>
      </c>
      <c r="G1148" s="3">
        <f t="shared" si="53"/>
        <v>1.2944983818770073E-3</v>
      </c>
      <c r="H1148" s="2">
        <f t="shared" si="51"/>
        <v>10.700000000000045</v>
      </c>
      <c r="I1148" s="3">
        <f t="shared" si="52"/>
        <v>8.6569579288026249E-3</v>
      </c>
    </row>
    <row r="1149" spans="2:9" x14ac:dyDescent="0.25">
      <c r="B1149" s="1">
        <v>36851</v>
      </c>
      <c r="C1149" s="2">
        <v>1235</v>
      </c>
      <c r="D1149" s="2">
        <v>1236.95</v>
      </c>
      <c r="E1149" s="2">
        <v>1237.8499999999999</v>
      </c>
      <c r="F1149" s="2">
        <v>1224.3</v>
      </c>
      <c r="G1149" s="3">
        <f t="shared" si="53"/>
        <v>-2.1008403361343353E-3</v>
      </c>
      <c r="H1149" s="2">
        <f t="shared" si="51"/>
        <v>13.549999999999955</v>
      </c>
      <c r="I1149" s="3">
        <f t="shared" si="52"/>
        <v>1.0954363555519587E-2</v>
      </c>
    </row>
    <row r="1150" spans="2:9" x14ac:dyDescent="0.25">
      <c r="B1150" s="1">
        <v>36852</v>
      </c>
      <c r="C1150" s="2">
        <v>1222.3499999999999</v>
      </c>
      <c r="D1150" s="2">
        <v>1235.8499999999999</v>
      </c>
      <c r="E1150" s="2">
        <v>1247.5</v>
      </c>
      <c r="F1150" s="2">
        <v>1220.05</v>
      </c>
      <c r="G1150" s="3">
        <f t="shared" si="53"/>
        <v>-1.0242914979757156E-2</v>
      </c>
      <c r="H1150" s="2">
        <f t="shared" si="51"/>
        <v>27.450000000000045</v>
      </c>
      <c r="I1150" s="3">
        <f t="shared" si="52"/>
        <v>2.2211433426386734E-2</v>
      </c>
    </row>
    <row r="1151" spans="2:9" x14ac:dyDescent="0.25">
      <c r="B1151" s="1">
        <v>36853</v>
      </c>
      <c r="C1151" s="2">
        <v>1216</v>
      </c>
      <c r="D1151" s="2">
        <v>1221.2</v>
      </c>
      <c r="E1151" s="2">
        <v>1223.05</v>
      </c>
      <c r="F1151" s="2">
        <v>1209.8499999999999</v>
      </c>
      <c r="G1151" s="3">
        <f t="shared" si="53"/>
        <v>-5.1949114410765329E-3</v>
      </c>
      <c r="H1151" s="2">
        <f t="shared" si="51"/>
        <v>13.200000000000045</v>
      </c>
      <c r="I1151" s="3">
        <f t="shared" si="52"/>
        <v>1.080904028824111E-2</v>
      </c>
    </row>
    <row r="1152" spans="2:9" x14ac:dyDescent="0.25">
      <c r="B1152" s="1">
        <v>36854</v>
      </c>
      <c r="C1152" s="2">
        <v>1225.2</v>
      </c>
      <c r="D1152" s="2">
        <v>1216.05</v>
      </c>
      <c r="E1152" s="2">
        <v>1230</v>
      </c>
      <c r="F1152" s="2">
        <v>1216.05</v>
      </c>
      <c r="G1152" s="3">
        <f t="shared" si="53"/>
        <v>7.5657894736842479E-3</v>
      </c>
      <c r="H1152" s="2">
        <f t="shared" si="51"/>
        <v>13.950000000000045</v>
      </c>
      <c r="I1152" s="3">
        <f t="shared" si="52"/>
        <v>1.1471567780930099E-2</v>
      </c>
    </row>
    <row r="1153" spans="2:9" x14ac:dyDescent="0.25">
      <c r="B1153" s="1">
        <v>36857</v>
      </c>
      <c r="C1153" s="2">
        <v>1252.9000000000001</v>
      </c>
      <c r="D1153" s="2">
        <v>1225.4000000000001</v>
      </c>
      <c r="E1153" s="2">
        <v>1254.45</v>
      </c>
      <c r="F1153" s="2">
        <v>1225.3499999999999</v>
      </c>
      <c r="G1153" s="3">
        <f t="shared" si="53"/>
        <v>2.2608553705517398E-2</v>
      </c>
      <c r="H1153" s="2">
        <f t="shared" si="51"/>
        <v>29.100000000000136</v>
      </c>
      <c r="I1153" s="3">
        <f t="shared" si="52"/>
        <v>2.3747347804798542E-2</v>
      </c>
    </row>
    <row r="1154" spans="2:9" x14ac:dyDescent="0.25">
      <c r="B1154" s="1">
        <v>36858</v>
      </c>
      <c r="C1154" s="2">
        <v>1272.75</v>
      </c>
      <c r="D1154" s="2">
        <v>1252.9000000000001</v>
      </c>
      <c r="E1154" s="2">
        <v>1275.45</v>
      </c>
      <c r="F1154" s="2">
        <v>1248.9000000000001</v>
      </c>
      <c r="G1154" s="3">
        <f t="shared" si="53"/>
        <v>1.5843243674674712E-2</v>
      </c>
      <c r="H1154" s="2">
        <f t="shared" si="51"/>
        <v>26.549999999999955</v>
      </c>
      <c r="I1154" s="3">
        <f t="shared" si="52"/>
        <v>2.1190837257562416E-2</v>
      </c>
    </row>
    <row r="1155" spans="2:9" x14ac:dyDescent="0.25">
      <c r="B1155" s="1">
        <v>36859</v>
      </c>
      <c r="C1155" s="2">
        <v>1264.75</v>
      </c>
      <c r="D1155" s="2">
        <v>1272.25</v>
      </c>
      <c r="E1155" s="2">
        <v>1281</v>
      </c>
      <c r="F1155" s="2">
        <v>1253.45</v>
      </c>
      <c r="G1155" s="3">
        <f t="shared" si="53"/>
        <v>-6.2856020428206927E-3</v>
      </c>
      <c r="H1155" s="2">
        <f t="shared" si="51"/>
        <v>27.549999999999955</v>
      </c>
      <c r="I1155" s="3">
        <f t="shared" si="52"/>
        <v>2.1654549027313778E-2</v>
      </c>
    </row>
    <row r="1156" spans="2:9" x14ac:dyDescent="0.25">
      <c r="B1156" s="1">
        <v>36860</v>
      </c>
      <c r="C1156" s="2">
        <v>1268.1500000000001</v>
      </c>
      <c r="D1156" s="2">
        <v>1264.75</v>
      </c>
      <c r="E1156" s="2">
        <v>1272.0999999999999</v>
      </c>
      <c r="F1156" s="2">
        <v>1258.4000000000001</v>
      </c>
      <c r="G1156" s="3">
        <f t="shared" si="53"/>
        <v>2.6882783158728163E-3</v>
      </c>
      <c r="H1156" s="2">
        <f t="shared" si="51"/>
        <v>13.699999999999818</v>
      </c>
      <c r="I1156" s="3">
        <f t="shared" si="52"/>
        <v>1.0832180272781038E-2</v>
      </c>
    </row>
    <row r="1157" spans="2:9" x14ac:dyDescent="0.25">
      <c r="B1157" s="1">
        <v>36861</v>
      </c>
      <c r="C1157" s="2">
        <v>1276.2</v>
      </c>
      <c r="D1157" s="2">
        <v>1268.0999999999999</v>
      </c>
      <c r="E1157" s="2">
        <v>1280.5</v>
      </c>
      <c r="F1157" s="2">
        <v>1255.2</v>
      </c>
      <c r="G1157" s="3">
        <f t="shared" si="53"/>
        <v>6.3478295154357767E-3</v>
      </c>
      <c r="H1157" s="2">
        <f t="shared" ref="H1157:H1220" si="54">E1157-F1157</f>
        <v>25.299999999999955</v>
      </c>
      <c r="I1157" s="3">
        <f t="shared" si="52"/>
        <v>1.9951107956785709E-2</v>
      </c>
    </row>
    <row r="1158" spans="2:9" x14ac:dyDescent="0.25">
      <c r="B1158" s="1">
        <v>36864</v>
      </c>
      <c r="C1158" s="2">
        <v>1275.5999999999999</v>
      </c>
      <c r="D1158" s="2">
        <v>1276.25</v>
      </c>
      <c r="E1158" s="2">
        <v>1290</v>
      </c>
      <c r="F1158" s="2">
        <v>1273.6500000000001</v>
      </c>
      <c r="G1158" s="3">
        <f t="shared" si="53"/>
        <v>-4.701457451811164E-4</v>
      </c>
      <c r="H1158" s="2">
        <f t="shared" si="54"/>
        <v>16.349999999999909</v>
      </c>
      <c r="I1158" s="3">
        <f t="shared" ref="I1158:I1221" si="55">H1158/D1158</f>
        <v>1.2810969637610114E-2</v>
      </c>
    </row>
    <row r="1159" spans="2:9" x14ac:dyDescent="0.25">
      <c r="B1159" s="1">
        <v>36865</v>
      </c>
      <c r="C1159" s="2">
        <v>1284.6500000000001</v>
      </c>
      <c r="D1159" s="2">
        <v>1275.7</v>
      </c>
      <c r="E1159" s="2">
        <v>1288.2</v>
      </c>
      <c r="F1159" s="2">
        <v>1275.5</v>
      </c>
      <c r="G1159" s="3">
        <f t="shared" ref="G1159:G1222" si="56">C1159/C1158-1</f>
        <v>7.0947005330825874E-3</v>
      </c>
      <c r="H1159" s="2">
        <f t="shared" si="54"/>
        <v>12.700000000000045</v>
      </c>
      <c r="I1159" s="3">
        <f t="shared" si="55"/>
        <v>9.955318648585126E-3</v>
      </c>
    </row>
    <row r="1160" spans="2:9" x14ac:dyDescent="0.25">
      <c r="B1160" s="1">
        <v>36866</v>
      </c>
      <c r="C1160" s="2">
        <v>1298.55</v>
      </c>
      <c r="D1160" s="2">
        <v>1284.8499999999999</v>
      </c>
      <c r="E1160" s="2">
        <v>1319.85</v>
      </c>
      <c r="F1160" s="2">
        <v>1284.8499999999999</v>
      </c>
      <c r="G1160" s="3">
        <f t="shared" si="56"/>
        <v>1.0820067722725923E-2</v>
      </c>
      <c r="H1160" s="2">
        <f t="shared" si="54"/>
        <v>35</v>
      </c>
      <c r="I1160" s="3">
        <f t="shared" si="55"/>
        <v>2.7240533914464727E-2</v>
      </c>
    </row>
    <row r="1161" spans="2:9" x14ac:dyDescent="0.25">
      <c r="B1161" s="1">
        <v>36867</v>
      </c>
      <c r="C1161" s="2">
        <v>1302.5</v>
      </c>
      <c r="D1161" s="2">
        <v>1298.9000000000001</v>
      </c>
      <c r="E1161" s="2">
        <v>1308.45</v>
      </c>
      <c r="F1161" s="2">
        <v>1295.0999999999999</v>
      </c>
      <c r="G1161" s="3">
        <f t="shared" si="56"/>
        <v>3.0418543760348804E-3</v>
      </c>
      <c r="H1161" s="2">
        <f t="shared" si="54"/>
        <v>13.350000000000136</v>
      </c>
      <c r="I1161" s="3">
        <f t="shared" si="55"/>
        <v>1.0277927477096108E-2</v>
      </c>
    </row>
    <row r="1162" spans="2:9" x14ac:dyDescent="0.25">
      <c r="B1162" s="1">
        <v>36868</v>
      </c>
      <c r="C1162" s="2">
        <v>1313.7</v>
      </c>
      <c r="D1162" s="2">
        <v>1303.3</v>
      </c>
      <c r="E1162" s="2">
        <v>1317.2</v>
      </c>
      <c r="F1162" s="2">
        <v>1303.3</v>
      </c>
      <c r="G1162" s="3">
        <f t="shared" si="56"/>
        <v>8.598848368522205E-3</v>
      </c>
      <c r="H1162" s="2">
        <f t="shared" si="54"/>
        <v>13.900000000000091</v>
      </c>
      <c r="I1162" s="3">
        <f t="shared" si="55"/>
        <v>1.0665234404972064E-2</v>
      </c>
    </row>
    <row r="1163" spans="2:9" x14ac:dyDescent="0.25">
      <c r="B1163" s="1">
        <v>36871</v>
      </c>
      <c r="C1163" s="2">
        <v>1332.15</v>
      </c>
      <c r="D1163" s="2">
        <v>1313.7</v>
      </c>
      <c r="E1163" s="2">
        <v>1333.5</v>
      </c>
      <c r="F1163" s="2">
        <v>1313.7</v>
      </c>
      <c r="G1163" s="3">
        <f t="shared" si="56"/>
        <v>1.4044302352135274E-2</v>
      </c>
      <c r="H1163" s="2">
        <f t="shared" si="54"/>
        <v>19.799999999999955</v>
      </c>
      <c r="I1163" s="3">
        <f t="shared" si="55"/>
        <v>1.5071934231559682E-2</v>
      </c>
    </row>
    <row r="1164" spans="2:9" x14ac:dyDescent="0.25">
      <c r="B1164" s="1">
        <v>36872</v>
      </c>
      <c r="C1164" s="2">
        <v>1333.35</v>
      </c>
      <c r="D1164" s="2">
        <v>1332.2</v>
      </c>
      <c r="E1164" s="2">
        <v>1341.75</v>
      </c>
      <c r="F1164" s="2">
        <v>1327.6</v>
      </c>
      <c r="G1164" s="3">
        <f t="shared" si="56"/>
        <v>9.0079945952026286E-4</v>
      </c>
      <c r="H1164" s="2">
        <f t="shared" si="54"/>
        <v>14.150000000000091</v>
      </c>
      <c r="I1164" s="3">
        <f t="shared" si="55"/>
        <v>1.0621528299054264E-2</v>
      </c>
    </row>
    <row r="1165" spans="2:9" x14ac:dyDescent="0.25">
      <c r="B1165" s="1">
        <v>36873</v>
      </c>
      <c r="C1165" s="2">
        <v>1354.3</v>
      </c>
      <c r="D1165" s="2">
        <v>1333.8</v>
      </c>
      <c r="E1165" s="2">
        <v>1360.8</v>
      </c>
      <c r="F1165" s="2">
        <v>1333.8</v>
      </c>
      <c r="G1165" s="3">
        <f t="shared" si="56"/>
        <v>1.5712303596205013E-2</v>
      </c>
      <c r="H1165" s="2">
        <f t="shared" si="54"/>
        <v>27</v>
      </c>
      <c r="I1165" s="3">
        <f t="shared" si="55"/>
        <v>2.0242914979757085E-2</v>
      </c>
    </row>
    <row r="1166" spans="2:9" x14ac:dyDescent="0.25">
      <c r="B1166" s="1">
        <v>36874</v>
      </c>
      <c r="C1166" s="2">
        <v>1349.35</v>
      </c>
      <c r="D1166" s="2">
        <v>1354.45</v>
      </c>
      <c r="E1166" s="2">
        <v>1369.5</v>
      </c>
      <c r="F1166" s="2">
        <v>1346.15</v>
      </c>
      <c r="G1166" s="3">
        <f t="shared" si="56"/>
        <v>-3.6550247360260801E-3</v>
      </c>
      <c r="H1166" s="2">
        <f t="shared" si="54"/>
        <v>23.349999999999909</v>
      </c>
      <c r="I1166" s="3">
        <f t="shared" si="55"/>
        <v>1.7239469895529484E-2</v>
      </c>
    </row>
    <row r="1167" spans="2:9" x14ac:dyDescent="0.25">
      <c r="B1167" s="1">
        <v>36875</v>
      </c>
      <c r="C1167" s="2">
        <v>1312.6</v>
      </c>
      <c r="D1167" s="2">
        <v>1349.25</v>
      </c>
      <c r="E1167" s="2">
        <v>1349.25</v>
      </c>
      <c r="F1167" s="2">
        <v>1308.1500000000001</v>
      </c>
      <c r="G1167" s="3">
        <f t="shared" si="56"/>
        <v>-2.7235335531922811E-2</v>
      </c>
      <c r="H1167" s="2">
        <f t="shared" si="54"/>
        <v>41.099999999999909</v>
      </c>
      <c r="I1167" s="3">
        <f t="shared" si="55"/>
        <v>3.0461367426347905E-2</v>
      </c>
    </row>
    <row r="1168" spans="2:9" x14ac:dyDescent="0.25">
      <c r="B1168" s="1">
        <v>36878</v>
      </c>
      <c r="C1168" s="2">
        <v>1317.6</v>
      </c>
      <c r="D1168" s="2">
        <v>1310.1500000000001</v>
      </c>
      <c r="E1168" s="2">
        <v>1321.65</v>
      </c>
      <c r="F1168" s="2">
        <v>1297.2</v>
      </c>
      <c r="G1168" s="3">
        <f t="shared" si="56"/>
        <v>3.8092335822033085E-3</v>
      </c>
      <c r="H1168" s="2">
        <f t="shared" si="54"/>
        <v>24.450000000000045</v>
      </c>
      <c r="I1168" s="3">
        <f t="shared" si="55"/>
        <v>1.8661985268862376E-2</v>
      </c>
    </row>
    <row r="1169" spans="2:9" x14ac:dyDescent="0.25">
      <c r="B1169" s="1">
        <v>36879</v>
      </c>
      <c r="C1169" s="2">
        <v>1310.5</v>
      </c>
      <c r="D1169" s="2">
        <v>1317.75</v>
      </c>
      <c r="E1169" s="2">
        <v>1325.6</v>
      </c>
      <c r="F1169" s="2">
        <v>1307</v>
      </c>
      <c r="G1169" s="3">
        <f t="shared" si="56"/>
        <v>-5.3885853066180101E-3</v>
      </c>
      <c r="H1169" s="2">
        <f t="shared" si="54"/>
        <v>18.599999999999909</v>
      </c>
      <c r="I1169" s="3">
        <f t="shared" si="55"/>
        <v>1.4114968696641934E-2</v>
      </c>
    </row>
    <row r="1170" spans="2:9" x14ac:dyDescent="0.25">
      <c r="B1170" s="1">
        <v>36880</v>
      </c>
      <c r="C1170" s="2">
        <v>1295.25</v>
      </c>
      <c r="D1170" s="2">
        <v>1312.8</v>
      </c>
      <c r="E1170" s="2">
        <v>1313.4</v>
      </c>
      <c r="F1170" s="2">
        <v>1285.45</v>
      </c>
      <c r="G1170" s="3">
        <f t="shared" si="56"/>
        <v>-1.163677985501721E-2</v>
      </c>
      <c r="H1170" s="2">
        <f t="shared" si="54"/>
        <v>27.950000000000045</v>
      </c>
      <c r="I1170" s="3">
        <f t="shared" si="55"/>
        <v>2.1290371724558232E-2</v>
      </c>
    </row>
    <row r="1171" spans="2:9" x14ac:dyDescent="0.25">
      <c r="B1171" s="1">
        <v>36881</v>
      </c>
      <c r="C1171" s="2">
        <v>1277.4000000000001</v>
      </c>
      <c r="D1171" s="2">
        <v>1294.25</v>
      </c>
      <c r="E1171" s="2">
        <v>1294.25</v>
      </c>
      <c r="F1171" s="2">
        <v>1257.0999999999999</v>
      </c>
      <c r="G1171" s="3">
        <f t="shared" si="56"/>
        <v>-1.3781123335263379E-2</v>
      </c>
      <c r="H1171" s="2">
        <f t="shared" si="54"/>
        <v>37.150000000000091</v>
      </c>
      <c r="I1171" s="3">
        <f t="shared" si="55"/>
        <v>2.8703882557465785E-2</v>
      </c>
    </row>
    <row r="1172" spans="2:9" x14ac:dyDescent="0.25">
      <c r="B1172" s="1">
        <v>36882</v>
      </c>
      <c r="C1172" s="2">
        <v>1242</v>
      </c>
      <c r="D1172" s="2">
        <v>1278.95</v>
      </c>
      <c r="E1172" s="2">
        <v>1292.8</v>
      </c>
      <c r="F1172" s="2">
        <v>1237.3</v>
      </c>
      <c r="G1172" s="3">
        <f t="shared" si="56"/>
        <v>-2.771254109910759E-2</v>
      </c>
      <c r="H1172" s="2">
        <f t="shared" si="54"/>
        <v>55.5</v>
      </c>
      <c r="I1172" s="3">
        <f t="shared" si="55"/>
        <v>4.3394972438328315E-2</v>
      </c>
    </row>
    <row r="1173" spans="2:9" x14ac:dyDescent="0.25">
      <c r="B1173" s="1">
        <v>36886</v>
      </c>
      <c r="C1173" s="2">
        <v>1212</v>
      </c>
      <c r="D1173" s="2">
        <v>1242.05</v>
      </c>
      <c r="E1173" s="2">
        <v>1248.5</v>
      </c>
      <c r="F1173" s="2">
        <v>1207.95</v>
      </c>
      <c r="G1173" s="3">
        <f t="shared" si="56"/>
        <v>-2.4154589371980673E-2</v>
      </c>
      <c r="H1173" s="2">
        <f t="shared" si="54"/>
        <v>40.549999999999955</v>
      </c>
      <c r="I1173" s="3">
        <f t="shared" si="55"/>
        <v>3.2647638983937806E-2</v>
      </c>
    </row>
    <row r="1174" spans="2:9" x14ac:dyDescent="0.25">
      <c r="B1174" s="1">
        <v>36887</v>
      </c>
      <c r="C1174" s="2">
        <v>1228.3</v>
      </c>
      <c r="D1174" s="2">
        <v>1212.1500000000001</v>
      </c>
      <c r="E1174" s="2">
        <v>1239</v>
      </c>
      <c r="F1174" s="2">
        <v>1208.75</v>
      </c>
      <c r="G1174" s="3">
        <f t="shared" si="56"/>
        <v>1.3448844884488498E-2</v>
      </c>
      <c r="H1174" s="2">
        <f t="shared" si="54"/>
        <v>30.25</v>
      </c>
      <c r="I1174" s="3">
        <f t="shared" si="55"/>
        <v>2.4955657303139048E-2</v>
      </c>
    </row>
    <row r="1175" spans="2:9" x14ac:dyDescent="0.25">
      <c r="B1175" s="1">
        <v>36888</v>
      </c>
      <c r="C1175" s="2">
        <v>1248.95</v>
      </c>
      <c r="D1175" s="2">
        <v>1229.3499999999999</v>
      </c>
      <c r="E1175" s="2">
        <v>1253.5999999999999</v>
      </c>
      <c r="F1175" s="2">
        <v>1229.3499999999999</v>
      </c>
      <c r="G1175" s="3">
        <f t="shared" si="56"/>
        <v>1.6811853781649511E-2</v>
      </c>
      <c r="H1175" s="2">
        <f t="shared" si="54"/>
        <v>24.25</v>
      </c>
      <c r="I1175" s="3">
        <f t="shared" si="55"/>
        <v>1.9725871395452885E-2</v>
      </c>
    </row>
    <row r="1176" spans="2:9" x14ac:dyDescent="0.25">
      <c r="B1176" s="1">
        <v>36889</v>
      </c>
      <c r="C1176" s="2">
        <v>1263.55</v>
      </c>
      <c r="D1176" s="2">
        <v>1249</v>
      </c>
      <c r="E1176" s="2">
        <v>1265.9000000000001</v>
      </c>
      <c r="F1176" s="2">
        <v>1242.25</v>
      </c>
      <c r="G1176" s="3">
        <f t="shared" si="56"/>
        <v>1.168981944833658E-2</v>
      </c>
      <c r="H1176" s="2">
        <f t="shared" si="54"/>
        <v>23.650000000000091</v>
      </c>
      <c r="I1176" s="3">
        <f t="shared" si="55"/>
        <v>1.8935148118494869E-2</v>
      </c>
    </row>
    <row r="1177" spans="2:9" x14ac:dyDescent="0.25">
      <c r="B1177" s="1">
        <v>36892</v>
      </c>
      <c r="C1177" s="2">
        <v>1254.3</v>
      </c>
      <c r="D1177" s="2">
        <v>1263.5</v>
      </c>
      <c r="E1177" s="2">
        <v>1276.1500000000001</v>
      </c>
      <c r="F1177" s="2">
        <v>1250.6500000000001</v>
      </c>
      <c r="G1177" s="3">
        <f t="shared" si="56"/>
        <v>-7.3206442166910968E-3</v>
      </c>
      <c r="H1177" s="2">
        <f t="shared" si="54"/>
        <v>25.5</v>
      </c>
      <c r="I1177" s="3">
        <f t="shared" si="55"/>
        <v>2.0182034032449545E-2</v>
      </c>
    </row>
    <row r="1178" spans="2:9" x14ac:dyDescent="0.25">
      <c r="B1178" s="1">
        <v>36893</v>
      </c>
      <c r="C1178" s="2">
        <v>1271.8</v>
      </c>
      <c r="D1178" s="2">
        <v>1254.25</v>
      </c>
      <c r="E1178" s="2">
        <v>1279.5999999999999</v>
      </c>
      <c r="F1178" s="2">
        <v>1248.55</v>
      </c>
      <c r="G1178" s="3">
        <f t="shared" si="56"/>
        <v>1.395200510244754E-2</v>
      </c>
      <c r="H1178" s="2">
        <f t="shared" si="54"/>
        <v>31.049999999999955</v>
      </c>
      <c r="I1178" s="3">
        <f t="shared" si="55"/>
        <v>2.4755830177396815E-2</v>
      </c>
    </row>
    <row r="1179" spans="2:9" x14ac:dyDescent="0.25">
      <c r="B1179" s="1">
        <v>36894</v>
      </c>
      <c r="C1179" s="2">
        <v>1291.25</v>
      </c>
      <c r="D1179" s="2">
        <v>1271.8</v>
      </c>
      <c r="E1179" s="2">
        <v>1293.55</v>
      </c>
      <c r="F1179" s="2">
        <v>1263.95</v>
      </c>
      <c r="G1179" s="3">
        <f t="shared" si="56"/>
        <v>1.5293285107721433E-2</v>
      </c>
      <c r="H1179" s="2">
        <f t="shared" si="54"/>
        <v>29.599999999999909</v>
      </c>
      <c r="I1179" s="3">
        <f t="shared" si="55"/>
        <v>2.3274099701210811E-2</v>
      </c>
    </row>
    <row r="1180" spans="2:9" x14ac:dyDescent="0.25">
      <c r="B1180" s="1">
        <v>36895</v>
      </c>
      <c r="C1180" s="2">
        <v>1307.6500000000001</v>
      </c>
      <c r="D1180" s="2">
        <v>1291.3</v>
      </c>
      <c r="E1180" s="2">
        <v>1331.35</v>
      </c>
      <c r="F1180" s="2">
        <v>1291.3</v>
      </c>
      <c r="G1180" s="3">
        <f t="shared" si="56"/>
        <v>1.2700871248789936E-2</v>
      </c>
      <c r="H1180" s="2">
        <f t="shared" si="54"/>
        <v>40.049999999999955</v>
      </c>
      <c r="I1180" s="3">
        <f t="shared" si="55"/>
        <v>3.1015255943622672E-2</v>
      </c>
    </row>
    <row r="1181" spans="2:9" x14ac:dyDescent="0.25">
      <c r="B1181" s="1">
        <v>36896</v>
      </c>
      <c r="C1181" s="2">
        <v>1327.25</v>
      </c>
      <c r="D1181" s="2">
        <v>1307.55</v>
      </c>
      <c r="E1181" s="2">
        <v>1330.3</v>
      </c>
      <c r="F1181" s="2">
        <v>1306.25</v>
      </c>
      <c r="G1181" s="3">
        <f t="shared" si="56"/>
        <v>1.4988720223301222E-2</v>
      </c>
      <c r="H1181" s="2">
        <f t="shared" si="54"/>
        <v>24.049999999999955</v>
      </c>
      <c r="I1181" s="3">
        <f t="shared" si="55"/>
        <v>1.8393178081144091E-2</v>
      </c>
    </row>
    <row r="1182" spans="2:9" x14ac:dyDescent="0.25">
      <c r="B1182" s="1">
        <v>36899</v>
      </c>
      <c r="C1182" s="2">
        <v>1309.25</v>
      </c>
      <c r="D1182" s="2">
        <v>1327.35</v>
      </c>
      <c r="E1182" s="2">
        <v>1334.2</v>
      </c>
      <c r="F1182" s="2">
        <v>1303.3499999999999</v>
      </c>
      <c r="G1182" s="3">
        <f t="shared" si="56"/>
        <v>-1.3561876059521527E-2</v>
      </c>
      <c r="H1182" s="2">
        <f t="shared" si="54"/>
        <v>30.850000000000136</v>
      </c>
      <c r="I1182" s="3">
        <f t="shared" si="55"/>
        <v>2.3241797566580132E-2</v>
      </c>
    </row>
    <row r="1183" spans="2:9" x14ac:dyDescent="0.25">
      <c r="B1183" s="1">
        <v>36900</v>
      </c>
      <c r="C1183" s="2">
        <v>1311.65</v>
      </c>
      <c r="D1183" s="2">
        <v>1309.2</v>
      </c>
      <c r="E1183" s="2">
        <v>1323.4</v>
      </c>
      <c r="F1183" s="2">
        <v>1304.9000000000001</v>
      </c>
      <c r="G1183" s="3">
        <f t="shared" si="56"/>
        <v>1.8331105594806552E-3</v>
      </c>
      <c r="H1183" s="2">
        <f t="shared" si="54"/>
        <v>18.5</v>
      </c>
      <c r="I1183" s="3">
        <f t="shared" si="55"/>
        <v>1.4130766880537732E-2</v>
      </c>
    </row>
    <row r="1184" spans="2:9" x14ac:dyDescent="0.25">
      <c r="B1184" s="1">
        <v>36901</v>
      </c>
      <c r="C1184" s="2">
        <v>1287.3</v>
      </c>
      <c r="D1184" s="2">
        <v>1311.65</v>
      </c>
      <c r="E1184" s="2">
        <v>1324.35</v>
      </c>
      <c r="F1184" s="2">
        <v>1285.3</v>
      </c>
      <c r="G1184" s="3">
        <f t="shared" si="56"/>
        <v>-1.8564403613768987E-2</v>
      </c>
      <c r="H1184" s="2">
        <f t="shared" si="54"/>
        <v>39.049999999999955</v>
      </c>
      <c r="I1184" s="3">
        <f t="shared" si="55"/>
        <v>2.9771661647543135E-2</v>
      </c>
    </row>
    <row r="1185" spans="2:9" x14ac:dyDescent="0.25">
      <c r="B1185" s="1">
        <v>36902</v>
      </c>
      <c r="C1185" s="2">
        <v>1280.4000000000001</v>
      </c>
      <c r="D1185" s="2">
        <v>1287.5</v>
      </c>
      <c r="E1185" s="2">
        <v>1296.75</v>
      </c>
      <c r="F1185" s="2">
        <v>1275.95</v>
      </c>
      <c r="G1185" s="3">
        <f t="shared" si="56"/>
        <v>-5.3600559310182927E-3</v>
      </c>
      <c r="H1185" s="2">
        <f t="shared" si="54"/>
        <v>20.799999999999955</v>
      </c>
      <c r="I1185" s="3">
        <f t="shared" si="55"/>
        <v>1.6155339805825206E-2</v>
      </c>
    </row>
    <row r="1186" spans="2:9" x14ac:dyDescent="0.25">
      <c r="B1186" s="1">
        <v>36903</v>
      </c>
      <c r="C1186" s="2">
        <v>1286.75</v>
      </c>
      <c r="D1186" s="2">
        <v>1280.45</v>
      </c>
      <c r="E1186" s="2">
        <v>1298.8499999999999</v>
      </c>
      <c r="F1186" s="2">
        <v>1279.4000000000001</v>
      </c>
      <c r="G1186" s="3">
        <f t="shared" si="56"/>
        <v>4.9593876913462953E-3</v>
      </c>
      <c r="H1186" s="2">
        <f t="shared" si="54"/>
        <v>19.449999999999818</v>
      </c>
      <c r="I1186" s="3">
        <f t="shared" si="55"/>
        <v>1.5189972275371798E-2</v>
      </c>
    </row>
    <row r="1187" spans="2:9" x14ac:dyDescent="0.25">
      <c r="B1187" s="1">
        <v>36906</v>
      </c>
      <c r="C1187" s="2">
        <v>1286.75</v>
      </c>
      <c r="D1187" s="2">
        <v>1286.8499999999999</v>
      </c>
      <c r="E1187" s="2">
        <v>1295.2</v>
      </c>
      <c r="F1187" s="2">
        <v>1277.8499999999999</v>
      </c>
      <c r="G1187" s="3">
        <f t="shared" si="56"/>
        <v>0</v>
      </c>
      <c r="H1187" s="2">
        <f t="shared" si="54"/>
        <v>17.350000000000136</v>
      </c>
      <c r="I1187" s="3">
        <f t="shared" si="55"/>
        <v>1.3482534871974308E-2</v>
      </c>
    </row>
    <row r="1188" spans="2:9" x14ac:dyDescent="0.25">
      <c r="B1188" s="1">
        <v>36907</v>
      </c>
      <c r="C1188" s="2">
        <v>1293.05</v>
      </c>
      <c r="D1188" s="2">
        <v>1287</v>
      </c>
      <c r="E1188" s="2">
        <v>1302.5999999999999</v>
      </c>
      <c r="F1188" s="2">
        <v>1279.8499999999999</v>
      </c>
      <c r="G1188" s="3">
        <f t="shared" si="56"/>
        <v>4.8960559549251492E-3</v>
      </c>
      <c r="H1188" s="2">
        <f t="shared" si="54"/>
        <v>22.75</v>
      </c>
      <c r="I1188" s="3">
        <f t="shared" si="55"/>
        <v>1.7676767676767676E-2</v>
      </c>
    </row>
    <row r="1189" spans="2:9" x14ac:dyDescent="0.25">
      <c r="B1189" s="1">
        <v>36908</v>
      </c>
      <c r="C1189" s="2">
        <v>1297.9000000000001</v>
      </c>
      <c r="D1189" s="2">
        <v>1299.4000000000001</v>
      </c>
      <c r="E1189" s="2">
        <v>1312.35</v>
      </c>
      <c r="F1189" s="2">
        <v>1295.3</v>
      </c>
      <c r="G1189" s="3">
        <f t="shared" si="56"/>
        <v>3.7508217006303468E-3</v>
      </c>
      <c r="H1189" s="2">
        <f t="shared" si="54"/>
        <v>17.049999999999955</v>
      </c>
      <c r="I1189" s="3">
        <f t="shared" si="55"/>
        <v>1.3121440664922235E-2</v>
      </c>
    </row>
    <row r="1190" spans="2:9" x14ac:dyDescent="0.25">
      <c r="B1190" s="1">
        <v>36909</v>
      </c>
      <c r="C1190" s="2">
        <v>1305.95</v>
      </c>
      <c r="D1190" s="2">
        <v>1297.95</v>
      </c>
      <c r="E1190" s="2">
        <v>1309.95</v>
      </c>
      <c r="F1190" s="2">
        <v>1297.95</v>
      </c>
      <c r="G1190" s="3">
        <f t="shared" si="56"/>
        <v>6.2023268356574679E-3</v>
      </c>
      <c r="H1190" s="2">
        <f t="shared" si="54"/>
        <v>12</v>
      </c>
      <c r="I1190" s="3">
        <f t="shared" si="55"/>
        <v>9.2453484340691092E-3</v>
      </c>
    </row>
    <row r="1191" spans="2:9" x14ac:dyDescent="0.25">
      <c r="B1191" s="1">
        <v>36910</v>
      </c>
      <c r="C1191" s="2">
        <v>1329.1</v>
      </c>
      <c r="D1191" s="2">
        <v>1306</v>
      </c>
      <c r="E1191" s="2">
        <v>1333.5</v>
      </c>
      <c r="F1191" s="2">
        <v>1306</v>
      </c>
      <c r="G1191" s="3">
        <f t="shared" si="56"/>
        <v>1.772655920977062E-2</v>
      </c>
      <c r="H1191" s="2">
        <f t="shared" si="54"/>
        <v>27.5</v>
      </c>
      <c r="I1191" s="3">
        <f t="shared" si="55"/>
        <v>2.1056661562021441E-2</v>
      </c>
    </row>
    <row r="1192" spans="2:9" x14ac:dyDescent="0.25">
      <c r="B1192" s="1">
        <v>36913</v>
      </c>
      <c r="C1192" s="2">
        <v>1348</v>
      </c>
      <c r="D1192" s="2">
        <v>1329.3</v>
      </c>
      <c r="E1192" s="2">
        <v>1351.85</v>
      </c>
      <c r="F1192" s="2">
        <v>1329.3</v>
      </c>
      <c r="G1192" s="3">
        <f t="shared" si="56"/>
        <v>1.4220148972989399E-2</v>
      </c>
      <c r="H1192" s="2">
        <f t="shared" si="54"/>
        <v>22.549999999999955</v>
      </c>
      <c r="I1192" s="3">
        <f t="shared" si="55"/>
        <v>1.6963815542014562E-2</v>
      </c>
    </row>
    <row r="1193" spans="2:9" x14ac:dyDescent="0.25">
      <c r="B1193" s="1">
        <v>36914</v>
      </c>
      <c r="C1193" s="2">
        <v>1355.2</v>
      </c>
      <c r="D1193" s="2">
        <v>1347.95</v>
      </c>
      <c r="E1193" s="2">
        <v>1362.05</v>
      </c>
      <c r="F1193" s="2">
        <v>1346.5</v>
      </c>
      <c r="G1193" s="3">
        <f t="shared" si="56"/>
        <v>5.3412462908011271E-3</v>
      </c>
      <c r="H1193" s="2">
        <f t="shared" si="54"/>
        <v>15.549999999999955</v>
      </c>
      <c r="I1193" s="3">
        <f t="shared" si="55"/>
        <v>1.1536036203123228E-2</v>
      </c>
    </row>
    <row r="1194" spans="2:9" x14ac:dyDescent="0.25">
      <c r="B1194" s="1">
        <v>36915</v>
      </c>
      <c r="C1194" s="2">
        <v>1365.95</v>
      </c>
      <c r="D1194" s="2">
        <v>1355.35</v>
      </c>
      <c r="E1194" s="2">
        <v>1371.1</v>
      </c>
      <c r="F1194" s="2">
        <v>1355.35</v>
      </c>
      <c r="G1194" s="3">
        <f t="shared" si="56"/>
        <v>7.9324085005902933E-3</v>
      </c>
      <c r="H1194" s="2">
        <f t="shared" si="54"/>
        <v>15.75</v>
      </c>
      <c r="I1194" s="3">
        <f t="shared" si="55"/>
        <v>1.1620614601394474E-2</v>
      </c>
    </row>
    <row r="1195" spans="2:9" x14ac:dyDescent="0.25">
      <c r="B1195" s="1">
        <v>36916</v>
      </c>
      <c r="C1195" s="2">
        <v>1370.1</v>
      </c>
      <c r="D1195" s="2">
        <v>1366.05</v>
      </c>
      <c r="E1195" s="2">
        <v>1374.2</v>
      </c>
      <c r="F1195" s="2">
        <v>1353.5</v>
      </c>
      <c r="G1195" s="3">
        <f t="shared" si="56"/>
        <v>3.0381785570481323E-3</v>
      </c>
      <c r="H1195" s="2">
        <f t="shared" si="54"/>
        <v>20.700000000000045</v>
      </c>
      <c r="I1195" s="3">
        <f t="shared" si="55"/>
        <v>1.5153178873394126E-2</v>
      </c>
    </row>
    <row r="1196" spans="2:9" x14ac:dyDescent="0.25">
      <c r="B1196" s="1">
        <v>36920</v>
      </c>
      <c r="C1196" s="2">
        <v>1342.05</v>
      </c>
      <c r="D1196" s="2">
        <v>1368.55</v>
      </c>
      <c r="E1196" s="2">
        <v>1368.55</v>
      </c>
      <c r="F1196" s="2">
        <v>1312.1</v>
      </c>
      <c r="G1196" s="3">
        <f t="shared" si="56"/>
        <v>-2.0472958178235134E-2</v>
      </c>
      <c r="H1196" s="2">
        <f t="shared" si="54"/>
        <v>56.450000000000045</v>
      </c>
      <c r="I1196" s="3">
        <f t="shared" si="55"/>
        <v>4.1248036242738699E-2</v>
      </c>
    </row>
    <row r="1197" spans="2:9" x14ac:dyDescent="0.25">
      <c r="B1197" s="1">
        <v>36921</v>
      </c>
      <c r="C1197" s="2">
        <v>1379.7</v>
      </c>
      <c r="D1197" s="2">
        <v>1342.1</v>
      </c>
      <c r="E1197" s="2">
        <v>1382.55</v>
      </c>
      <c r="F1197" s="2">
        <v>1342.05</v>
      </c>
      <c r="G1197" s="3">
        <f t="shared" si="56"/>
        <v>2.8054096345143664E-2</v>
      </c>
      <c r="H1197" s="2">
        <f t="shared" si="54"/>
        <v>40.5</v>
      </c>
      <c r="I1197" s="3">
        <f t="shared" si="55"/>
        <v>3.017658892779972E-2</v>
      </c>
    </row>
    <row r="1198" spans="2:9" x14ac:dyDescent="0.25">
      <c r="B1198" s="1">
        <v>36922</v>
      </c>
      <c r="C1198" s="2">
        <v>1371.7</v>
      </c>
      <c r="D1198" s="2">
        <v>1385.85</v>
      </c>
      <c r="E1198" s="2">
        <v>1396.05</v>
      </c>
      <c r="F1198" s="2">
        <v>1369</v>
      </c>
      <c r="G1198" s="3">
        <f t="shared" si="56"/>
        <v>-5.7983619627455241E-3</v>
      </c>
      <c r="H1198" s="2">
        <f t="shared" si="54"/>
        <v>27.049999999999955</v>
      </c>
      <c r="I1198" s="3">
        <f t="shared" si="55"/>
        <v>1.951870693076448E-2</v>
      </c>
    </row>
    <row r="1199" spans="2:9" x14ac:dyDescent="0.25">
      <c r="B1199" s="1">
        <v>36923</v>
      </c>
      <c r="C1199" s="2">
        <v>1359.15</v>
      </c>
      <c r="D1199" s="2">
        <v>1371.5</v>
      </c>
      <c r="E1199" s="2">
        <v>1373.5</v>
      </c>
      <c r="F1199" s="2">
        <v>1340.95</v>
      </c>
      <c r="G1199" s="3">
        <f t="shared" si="56"/>
        <v>-9.1492308813879708E-3</v>
      </c>
      <c r="H1199" s="2">
        <f t="shared" si="54"/>
        <v>32.549999999999955</v>
      </c>
      <c r="I1199" s="3">
        <f t="shared" si="55"/>
        <v>2.3733138899015644E-2</v>
      </c>
    </row>
    <row r="1200" spans="2:9" x14ac:dyDescent="0.25">
      <c r="B1200" s="1">
        <v>36924</v>
      </c>
      <c r="C1200" s="2">
        <v>1378.85</v>
      </c>
      <c r="D1200" s="2">
        <v>1359.1</v>
      </c>
      <c r="E1200" s="2">
        <v>1384.9</v>
      </c>
      <c r="F1200" s="2">
        <v>1355.3</v>
      </c>
      <c r="G1200" s="3">
        <f t="shared" si="56"/>
        <v>1.4494353088327028E-2</v>
      </c>
      <c r="H1200" s="2">
        <f t="shared" si="54"/>
        <v>29.600000000000136</v>
      </c>
      <c r="I1200" s="3">
        <f t="shared" si="55"/>
        <v>2.1779118534324286E-2</v>
      </c>
    </row>
    <row r="1201" spans="2:9" x14ac:dyDescent="0.25">
      <c r="B1201" s="1">
        <v>36927</v>
      </c>
      <c r="C1201" s="2">
        <v>1382.6</v>
      </c>
      <c r="D1201" s="2">
        <v>1378.8</v>
      </c>
      <c r="E1201" s="2">
        <v>1392.15</v>
      </c>
      <c r="F1201" s="2">
        <v>1373.45</v>
      </c>
      <c r="G1201" s="3">
        <f t="shared" si="56"/>
        <v>2.7196576857526633E-3</v>
      </c>
      <c r="H1201" s="2">
        <f t="shared" si="54"/>
        <v>18.700000000000045</v>
      </c>
      <c r="I1201" s="3">
        <f t="shared" si="55"/>
        <v>1.3562518131708766E-2</v>
      </c>
    </row>
    <row r="1202" spans="2:9" x14ac:dyDescent="0.25">
      <c r="B1202" s="1">
        <v>36928</v>
      </c>
      <c r="C1202" s="2">
        <v>1387.1</v>
      </c>
      <c r="D1202" s="2">
        <v>1382.7</v>
      </c>
      <c r="E1202" s="2">
        <v>1395.4</v>
      </c>
      <c r="F1202" s="2">
        <v>1382.7</v>
      </c>
      <c r="G1202" s="3">
        <f t="shared" si="56"/>
        <v>3.2547374511788796E-3</v>
      </c>
      <c r="H1202" s="2">
        <f t="shared" si="54"/>
        <v>12.700000000000045</v>
      </c>
      <c r="I1202" s="3">
        <f t="shared" si="55"/>
        <v>9.1849280393433465E-3</v>
      </c>
    </row>
    <row r="1203" spans="2:9" x14ac:dyDescent="0.25">
      <c r="B1203" s="1">
        <v>36929</v>
      </c>
      <c r="C1203" s="2">
        <v>1370.8</v>
      </c>
      <c r="D1203" s="2">
        <v>1387.3</v>
      </c>
      <c r="E1203" s="2">
        <v>1391.85</v>
      </c>
      <c r="F1203" s="2">
        <v>1368.05</v>
      </c>
      <c r="G1203" s="3">
        <f t="shared" si="56"/>
        <v>-1.1751135462475637E-2</v>
      </c>
      <c r="H1203" s="2">
        <f t="shared" si="54"/>
        <v>23.799999999999955</v>
      </c>
      <c r="I1203" s="3">
        <f t="shared" si="55"/>
        <v>1.7155626036185364E-2</v>
      </c>
    </row>
    <row r="1204" spans="2:9" x14ac:dyDescent="0.25">
      <c r="B1204" s="1">
        <v>36930</v>
      </c>
      <c r="C1204" s="2">
        <v>1395.5</v>
      </c>
      <c r="D1204" s="2">
        <v>1370.65</v>
      </c>
      <c r="E1204" s="2">
        <v>1396.8</v>
      </c>
      <c r="F1204" s="2">
        <v>1365.05</v>
      </c>
      <c r="G1204" s="3">
        <f t="shared" si="56"/>
        <v>1.8018675226145309E-2</v>
      </c>
      <c r="H1204" s="2">
        <f t="shared" si="54"/>
        <v>31.75</v>
      </c>
      <c r="I1204" s="3">
        <f t="shared" si="55"/>
        <v>2.3164192171597417E-2</v>
      </c>
    </row>
    <row r="1205" spans="2:9" x14ac:dyDescent="0.25">
      <c r="B1205" s="1">
        <v>36931</v>
      </c>
      <c r="C1205" s="2">
        <v>1405.7</v>
      </c>
      <c r="D1205" s="2">
        <v>1395.55</v>
      </c>
      <c r="E1205" s="2">
        <v>1416.3</v>
      </c>
      <c r="F1205" s="2">
        <v>1395.55</v>
      </c>
      <c r="G1205" s="3">
        <f t="shared" si="56"/>
        <v>7.3092081691150668E-3</v>
      </c>
      <c r="H1205" s="2">
        <f t="shared" si="54"/>
        <v>20.75</v>
      </c>
      <c r="I1205" s="3">
        <f t="shared" si="55"/>
        <v>1.4868689763892372E-2</v>
      </c>
    </row>
    <row r="1206" spans="2:9" x14ac:dyDescent="0.25">
      <c r="B1206" s="1">
        <v>36934</v>
      </c>
      <c r="C1206" s="2">
        <v>1402.2</v>
      </c>
      <c r="D1206" s="2">
        <v>1405.7</v>
      </c>
      <c r="E1206" s="2">
        <v>1416.45</v>
      </c>
      <c r="F1206" s="2">
        <v>1397.6</v>
      </c>
      <c r="G1206" s="3">
        <f t="shared" si="56"/>
        <v>-2.4898627018566932E-3</v>
      </c>
      <c r="H1206" s="2">
        <f t="shared" si="54"/>
        <v>18.850000000000136</v>
      </c>
      <c r="I1206" s="3">
        <f t="shared" si="55"/>
        <v>1.3409689122857036E-2</v>
      </c>
    </row>
    <row r="1207" spans="2:9" x14ac:dyDescent="0.25">
      <c r="B1207" s="1">
        <v>36935</v>
      </c>
      <c r="C1207" s="2">
        <v>1391.2</v>
      </c>
      <c r="D1207" s="2">
        <v>1402.2</v>
      </c>
      <c r="E1207" s="2">
        <v>1412.7</v>
      </c>
      <c r="F1207" s="2">
        <v>1386.65</v>
      </c>
      <c r="G1207" s="3">
        <f t="shared" si="56"/>
        <v>-7.8448152902581558E-3</v>
      </c>
      <c r="H1207" s="2">
        <f t="shared" si="54"/>
        <v>26.049999999999955</v>
      </c>
      <c r="I1207" s="3">
        <f t="shared" si="55"/>
        <v>1.8577948937384077E-2</v>
      </c>
    </row>
    <row r="1208" spans="2:9" x14ac:dyDescent="0.25">
      <c r="B1208" s="1">
        <v>36936</v>
      </c>
      <c r="C1208" s="2">
        <v>1393.35</v>
      </c>
      <c r="D1208" s="2">
        <v>1393.15</v>
      </c>
      <c r="E1208" s="2">
        <v>1396.35</v>
      </c>
      <c r="F1208" s="2">
        <v>1380.65</v>
      </c>
      <c r="G1208" s="3">
        <f t="shared" si="56"/>
        <v>1.5454284071303448E-3</v>
      </c>
      <c r="H1208" s="2">
        <f t="shared" si="54"/>
        <v>15.699999999999818</v>
      </c>
      <c r="I1208" s="3">
        <f t="shared" si="55"/>
        <v>1.1269425402863882E-2</v>
      </c>
    </row>
    <row r="1209" spans="2:9" x14ac:dyDescent="0.25">
      <c r="B1209" s="1">
        <v>36937</v>
      </c>
      <c r="C1209" s="2">
        <v>1416.7</v>
      </c>
      <c r="D1209" s="2">
        <v>1393.35</v>
      </c>
      <c r="E1209" s="2">
        <v>1421</v>
      </c>
      <c r="F1209" s="2">
        <v>1393.35</v>
      </c>
      <c r="G1209" s="3">
        <f t="shared" si="56"/>
        <v>1.675817274912994E-2</v>
      </c>
      <c r="H1209" s="2">
        <f t="shared" si="54"/>
        <v>27.650000000000091</v>
      </c>
      <c r="I1209" s="3">
        <f t="shared" si="55"/>
        <v>1.9844260236121646E-2</v>
      </c>
    </row>
    <row r="1210" spans="2:9" x14ac:dyDescent="0.25">
      <c r="B1210" s="1">
        <v>36938</v>
      </c>
      <c r="C1210" s="2">
        <v>1381.35</v>
      </c>
      <c r="D1210" s="2">
        <v>1415.85</v>
      </c>
      <c r="E1210" s="2">
        <v>1422.95</v>
      </c>
      <c r="F1210" s="2">
        <v>1376.15</v>
      </c>
      <c r="G1210" s="3">
        <f t="shared" si="56"/>
        <v>-2.4952354062257487E-2</v>
      </c>
      <c r="H1210" s="2">
        <f t="shared" si="54"/>
        <v>46.799999999999955</v>
      </c>
      <c r="I1210" s="3">
        <f t="shared" si="55"/>
        <v>3.3054348977645906E-2</v>
      </c>
    </row>
    <row r="1211" spans="2:9" x14ac:dyDescent="0.25">
      <c r="B1211" s="1">
        <v>36941</v>
      </c>
      <c r="C1211" s="2">
        <v>1384.8</v>
      </c>
      <c r="D1211" s="2">
        <v>1381.4</v>
      </c>
      <c r="E1211" s="2">
        <v>1392.05</v>
      </c>
      <c r="F1211" s="2">
        <v>1369.45</v>
      </c>
      <c r="G1211" s="3">
        <f t="shared" si="56"/>
        <v>2.497556737973694E-3</v>
      </c>
      <c r="H1211" s="2">
        <f t="shared" si="54"/>
        <v>22.599999999999909</v>
      </c>
      <c r="I1211" s="3">
        <f t="shared" si="55"/>
        <v>1.6360214275372743E-2</v>
      </c>
    </row>
    <row r="1212" spans="2:9" x14ac:dyDescent="0.25">
      <c r="B1212" s="1">
        <v>36942</v>
      </c>
      <c r="C1212" s="2">
        <v>1383.85</v>
      </c>
      <c r="D1212" s="2">
        <v>1384.85</v>
      </c>
      <c r="E1212" s="2">
        <v>1392.8</v>
      </c>
      <c r="F1212" s="2">
        <v>1380.4</v>
      </c>
      <c r="G1212" s="3">
        <f t="shared" si="56"/>
        <v>-6.8601964182557484E-4</v>
      </c>
      <c r="H1212" s="2">
        <f t="shared" si="54"/>
        <v>12.399999999999864</v>
      </c>
      <c r="I1212" s="3">
        <f t="shared" si="55"/>
        <v>8.9540383435028088E-3</v>
      </c>
    </row>
    <row r="1213" spans="2:9" x14ac:dyDescent="0.25">
      <c r="B1213" s="1">
        <v>36943</v>
      </c>
      <c r="C1213" s="2">
        <v>1370.1</v>
      </c>
      <c r="D1213" s="2">
        <v>1383.9</v>
      </c>
      <c r="E1213" s="2">
        <v>1389.55</v>
      </c>
      <c r="F1213" s="2">
        <v>1364.25</v>
      </c>
      <c r="G1213" s="3">
        <f t="shared" si="56"/>
        <v>-9.9360479820790326E-3</v>
      </c>
      <c r="H1213" s="2">
        <f t="shared" si="54"/>
        <v>25.299999999999955</v>
      </c>
      <c r="I1213" s="3">
        <f t="shared" si="55"/>
        <v>1.8281667750559977E-2</v>
      </c>
    </row>
    <row r="1214" spans="2:9" x14ac:dyDescent="0.25">
      <c r="B1214" s="1">
        <v>36944</v>
      </c>
      <c r="C1214" s="2">
        <v>1355.1</v>
      </c>
      <c r="D1214" s="2">
        <v>1370.05</v>
      </c>
      <c r="E1214" s="2">
        <v>1370.05</v>
      </c>
      <c r="F1214" s="2">
        <v>1335.65</v>
      </c>
      <c r="G1214" s="3">
        <f t="shared" si="56"/>
        <v>-1.0948105977665823E-2</v>
      </c>
      <c r="H1214" s="2">
        <f t="shared" si="54"/>
        <v>34.399999999999864</v>
      </c>
      <c r="I1214" s="3">
        <f t="shared" si="55"/>
        <v>2.5108572679829105E-2</v>
      </c>
    </row>
    <row r="1215" spans="2:9" x14ac:dyDescent="0.25">
      <c r="B1215" s="1">
        <v>36945</v>
      </c>
      <c r="C1215" s="2">
        <v>1320.45</v>
      </c>
      <c r="D1215" s="2">
        <v>1355.1</v>
      </c>
      <c r="E1215" s="2">
        <v>1362.8</v>
      </c>
      <c r="F1215" s="2">
        <v>1314.1</v>
      </c>
      <c r="G1215" s="3">
        <f t="shared" si="56"/>
        <v>-2.5570068629621301E-2</v>
      </c>
      <c r="H1215" s="2">
        <f t="shared" si="54"/>
        <v>48.700000000000045</v>
      </c>
      <c r="I1215" s="3">
        <f t="shared" si="55"/>
        <v>3.5938307136004759E-2</v>
      </c>
    </row>
    <row r="1216" spans="2:9" x14ac:dyDescent="0.25">
      <c r="B1216" s="1">
        <v>36948</v>
      </c>
      <c r="C1216" s="2">
        <v>1312.4</v>
      </c>
      <c r="D1216" s="2">
        <v>1320.9</v>
      </c>
      <c r="E1216" s="2">
        <v>1325.2</v>
      </c>
      <c r="F1216" s="2">
        <v>1299.05</v>
      </c>
      <c r="G1216" s="3">
        <f t="shared" si="56"/>
        <v>-6.0964065280775248E-3</v>
      </c>
      <c r="H1216" s="2">
        <f t="shared" si="54"/>
        <v>26.150000000000091</v>
      </c>
      <c r="I1216" s="3">
        <f t="shared" si="55"/>
        <v>1.9797108032402217E-2</v>
      </c>
    </row>
    <row r="1217" spans="2:9" x14ac:dyDescent="0.25">
      <c r="B1217" s="1">
        <v>36949</v>
      </c>
      <c r="C1217" s="2">
        <v>1295.55</v>
      </c>
      <c r="D1217" s="2">
        <v>1312.45</v>
      </c>
      <c r="E1217" s="2">
        <v>1324</v>
      </c>
      <c r="F1217" s="2">
        <v>1281.9000000000001</v>
      </c>
      <c r="G1217" s="3">
        <f t="shared" si="56"/>
        <v>-1.2839073453215555E-2</v>
      </c>
      <c r="H1217" s="2">
        <f t="shared" si="54"/>
        <v>42.099999999999909</v>
      </c>
      <c r="I1217" s="3">
        <f t="shared" si="55"/>
        <v>3.2077412472856039E-2</v>
      </c>
    </row>
    <row r="1218" spans="2:9" x14ac:dyDescent="0.25">
      <c r="B1218" s="1">
        <v>36950</v>
      </c>
      <c r="C1218" s="2">
        <v>1351.4</v>
      </c>
      <c r="D1218" s="2">
        <v>1295.3</v>
      </c>
      <c r="E1218" s="2">
        <v>1362.25</v>
      </c>
      <c r="F1218" s="2">
        <v>1294.5999999999999</v>
      </c>
      <c r="G1218" s="3">
        <f t="shared" si="56"/>
        <v>4.3109104241441987E-2</v>
      </c>
      <c r="H1218" s="2">
        <f t="shared" si="54"/>
        <v>67.650000000000091</v>
      </c>
      <c r="I1218" s="3">
        <f t="shared" si="55"/>
        <v>5.2227283254844513E-2</v>
      </c>
    </row>
    <row r="1219" spans="2:9" x14ac:dyDescent="0.25">
      <c r="B1219" s="1">
        <v>36951</v>
      </c>
      <c r="C1219" s="2">
        <v>1358.05</v>
      </c>
      <c r="D1219" s="2">
        <v>1351.75</v>
      </c>
      <c r="E1219" s="2">
        <v>1399.55</v>
      </c>
      <c r="F1219" s="2">
        <v>1345.05</v>
      </c>
      <c r="G1219" s="3">
        <f t="shared" si="56"/>
        <v>4.9208228503772045E-3</v>
      </c>
      <c r="H1219" s="2">
        <f t="shared" si="54"/>
        <v>54.5</v>
      </c>
      <c r="I1219" s="3">
        <f t="shared" si="55"/>
        <v>4.0318106158683191E-2</v>
      </c>
    </row>
    <row r="1220" spans="2:9" x14ac:dyDescent="0.25">
      <c r="B1220" s="1">
        <v>36952</v>
      </c>
      <c r="C1220" s="2">
        <v>1306.3499999999999</v>
      </c>
      <c r="D1220" s="2">
        <v>1360.25</v>
      </c>
      <c r="E1220" s="2">
        <v>1386.75</v>
      </c>
      <c r="F1220" s="2">
        <v>1301.8</v>
      </c>
      <c r="G1220" s="3">
        <f t="shared" si="56"/>
        <v>-3.8069290526858368E-2</v>
      </c>
      <c r="H1220" s="2">
        <f t="shared" si="54"/>
        <v>84.950000000000045</v>
      </c>
      <c r="I1220" s="3">
        <f t="shared" si="55"/>
        <v>6.2451755192060317E-2</v>
      </c>
    </row>
    <row r="1221" spans="2:9" x14ac:dyDescent="0.25">
      <c r="B1221" s="1">
        <v>36955</v>
      </c>
      <c r="C1221" s="2">
        <v>1271.45</v>
      </c>
      <c r="D1221" s="2">
        <v>1304.8499999999999</v>
      </c>
      <c r="E1221" s="2">
        <v>1316.45</v>
      </c>
      <c r="F1221" s="2">
        <v>1259.0999999999999</v>
      </c>
      <c r="G1221" s="3">
        <f t="shared" si="56"/>
        <v>-2.6715658131434838E-2</v>
      </c>
      <c r="H1221" s="2">
        <f t="shared" ref="H1221:H1284" si="57">E1221-F1221</f>
        <v>57.350000000000136</v>
      </c>
      <c r="I1221" s="3">
        <f t="shared" si="55"/>
        <v>4.3951412039698157E-2</v>
      </c>
    </row>
    <row r="1222" spans="2:9" x14ac:dyDescent="0.25">
      <c r="B1222" s="1">
        <v>36957</v>
      </c>
      <c r="C1222" s="2">
        <v>1290.5</v>
      </c>
      <c r="D1222" s="2">
        <v>1272.8</v>
      </c>
      <c r="E1222" s="2">
        <v>1311.1</v>
      </c>
      <c r="F1222" s="2">
        <v>1249.45</v>
      </c>
      <c r="G1222" s="3">
        <f t="shared" si="56"/>
        <v>1.4982893546737985E-2</v>
      </c>
      <c r="H1222" s="2">
        <f t="shared" si="57"/>
        <v>61.649999999999864</v>
      </c>
      <c r="I1222" s="3">
        <f t="shared" ref="I1222:I1285" si="58">H1222/D1222</f>
        <v>4.8436517913261992E-2</v>
      </c>
    </row>
    <row r="1223" spans="2:9" x14ac:dyDescent="0.25">
      <c r="B1223" s="1">
        <v>36958</v>
      </c>
      <c r="C1223" s="2">
        <v>1292.8499999999999</v>
      </c>
      <c r="D1223" s="2">
        <v>1290.8499999999999</v>
      </c>
      <c r="E1223" s="2">
        <v>1307.95</v>
      </c>
      <c r="F1223" s="2">
        <v>1279.3</v>
      </c>
      <c r="G1223" s="3">
        <f t="shared" ref="G1223:G1286" si="59">C1223/C1222-1</f>
        <v>1.8209996125531092E-3</v>
      </c>
      <c r="H1223" s="2">
        <f t="shared" si="57"/>
        <v>28.650000000000091</v>
      </c>
      <c r="I1223" s="3">
        <f t="shared" si="58"/>
        <v>2.2194677925398067E-2</v>
      </c>
    </row>
    <row r="1224" spans="2:9" x14ac:dyDescent="0.25">
      <c r="B1224" s="1">
        <v>36959</v>
      </c>
      <c r="C1224" s="2">
        <v>1254.75</v>
      </c>
      <c r="D1224" s="2">
        <v>1292.7</v>
      </c>
      <c r="E1224" s="2">
        <v>1292.7</v>
      </c>
      <c r="F1224" s="2">
        <v>1219.3499999999999</v>
      </c>
      <c r="G1224" s="3">
        <f t="shared" si="59"/>
        <v>-2.9469776076110898E-2</v>
      </c>
      <c r="H1224" s="2">
        <f t="shared" si="57"/>
        <v>73.350000000000136</v>
      </c>
      <c r="I1224" s="3">
        <f t="shared" si="58"/>
        <v>5.6741703411464478E-2</v>
      </c>
    </row>
    <row r="1225" spans="2:9" x14ac:dyDescent="0.25">
      <c r="B1225" s="1">
        <v>36962</v>
      </c>
      <c r="C1225" s="2">
        <v>1197.95</v>
      </c>
      <c r="D1225" s="2">
        <v>1253.25</v>
      </c>
      <c r="E1225" s="2">
        <v>1253.25</v>
      </c>
      <c r="F1225" s="2">
        <v>1193.95</v>
      </c>
      <c r="G1225" s="3">
        <f t="shared" si="59"/>
        <v>-4.5267981669655288E-2</v>
      </c>
      <c r="H1225" s="2">
        <f t="shared" si="57"/>
        <v>59.299999999999955</v>
      </c>
      <c r="I1225" s="3">
        <f t="shared" si="58"/>
        <v>4.7316975862756794E-2</v>
      </c>
    </row>
    <row r="1226" spans="2:9" x14ac:dyDescent="0.25">
      <c r="B1226" s="1">
        <v>36963</v>
      </c>
      <c r="C1226" s="2">
        <v>1124.7</v>
      </c>
      <c r="D1226" s="2">
        <v>1197.8499999999999</v>
      </c>
      <c r="E1226" s="2">
        <v>1201.1500000000001</v>
      </c>
      <c r="F1226" s="2">
        <v>1098.75</v>
      </c>
      <c r="G1226" s="3">
        <f t="shared" si="59"/>
        <v>-6.1146124629575471E-2</v>
      </c>
      <c r="H1226" s="2">
        <f t="shared" si="57"/>
        <v>102.40000000000009</v>
      </c>
      <c r="I1226" s="3">
        <f t="shared" si="58"/>
        <v>8.5486496639813087E-2</v>
      </c>
    </row>
    <row r="1227" spans="2:9" x14ac:dyDescent="0.25">
      <c r="B1227" s="1">
        <v>36964</v>
      </c>
      <c r="C1227" s="2">
        <v>1194.2</v>
      </c>
      <c r="D1227" s="2">
        <v>1125.1500000000001</v>
      </c>
      <c r="E1227" s="2">
        <v>1200.25</v>
      </c>
      <c r="F1227" s="2">
        <v>1114.5999999999999</v>
      </c>
      <c r="G1227" s="3">
        <f t="shared" si="59"/>
        <v>6.1794256246110013E-2</v>
      </c>
      <c r="H1227" s="2">
        <f t="shared" si="57"/>
        <v>85.650000000000091</v>
      </c>
      <c r="I1227" s="3">
        <f t="shared" si="58"/>
        <v>7.6123183575523334E-2</v>
      </c>
    </row>
    <row r="1228" spans="2:9" x14ac:dyDescent="0.25">
      <c r="B1228" s="1">
        <v>36965</v>
      </c>
      <c r="C1228" s="2">
        <v>1217.1500000000001</v>
      </c>
      <c r="D1228" s="2">
        <v>1191.5999999999999</v>
      </c>
      <c r="E1228" s="2">
        <v>1219.7</v>
      </c>
      <c r="F1228" s="2">
        <v>1170.7</v>
      </c>
      <c r="G1228" s="3">
        <f t="shared" si="59"/>
        <v>1.9217886451180721E-2</v>
      </c>
      <c r="H1228" s="2">
        <f t="shared" si="57"/>
        <v>49</v>
      </c>
      <c r="I1228" s="3">
        <f t="shared" si="58"/>
        <v>4.1121181604565293E-2</v>
      </c>
    </row>
    <row r="1229" spans="2:9" x14ac:dyDescent="0.25">
      <c r="B1229" s="1">
        <v>36966</v>
      </c>
      <c r="C1229" s="2">
        <v>1193.55</v>
      </c>
      <c r="D1229" s="2">
        <v>1216.9000000000001</v>
      </c>
      <c r="E1229" s="2">
        <v>1233.4000000000001</v>
      </c>
      <c r="F1229" s="2">
        <v>1179.5999999999999</v>
      </c>
      <c r="G1229" s="3">
        <f t="shared" si="59"/>
        <v>-1.9389557573019078E-2</v>
      </c>
      <c r="H1229" s="2">
        <f t="shared" si="57"/>
        <v>53.800000000000182</v>
      </c>
      <c r="I1229" s="3">
        <f t="shared" si="58"/>
        <v>4.4210699317939174E-2</v>
      </c>
    </row>
    <row r="1230" spans="2:9" x14ac:dyDescent="0.25">
      <c r="B1230" s="1">
        <v>36969</v>
      </c>
      <c r="C1230" s="2">
        <v>1186.7</v>
      </c>
      <c r="D1230" s="2">
        <v>1192.8499999999999</v>
      </c>
      <c r="E1230" s="2">
        <v>1201.7</v>
      </c>
      <c r="F1230" s="2">
        <v>1173.1500000000001</v>
      </c>
      <c r="G1230" s="3">
        <f t="shared" si="59"/>
        <v>-5.739181433538576E-3</v>
      </c>
      <c r="H1230" s="2">
        <f t="shared" si="57"/>
        <v>28.549999999999955</v>
      </c>
      <c r="I1230" s="3">
        <f t="shared" si="58"/>
        <v>2.3934275055539217E-2</v>
      </c>
    </row>
    <row r="1231" spans="2:9" x14ac:dyDescent="0.25">
      <c r="B1231" s="1">
        <v>36970</v>
      </c>
      <c r="C1231" s="2">
        <v>1170.95</v>
      </c>
      <c r="D1231" s="2">
        <v>1186.8</v>
      </c>
      <c r="E1231" s="2">
        <v>1193.3499999999999</v>
      </c>
      <c r="F1231" s="2">
        <v>1162.3499999999999</v>
      </c>
      <c r="G1231" s="3">
        <f t="shared" si="59"/>
        <v>-1.3272099098339929E-2</v>
      </c>
      <c r="H1231" s="2">
        <f t="shared" si="57"/>
        <v>31</v>
      </c>
      <c r="I1231" s="3">
        <f t="shared" si="58"/>
        <v>2.6120660599932594E-2</v>
      </c>
    </row>
    <row r="1232" spans="2:9" x14ac:dyDescent="0.25">
      <c r="B1232" s="1">
        <v>36971</v>
      </c>
      <c r="C1232" s="2">
        <v>1207.0999999999999</v>
      </c>
      <c r="D1232" s="2">
        <v>1168.8</v>
      </c>
      <c r="E1232" s="2">
        <v>1212.2</v>
      </c>
      <c r="F1232" s="2">
        <v>1156.1500000000001</v>
      </c>
      <c r="G1232" s="3">
        <f t="shared" si="59"/>
        <v>3.0872368589606625E-2</v>
      </c>
      <c r="H1232" s="2">
        <f t="shared" si="57"/>
        <v>56.049999999999955</v>
      </c>
      <c r="I1232" s="3">
        <f t="shared" si="58"/>
        <v>4.7955167693360674E-2</v>
      </c>
    </row>
    <row r="1233" spans="2:9" x14ac:dyDescent="0.25">
      <c r="B1233" s="1">
        <v>36972</v>
      </c>
      <c r="C1233" s="2">
        <v>1187.55</v>
      </c>
      <c r="D1233" s="2">
        <v>1206.45</v>
      </c>
      <c r="E1233" s="2">
        <v>1218.3499999999999</v>
      </c>
      <c r="F1233" s="2">
        <v>1184.95</v>
      </c>
      <c r="G1233" s="3">
        <f t="shared" si="59"/>
        <v>-1.6195841272471201E-2</v>
      </c>
      <c r="H1233" s="2">
        <f t="shared" si="57"/>
        <v>33.399999999999864</v>
      </c>
      <c r="I1233" s="3">
        <f t="shared" si="58"/>
        <v>2.7684528990011906E-2</v>
      </c>
    </row>
    <row r="1234" spans="2:9" x14ac:dyDescent="0.25">
      <c r="B1234" s="1">
        <v>36973</v>
      </c>
      <c r="C1234" s="2">
        <v>1161.3</v>
      </c>
      <c r="D1234" s="2">
        <v>1187.5999999999999</v>
      </c>
      <c r="E1234" s="2">
        <v>1196.55</v>
      </c>
      <c r="F1234" s="2">
        <v>1139.6500000000001</v>
      </c>
      <c r="G1234" s="3">
        <f t="shared" si="59"/>
        <v>-2.2104332449159991E-2</v>
      </c>
      <c r="H1234" s="2">
        <f t="shared" si="57"/>
        <v>56.899999999999864</v>
      </c>
      <c r="I1234" s="3">
        <f t="shared" si="58"/>
        <v>4.791175479959571E-2</v>
      </c>
    </row>
    <row r="1235" spans="2:9" x14ac:dyDescent="0.25">
      <c r="B1235" s="1">
        <v>36976</v>
      </c>
      <c r="C1235" s="2">
        <v>1161.5</v>
      </c>
      <c r="D1235" s="2">
        <v>1159.8499999999999</v>
      </c>
      <c r="E1235" s="2">
        <v>1165.6500000000001</v>
      </c>
      <c r="F1235" s="2">
        <v>1147.5</v>
      </c>
      <c r="G1235" s="3">
        <f t="shared" si="59"/>
        <v>1.7222078704892674E-4</v>
      </c>
      <c r="H1235" s="2">
        <f t="shared" si="57"/>
        <v>18.150000000000091</v>
      </c>
      <c r="I1235" s="3">
        <f t="shared" si="58"/>
        <v>1.5648575246799235E-2</v>
      </c>
    </row>
    <row r="1236" spans="2:9" x14ac:dyDescent="0.25">
      <c r="B1236" s="1">
        <v>36977</v>
      </c>
      <c r="C1236" s="2">
        <v>1177.75</v>
      </c>
      <c r="D1236" s="2">
        <v>1161.5999999999999</v>
      </c>
      <c r="E1236" s="2">
        <v>1182.7</v>
      </c>
      <c r="F1236" s="2">
        <v>1157.25</v>
      </c>
      <c r="G1236" s="3">
        <f t="shared" si="59"/>
        <v>1.3990529487731385E-2</v>
      </c>
      <c r="H1236" s="2">
        <f t="shared" si="57"/>
        <v>25.450000000000045</v>
      </c>
      <c r="I1236" s="3">
        <f t="shared" si="58"/>
        <v>2.1909435261708028E-2</v>
      </c>
    </row>
    <row r="1237" spans="2:9" x14ac:dyDescent="0.25">
      <c r="B1237" s="1">
        <v>36978</v>
      </c>
      <c r="C1237" s="2">
        <v>1206.2</v>
      </c>
      <c r="D1237" s="2">
        <v>1177.55</v>
      </c>
      <c r="E1237" s="2">
        <v>1209.5999999999999</v>
      </c>
      <c r="F1237" s="2">
        <v>1177.55</v>
      </c>
      <c r="G1237" s="3">
        <f t="shared" si="59"/>
        <v>2.415623009976664E-2</v>
      </c>
      <c r="H1237" s="2">
        <f t="shared" si="57"/>
        <v>32.049999999999955</v>
      </c>
      <c r="I1237" s="3">
        <f t="shared" si="58"/>
        <v>2.7217527918135073E-2</v>
      </c>
    </row>
    <row r="1238" spans="2:9" x14ac:dyDescent="0.25">
      <c r="B1238" s="1">
        <v>36979</v>
      </c>
      <c r="C1238" s="2">
        <v>1195.0999999999999</v>
      </c>
      <c r="D1238" s="2">
        <v>1204.9000000000001</v>
      </c>
      <c r="E1238" s="2">
        <v>1210.0999999999999</v>
      </c>
      <c r="F1238" s="2">
        <v>1185</v>
      </c>
      <c r="G1238" s="3">
        <f t="shared" si="59"/>
        <v>-9.2024539877301192E-3</v>
      </c>
      <c r="H1238" s="2">
        <f t="shared" si="57"/>
        <v>25.099999999999909</v>
      </c>
      <c r="I1238" s="3">
        <f t="shared" si="58"/>
        <v>2.0831604282512996E-2</v>
      </c>
    </row>
    <row r="1239" spans="2:9" x14ac:dyDescent="0.25">
      <c r="B1239" s="1">
        <v>36980</v>
      </c>
      <c r="C1239" s="2">
        <v>1148.2</v>
      </c>
      <c r="D1239" s="2">
        <v>1195.05</v>
      </c>
      <c r="E1239" s="2">
        <v>1195.25</v>
      </c>
      <c r="F1239" s="2">
        <v>1144.6500000000001</v>
      </c>
      <c r="G1239" s="3">
        <f t="shared" si="59"/>
        <v>-3.9243577943268271E-2</v>
      </c>
      <c r="H1239" s="2">
        <f t="shared" si="57"/>
        <v>50.599999999999909</v>
      </c>
      <c r="I1239" s="3">
        <f t="shared" si="58"/>
        <v>4.2341324630768513E-2</v>
      </c>
    </row>
    <row r="1240" spans="2:9" x14ac:dyDescent="0.25">
      <c r="B1240" s="1">
        <v>36983</v>
      </c>
      <c r="C1240" s="2">
        <v>1138.0999999999999</v>
      </c>
      <c r="D1240" s="2">
        <v>1148.0999999999999</v>
      </c>
      <c r="E1240" s="2">
        <v>1148.0999999999999</v>
      </c>
      <c r="F1240" s="2">
        <v>1094.3499999999999</v>
      </c>
      <c r="G1240" s="3">
        <f t="shared" si="59"/>
        <v>-8.7963769378158752E-3</v>
      </c>
      <c r="H1240" s="2">
        <f t="shared" si="57"/>
        <v>53.75</v>
      </c>
      <c r="I1240" s="3">
        <f t="shared" si="58"/>
        <v>4.6816479400749067E-2</v>
      </c>
    </row>
    <row r="1241" spans="2:9" x14ac:dyDescent="0.25">
      <c r="B1241" s="1">
        <v>36984</v>
      </c>
      <c r="C1241" s="2">
        <v>1149.25</v>
      </c>
      <c r="D1241" s="2">
        <v>1136.6500000000001</v>
      </c>
      <c r="E1241" s="2">
        <v>1153.0999999999999</v>
      </c>
      <c r="F1241" s="2">
        <v>1128.0999999999999</v>
      </c>
      <c r="G1241" s="3">
        <f t="shared" si="59"/>
        <v>9.797030137949303E-3</v>
      </c>
      <c r="H1241" s="2">
        <f t="shared" si="57"/>
        <v>25</v>
      </c>
      <c r="I1241" s="3">
        <f t="shared" si="58"/>
        <v>2.1994457396736021E-2</v>
      </c>
    </row>
    <row r="1242" spans="2:9" x14ac:dyDescent="0.25">
      <c r="B1242" s="1">
        <v>36985</v>
      </c>
      <c r="C1242" s="2">
        <v>1136.6500000000001</v>
      </c>
      <c r="D1242" s="2">
        <v>1146.0999999999999</v>
      </c>
      <c r="E1242" s="2">
        <v>1146.1500000000001</v>
      </c>
      <c r="F1242" s="2">
        <v>1120.3499999999999</v>
      </c>
      <c r="G1242" s="3">
        <f t="shared" si="59"/>
        <v>-1.0963671959973831E-2</v>
      </c>
      <c r="H1242" s="2">
        <f t="shared" si="57"/>
        <v>25.800000000000182</v>
      </c>
      <c r="I1242" s="3">
        <f t="shared" si="58"/>
        <v>2.2511124683710134E-2</v>
      </c>
    </row>
    <row r="1243" spans="2:9" x14ac:dyDescent="0.25">
      <c r="B1243" s="1">
        <v>36987</v>
      </c>
      <c r="C1243" s="2">
        <v>1139.5999999999999</v>
      </c>
      <c r="D1243" s="2">
        <v>1137.55</v>
      </c>
      <c r="E1243" s="2">
        <v>1171.8499999999999</v>
      </c>
      <c r="F1243" s="2">
        <v>1133.05</v>
      </c>
      <c r="G1243" s="3">
        <f t="shared" si="59"/>
        <v>2.5953459728147443E-3</v>
      </c>
      <c r="H1243" s="2">
        <f t="shared" si="57"/>
        <v>38.799999999999955</v>
      </c>
      <c r="I1243" s="3">
        <f t="shared" si="58"/>
        <v>3.4108390839963039E-2</v>
      </c>
    </row>
    <row r="1244" spans="2:9" x14ac:dyDescent="0.25">
      <c r="B1244" s="1">
        <v>36990</v>
      </c>
      <c r="C1244" s="2">
        <v>1128.3499999999999</v>
      </c>
      <c r="D1244" s="2">
        <v>1137.5999999999999</v>
      </c>
      <c r="E1244" s="2">
        <v>1138.55</v>
      </c>
      <c r="F1244" s="2">
        <v>1116.0999999999999</v>
      </c>
      <c r="G1244" s="3">
        <f t="shared" si="59"/>
        <v>-9.8718848718848395E-3</v>
      </c>
      <c r="H1244" s="2">
        <f t="shared" si="57"/>
        <v>22.450000000000045</v>
      </c>
      <c r="I1244" s="3">
        <f t="shared" si="58"/>
        <v>1.973452883263014E-2</v>
      </c>
    </row>
    <row r="1245" spans="2:9" x14ac:dyDescent="0.25">
      <c r="B1245" s="1">
        <v>36991</v>
      </c>
      <c r="C1245" s="2">
        <v>1103.05</v>
      </c>
      <c r="D1245" s="2">
        <v>1129.0999999999999</v>
      </c>
      <c r="E1245" s="2">
        <v>1129.75</v>
      </c>
      <c r="F1245" s="2">
        <v>1093.05</v>
      </c>
      <c r="G1245" s="3">
        <f t="shared" si="59"/>
        <v>-2.2422120795852263E-2</v>
      </c>
      <c r="H1245" s="2">
        <f t="shared" si="57"/>
        <v>36.700000000000045</v>
      </c>
      <c r="I1245" s="3">
        <f t="shared" si="58"/>
        <v>3.2503764059870738E-2</v>
      </c>
    </row>
    <row r="1246" spans="2:9" x14ac:dyDescent="0.25">
      <c r="B1246" s="1">
        <v>36992</v>
      </c>
      <c r="C1246" s="2">
        <v>1066.8</v>
      </c>
      <c r="D1246" s="2">
        <v>1104.9000000000001</v>
      </c>
      <c r="E1246" s="2">
        <v>1116.8499999999999</v>
      </c>
      <c r="F1246" s="2">
        <v>1056.0999999999999</v>
      </c>
      <c r="G1246" s="3">
        <f t="shared" si="59"/>
        <v>-3.2863424142151265E-2</v>
      </c>
      <c r="H1246" s="2">
        <f t="shared" si="57"/>
        <v>60.75</v>
      </c>
      <c r="I1246" s="3">
        <f t="shared" si="58"/>
        <v>5.4982351344013025E-2</v>
      </c>
    </row>
    <row r="1247" spans="2:9" x14ac:dyDescent="0.25">
      <c r="B1247" s="1">
        <v>36993</v>
      </c>
      <c r="C1247" s="2">
        <v>1024.9000000000001</v>
      </c>
      <c r="D1247" s="2">
        <v>1066.75</v>
      </c>
      <c r="E1247" s="2">
        <v>1066.75</v>
      </c>
      <c r="F1247" s="2">
        <v>1001.8</v>
      </c>
      <c r="G1247" s="3">
        <f t="shared" si="59"/>
        <v>-3.927634045744266E-2</v>
      </c>
      <c r="H1247" s="2">
        <f t="shared" si="57"/>
        <v>64.950000000000045</v>
      </c>
      <c r="I1247" s="3">
        <f t="shared" si="58"/>
        <v>6.0885868291539767E-2</v>
      </c>
    </row>
    <row r="1248" spans="2:9" x14ac:dyDescent="0.25">
      <c r="B1248" s="1">
        <v>36997</v>
      </c>
      <c r="C1248" s="2">
        <v>1044.5999999999999</v>
      </c>
      <c r="D1248" s="2">
        <v>1024</v>
      </c>
      <c r="E1248" s="2">
        <v>1049.4000000000001</v>
      </c>
      <c r="F1248" s="2">
        <v>1000.1</v>
      </c>
      <c r="G1248" s="3">
        <f t="shared" si="59"/>
        <v>1.9221387452434291E-2</v>
      </c>
      <c r="H1248" s="2">
        <f t="shared" si="57"/>
        <v>49.300000000000068</v>
      </c>
      <c r="I1248" s="3">
        <f t="shared" si="58"/>
        <v>4.8144531250000067E-2</v>
      </c>
    </row>
    <row r="1249" spans="2:9" x14ac:dyDescent="0.25">
      <c r="B1249" s="1">
        <v>36998</v>
      </c>
      <c r="C1249" s="2">
        <v>1067</v>
      </c>
      <c r="D1249" s="2">
        <v>1044.8499999999999</v>
      </c>
      <c r="E1249" s="2">
        <v>1072.9000000000001</v>
      </c>
      <c r="F1249" s="2">
        <v>1037.7</v>
      </c>
      <c r="G1249" s="3">
        <f t="shared" si="59"/>
        <v>2.1443614780777498E-2</v>
      </c>
      <c r="H1249" s="2">
        <f t="shared" si="57"/>
        <v>35.200000000000045</v>
      </c>
      <c r="I1249" s="3">
        <f t="shared" si="58"/>
        <v>3.3689046274584918E-2</v>
      </c>
    </row>
    <row r="1250" spans="2:9" x14ac:dyDescent="0.25">
      <c r="B1250" s="1">
        <v>36999</v>
      </c>
      <c r="C1250" s="2">
        <v>1103.4000000000001</v>
      </c>
      <c r="D1250" s="2">
        <v>1066.5</v>
      </c>
      <c r="E1250" s="2">
        <v>1106.3</v>
      </c>
      <c r="F1250" s="2">
        <v>1063.05</v>
      </c>
      <c r="G1250" s="3">
        <f t="shared" si="59"/>
        <v>3.4114339268978444E-2</v>
      </c>
      <c r="H1250" s="2">
        <f t="shared" si="57"/>
        <v>43.25</v>
      </c>
      <c r="I1250" s="3">
        <f t="shared" si="58"/>
        <v>4.055321143928739E-2</v>
      </c>
    </row>
    <row r="1251" spans="2:9" x14ac:dyDescent="0.25">
      <c r="B1251" s="1">
        <v>37000</v>
      </c>
      <c r="C1251" s="2">
        <v>1144.45</v>
      </c>
      <c r="D1251" s="2">
        <v>1103.5999999999999</v>
      </c>
      <c r="E1251" s="2">
        <v>1159.3</v>
      </c>
      <c r="F1251" s="2">
        <v>1103.5999999999999</v>
      </c>
      <c r="G1251" s="3">
        <f t="shared" si="59"/>
        <v>3.7203190139568632E-2</v>
      </c>
      <c r="H1251" s="2">
        <f t="shared" si="57"/>
        <v>55.700000000000045</v>
      </c>
      <c r="I1251" s="3">
        <f t="shared" si="58"/>
        <v>5.0471185212033393E-2</v>
      </c>
    </row>
    <row r="1252" spans="2:9" x14ac:dyDescent="0.25">
      <c r="B1252" s="1">
        <v>37001</v>
      </c>
      <c r="C1252" s="2">
        <v>1144</v>
      </c>
      <c r="D1252" s="2">
        <v>1145.75</v>
      </c>
      <c r="E1252" s="2">
        <v>1156.45</v>
      </c>
      <c r="F1252" s="2">
        <v>1120.5999999999999</v>
      </c>
      <c r="G1252" s="3">
        <f t="shared" si="59"/>
        <v>-3.9320197474768115E-4</v>
      </c>
      <c r="H1252" s="2">
        <f t="shared" si="57"/>
        <v>35.850000000000136</v>
      </c>
      <c r="I1252" s="3">
        <f t="shared" si="58"/>
        <v>3.1289548330787814E-2</v>
      </c>
    </row>
    <row r="1253" spans="2:9" x14ac:dyDescent="0.25">
      <c r="B1253" s="1">
        <v>37004</v>
      </c>
      <c r="C1253" s="2">
        <v>1149.75</v>
      </c>
      <c r="D1253" s="2">
        <v>1144.05</v>
      </c>
      <c r="E1253" s="2">
        <v>1162.05</v>
      </c>
      <c r="F1253" s="2">
        <v>1137.3</v>
      </c>
      <c r="G1253" s="3">
        <f t="shared" si="59"/>
        <v>5.0262237762237483E-3</v>
      </c>
      <c r="H1253" s="2">
        <f t="shared" si="57"/>
        <v>24.75</v>
      </c>
      <c r="I1253" s="3">
        <f t="shared" si="58"/>
        <v>2.1633669857086667E-2</v>
      </c>
    </row>
    <row r="1254" spans="2:9" x14ac:dyDescent="0.25">
      <c r="B1254" s="1">
        <v>37005</v>
      </c>
      <c r="C1254" s="2">
        <v>1146.3</v>
      </c>
      <c r="D1254" s="2">
        <v>1149.5999999999999</v>
      </c>
      <c r="E1254" s="2">
        <v>1149.5999999999999</v>
      </c>
      <c r="F1254" s="2">
        <v>1128.4000000000001</v>
      </c>
      <c r="G1254" s="3">
        <f t="shared" si="59"/>
        <v>-3.0006523157208864E-3</v>
      </c>
      <c r="H1254" s="2">
        <f t="shared" si="57"/>
        <v>21.199999999999818</v>
      </c>
      <c r="I1254" s="3">
        <f t="shared" si="58"/>
        <v>1.8441196938065257E-2</v>
      </c>
    </row>
    <row r="1255" spans="2:9" x14ac:dyDescent="0.25">
      <c r="B1255" s="1">
        <v>37006</v>
      </c>
      <c r="C1255" s="2">
        <v>1155.3499999999999</v>
      </c>
      <c r="D1255" s="2">
        <v>1146.5</v>
      </c>
      <c r="E1255" s="2">
        <v>1162.8499999999999</v>
      </c>
      <c r="F1255" s="2">
        <v>1142.3</v>
      </c>
      <c r="G1255" s="3">
        <f t="shared" si="59"/>
        <v>7.8949664136787057E-3</v>
      </c>
      <c r="H1255" s="2">
        <f t="shared" si="57"/>
        <v>20.549999999999955</v>
      </c>
      <c r="I1255" s="3">
        <f t="shared" si="58"/>
        <v>1.7924116877453079E-2</v>
      </c>
    </row>
    <row r="1256" spans="2:9" x14ac:dyDescent="0.25">
      <c r="B1256" s="1">
        <v>37007</v>
      </c>
      <c r="C1256" s="2">
        <v>1143.75</v>
      </c>
      <c r="D1256" s="2">
        <v>1155.4000000000001</v>
      </c>
      <c r="E1256" s="2">
        <v>1170.2</v>
      </c>
      <c r="F1256" s="2">
        <v>1138.8499999999999</v>
      </c>
      <c r="G1256" s="3">
        <f t="shared" si="59"/>
        <v>-1.0040247544034209E-2</v>
      </c>
      <c r="H1256" s="2">
        <f t="shared" si="57"/>
        <v>31.350000000000136</v>
      </c>
      <c r="I1256" s="3">
        <f t="shared" si="58"/>
        <v>2.7133460273498472E-2</v>
      </c>
    </row>
    <row r="1257" spans="2:9" x14ac:dyDescent="0.25">
      <c r="B1257" s="1">
        <v>37008</v>
      </c>
      <c r="C1257" s="2">
        <v>1101.3</v>
      </c>
      <c r="D1257" s="2">
        <v>1143.6500000000001</v>
      </c>
      <c r="E1257" s="2">
        <v>1143.6500000000001</v>
      </c>
      <c r="F1257" s="2">
        <v>1078.0999999999999</v>
      </c>
      <c r="G1257" s="3">
        <f t="shared" si="59"/>
        <v>-3.7114754098360736E-2</v>
      </c>
      <c r="H1257" s="2">
        <f t="shared" si="57"/>
        <v>65.550000000000182</v>
      </c>
      <c r="I1257" s="3">
        <f t="shared" si="58"/>
        <v>5.73164866873608E-2</v>
      </c>
    </row>
    <row r="1258" spans="2:9" x14ac:dyDescent="0.25">
      <c r="B1258" s="1">
        <v>37011</v>
      </c>
      <c r="C1258" s="2">
        <v>1125.25</v>
      </c>
      <c r="D1258" s="2">
        <v>1101.45</v>
      </c>
      <c r="E1258" s="2">
        <v>1127.9000000000001</v>
      </c>
      <c r="F1258" s="2">
        <v>1101.45</v>
      </c>
      <c r="G1258" s="3">
        <f t="shared" si="59"/>
        <v>2.1747026241714318E-2</v>
      </c>
      <c r="H1258" s="2">
        <f t="shared" si="57"/>
        <v>26.450000000000045</v>
      </c>
      <c r="I1258" s="3">
        <f t="shared" si="58"/>
        <v>2.4013799990921098E-2</v>
      </c>
    </row>
    <row r="1259" spans="2:9" x14ac:dyDescent="0.25">
      <c r="B1259" s="1">
        <v>37013</v>
      </c>
      <c r="C1259" s="2">
        <v>1137.2</v>
      </c>
      <c r="D1259" s="2">
        <v>1125.45</v>
      </c>
      <c r="E1259" s="2">
        <v>1150.6500000000001</v>
      </c>
      <c r="F1259" s="2">
        <v>1125.25</v>
      </c>
      <c r="G1259" s="3">
        <f t="shared" si="59"/>
        <v>1.0619862252832846E-2</v>
      </c>
      <c r="H1259" s="2">
        <f t="shared" si="57"/>
        <v>25.400000000000091</v>
      </c>
      <c r="I1259" s="3">
        <f t="shared" si="58"/>
        <v>2.2568750277666791E-2</v>
      </c>
    </row>
    <row r="1260" spans="2:9" x14ac:dyDescent="0.25">
      <c r="B1260" s="1">
        <v>37014</v>
      </c>
      <c r="C1260" s="2">
        <v>1122.05</v>
      </c>
      <c r="D1260" s="2">
        <v>1137.1500000000001</v>
      </c>
      <c r="E1260" s="2">
        <v>1139.8499999999999</v>
      </c>
      <c r="F1260" s="2">
        <v>1117.7</v>
      </c>
      <c r="G1260" s="3">
        <f t="shared" si="59"/>
        <v>-1.3322194864579751E-2</v>
      </c>
      <c r="H1260" s="2">
        <f t="shared" si="57"/>
        <v>22.149999999999864</v>
      </c>
      <c r="I1260" s="3">
        <f t="shared" si="58"/>
        <v>1.9478520863562294E-2</v>
      </c>
    </row>
    <row r="1261" spans="2:9" x14ac:dyDescent="0.25">
      <c r="B1261" s="1">
        <v>37015</v>
      </c>
      <c r="C1261" s="2">
        <v>1130.05</v>
      </c>
      <c r="D1261" s="2">
        <v>1121.45</v>
      </c>
      <c r="E1261" s="2">
        <v>1131.95</v>
      </c>
      <c r="F1261" s="2">
        <v>1113.6500000000001</v>
      </c>
      <c r="G1261" s="3">
        <f t="shared" si="59"/>
        <v>7.1298070495966481E-3</v>
      </c>
      <c r="H1261" s="2">
        <f t="shared" si="57"/>
        <v>18.299999999999955</v>
      </c>
      <c r="I1261" s="3">
        <f t="shared" si="58"/>
        <v>1.631815952561412E-2</v>
      </c>
    </row>
    <row r="1262" spans="2:9" x14ac:dyDescent="0.25">
      <c r="B1262" s="1">
        <v>37018</v>
      </c>
      <c r="C1262" s="2">
        <v>1139.2</v>
      </c>
      <c r="D1262" s="2">
        <v>1130.05</v>
      </c>
      <c r="E1262" s="2">
        <v>1145.4000000000001</v>
      </c>
      <c r="F1262" s="2">
        <v>1130.05</v>
      </c>
      <c r="G1262" s="3">
        <f t="shared" si="59"/>
        <v>8.0969868589886307E-3</v>
      </c>
      <c r="H1262" s="2">
        <f t="shared" si="57"/>
        <v>15.350000000000136</v>
      </c>
      <c r="I1262" s="3">
        <f t="shared" si="58"/>
        <v>1.3583469757975431E-2</v>
      </c>
    </row>
    <row r="1263" spans="2:9" x14ac:dyDescent="0.25">
      <c r="B1263" s="1">
        <v>37019</v>
      </c>
      <c r="C1263" s="2">
        <v>1148.95</v>
      </c>
      <c r="D1263" s="2">
        <v>1139.25</v>
      </c>
      <c r="E1263" s="2">
        <v>1151.95</v>
      </c>
      <c r="F1263" s="2">
        <v>1138.2</v>
      </c>
      <c r="G1263" s="3">
        <f t="shared" si="59"/>
        <v>8.5586376404493958E-3</v>
      </c>
      <c r="H1263" s="2">
        <f t="shared" si="57"/>
        <v>13.75</v>
      </c>
      <c r="I1263" s="3">
        <f t="shared" si="58"/>
        <v>1.206934386657889E-2</v>
      </c>
    </row>
    <row r="1264" spans="2:9" x14ac:dyDescent="0.25">
      <c r="B1264" s="1">
        <v>37020</v>
      </c>
      <c r="C1264" s="2">
        <v>1149.25</v>
      </c>
      <c r="D1264" s="2">
        <v>1149.9000000000001</v>
      </c>
      <c r="E1264" s="2">
        <v>1164.3</v>
      </c>
      <c r="F1264" s="2">
        <v>1145.25</v>
      </c>
      <c r="G1264" s="3">
        <f t="shared" si="59"/>
        <v>2.6110796814471371E-4</v>
      </c>
      <c r="H1264" s="2">
        <f t="shared" si="57"/>
        <v>19.049999999999955</v>
      </c>
      <c r="I1264" s="3">
        <f t="shared" si="58"/>
        <v>1.6566657970258244E-2</v>
      </c>
    </row>
    <row r="1265" spans="2:9" x14ac:dyDescent="0.25">
      <c r="B1265" s="1">
        <v>37021</v>
      </c>
      <c r="C1265" s="2">
        <v>1144.95</v>
      </c>
      <c r="D1265" s="2">
        <v>1149.0999999999999</v>
      </c>
      <c r="E1265" s="2">
        <v>1151.5999999999999</v>
      </c>
      <c r="F1265" s="2">
        <v>1139.25</v>
      </c>
      <c r="G1265" s="3">
        <f t="shared" si="59"/>
        <v>-3.7415705895148532E-3</v>
      </c>
      <c r="H1265" s="2">
        <f t="shared" si="57"/>
        <v>12.349999999999909</v>
      </c>
      <c r="I1265" s="3">
        <f t="shared" si="58"/>
        <v>1.0747541554259778E-2</v>
      </c>
    </row>
    <row r="1266" spans="2:9" x14ac:dyDescent="0.25">
      <c r="B1266" s="1">
        <v>37022</v>
      </c>
      <c r="C1266" s="2">
        <v>1140.5</v>
      </c>
      <c r="D1266" s="2">
        <v>1144.0999999999999</v>
      </c>
      <c r="E1266" s="2">
        <v>1146.8499999999999</v>
      </c>
      <c r="F1266" s="2">
        <v>1136.9000000000001</v>
      </c>
      <c r="G1266" s="3">
        <f t="shared" si="59"/>
        <v>-3.8866326040438715E-3</v>
      </c>
      <c r="H1266" s="2">
        <f t="shared" si="57"/>
        <v>9.9499999999998181</v>
      </c>
      <c r="I1266" s="3">
        <f t="shared" si="58"/>
        <v>8.6967922384405382E-3</v>
      </c>
    </row>
    <row r="1267" spans="2:9" x14ac:dyDescent="0.25">
      <c r="B1267" s="1">
        <v>37025</v>
      </c>
      <c r="C1267" s="2">
        <v>1140.8</v>
      </c>
      <c r="D1267" s="2">
        <v>1140.45</v>
      </c>
      <c r="E1267" s="2">
        <v>1146.25</v>
      </c>
      <c r="F1267" s="2">
        <v>1134.05</v>
      </c>
      <c r="G1267" s="3">
        <f t="shared" si="59"/>
        <v>2.6304252520814586E-4</v>
      </c>
      <c r="H1267" s="2">
        <f t="shared" si="57"/>
        <v>12.200000000000045</v>
      </c>
      <c r="I1267" s="3">
        <f t="shared" si="58"/>
        <v>1.069753167609281E-2</v>
      </c>
    </row>
    <row r="1268" spans="2:9" x14ac:dyDescent="0.25">
      <c r="B1268" s="1">
        <v>37026</v>
      </c>
      <c r="C1268" s="2">
        <v>1145.3</v>
      </c>
      <c r="D1268" s="2">
        <v>1140.75</v>
      </c>
      <c r="E1268" s="2">
        <v>1147.75</v>
      </c>
      <c r="F1268" s="2">
        <v>1096.25</v>
      </c>
      <c r="G1268" s="3">
        <f t="shared" si="59"/>
        <v>3.9446002805048064E-3</v>
      </c>
      <c r="H1268" s="2">
        <f t="shared" si="57"/>
        <v>51.5</v>
      </c>
      <c r="I1268" s="3">
        <f t="shared" si="58"/>
        <v>4.5145737453429764E-2</v>
      </c>
    </row>
    <row r="1269" spans="2:9" x14ac:dyDescent="0.25">
      <c r="B1269" s="1">
        <v>37027</v>
      </c>
      <c r="C1269" s="2">
        <v>1151.1500000000001</v>
      </c>
      <c r="D1269" s="2">
        <v>1147.0999999999999</v>
      </c>
      <c r="E1269" s="2">
        <v>1163.1500000000001</v>
      </c>
      <c r="F1269" s="2">
        <v>1146.05</v>
      </c>
      <c r="G1269" s="3">
        <f t="shared" si="59"/>
        <v>5.107832009080715E-3</v>
      </c>
      <c r="H1269" s="2">
        <f t="shared" si="57"/>
        <v>17.100000000000136</v>
      </c>
      <c r="I1269" s="3">
        <f t="shared" si="58"/>
        <v>1.4907157178973183E-2</v>
      </c>
    </row>
    <row r="1270" spans="2:9" x14ac:dyDescent="0.25">
      <c r="B1270" s="1">
        <v>37028</v>
      </c>
      <c r="C1270" s="2">
        <v>1174.95</v>
      </c>
      <c r="D1270" s="2">
        <v>1151.2</v>
      </c>
      <c r="E1270" s="2">
        <v>1179</v>
      </c>
      <c r="F1270" s="2">
        <v>1150.5999999999999</v>
      </c>
      <c r="G1270" s="3">
        <f t="shared" si="59"/>
        <v>2.0674977196716293E-2</v>
      </c>
      <c r="H1270" s="2">
        <f t="shared" si="57"/>
        <v>28.400000000000091</v>
      </c>
      <c r="I1270" s="3">
        <f t="shared" si="58"/>
        <v>2.4669909659485831E-2</v>
      </c>
    </row>
    <row r="1271" spans="2:9" x14ac:dyDescent="0.25">
      <c r="B1271" s="1">
        <v>37029</v>
      </c>
      <c r="C1271" s="2">
        <v>1172.8</v>
      </c>
      <c r="D1271" s="2">
        <v>1175</v>
      </c>
      <c r="E1271" s="2">
        <v>1187.6500000000001</v>
      </c>
      <c r="F1271" s="2">
        <v>1169.2</v>
      </c>
      <c r="G1271" s="3">
        <f t="shared" si="59"/>
        <v>-1.829865100642647E-3</v>
      </c>
      <c r="H1271" s="2">
        <f t="shared" si="57"/>
        <v>18.450000000000045</v>
      </c>
      <c r="I1271" s="3">
        <f t="shared" si="58"/>
        <v>1.5702127659574506E-2</v>
      </c>
    </row>
    <row r="1272" spans="2:9" x14ac:dyDescent="0.25">
      <c r="B1272" s="1">
        <v>37032</v>
      </c>
      <c r="C1272" s="2">
        <v>1169.45</v>
      </c>
      <c r="D1272" s="2">
        <v>1172.95</v>
      </c>
      <c r="E1272" s="2">
        <v>1182.6500000000001</v>
      </c>
      <c r="F1272" s="2">
        <v>1166.7</v>
      </c>
      <c r="G1272" s="3">
        <f t="shared" si="59"/>
        <v>-2.8564120054569431E-3</v>
      </c>
      <c r="H1272" s="2">
        <f t="shared" si="57"/>
        <v>15.950000000000045</v>
      </c>
      <c r="I1272" s="3">
        <f t="shared" si="58"/>
        <v>1.3598192591329591E-2</v>
      </c>
    </row>
    <row r="1273" spans="2:9" x14ac:dyDescent="0.25">
      <c r="B1273" s="1">
        <v>37033</v>
      </c>
      <c r="C1273" s="2">
        <v>1168.0999999999999</v>
      </c>
      <c r="D1273" s="2">
        <v>1169.5</v>
      </c>
      <c r="E1273" s="2">
        <v>1176.2</v>
      </c>
      <c r="F1273" s="2">
        <v>1165.6500000000001</v>
      </c>
      <c r="G1273" s="3">
        <f t="shared" si="59"/>
        <v>-1.1543888152552029E-3</v>
      </c>
      <c r="H1273" s="2">
        <f t="shared" si="57"/>
        <v>10.549999999999955</v>
      </c>
      <c r="I1273" s="3">
        <f t="shared" si="58"/>
        <v>9.0209491235570365E-3</v>
      </c>
    </row>
    <row r="1274" spans="2:9" x14ac:dyDescent="0.25">
      <c r="B1274" s="1">
        <v>37034</v>
      </c>
      <c r="C1274" s="2">
        <v>1179.0999999999999</v>
      </c>
      <c r="D1274" s="2">
        <v>1168.25</v>
      </c>
      <c r="E1274" s="2">
        <v>1181.8</v>
      </c>
      <c r="F1274" s="2">
        <v>1167</v>
      </c>
      <c r="G1274" s="3">
        <f t="shared" si="59"/>
        <v>9.4170019690094087E-3</v>
      </c>
      <c r="H1274" s="2">
        <f t="shared" si="57"/>
        <v>14.799999999999955</v>
      </c>
      <c r="I1274" s="3">
        <f t="shared" si="58"/>
        <v>1.2668521292531525E-2</v>
      </c>
    </row>
    <row r="1275" spans="2:9" x14ac:dyDescent="0.25">
      <c r="B1275" s="1">
        <v>37035</v>
      </c>
      <c r="C1275" s="2">
        <v>1181.8499999999999</v>
      </c>
      <c r="D1275" s="2">
        <v>1179.0999999999999</v>
      </c>
      <c r="E1275" s="2">
        <v>1190.1500000000001</v>
      </c>
      <c r="F1275" s="2">
        <v>1177.55</v>
      </c>
      <c r="G1275" s="3">
        <f t="shared" si="59"/>
        <v>2.3322873377999986E-3</v>
      </c>
      <c r="H1275" s="2">
        <f t="shared" si="57"/>
        <v>12.600000000000136</v>
      </c>
      <c r="I1275" s="3">
        <f t="shared" si="58"/>
        <v>1.0686116529556557E-2</v>
      </c>
    </row>
    <row r="1276" spans="2:9" x14ac:dyDescent="0.25">
      <c r="B1276" s="1">
        <v>37036</v>
      </c>
      <c r="C1276" s="2">
        <v>1174.9000000000001</v>
      </c>
      <c r="D1276" s="2">
        <v>1181.95</v>
      </c>
      <c r="E1276" s="2">
        <v>1188.5</v>
      </c>
      <c r="F1276" s="2">
        <v>1171.3499999999999</v>
      </c>
      <c r="G1276" s="3">
        <f t="shared" si="59"/>
        <v>-5.88061090662928E-3</v>
      </c>
      <c r="H1276" s="2">
        <f t="shared" si="57"/>
        <v>17.150000000000091</v>
      </c>
      <c r="I1276" s="3">
        <f t="shared" si="58"/>
        <v>1.4509920047379407E-2</v>
      </c>
    </row>
    <row r="1277" spans="2:9" x14ac:dyDescent="0.25">
      <c r="B1277" s="1">
        <v>37039</v>
      </c>
      <c r="C1277" s="2">
        <v>1193.2</v>
      </c>
      <c r="D1277" s="2">
        <v>1174.95</v>
      </c>
      <c r="E1277" s="2">
        <v>1194.5</v>
      </c>
      <c r="F1277" s="2">
        <v>1174.45</v>
      </c>
      <c r="G1277" s="3">
        <f t="shared" si="59"/>
        <v>1.557579368456885E-2</v>
      </c>
      <c r="H1277" s="2">
        <f t="shared" si="57"/>
        <v>20.049999999999955</v>
      </c>
      <c r="I1277" s="3">
        <f t="shared" si="58"/>
        <v>1.7064555938550538E-2</v>
      </c>
    </row>
    <row r="1278" spans="2:9" x14ac:dyDescent="0.25">
      <c r="B1278" s="1">
        <v>37040</v>
      </c>
      <c r="C1278" s="2">
        <v>1198.45</v>
      </c>
      <c r="D1278" s="2">
        <v>1193.25</v>
      </c>
      <c r="E1278" s="2">
        <v>1202.05</v>
      </c>
      <c r="F1278" s="2">
        <v>1193.25</v>
      </c>
      <c r="G1278" s="3">
        <f t="shared" si="59"/>
        <v>4.3999329534025744E-3</v>
      </c>
      <c r="H1278" s="2">
        <f t="shared" si="57"/>
        <v>8.7999999999999545</v>
      </c>
      <c r="I1278" s="3">
        <f t="shared" si="58"/>
        <v>7.3748166771422201E-3</v>
      </c>
    </row>
    <row r="1279" spans="2:9" x14ac:dyDescent="0.25">
      <c r="B1279" s="1">
        <v>37041</v>
      </c>
      <c r="C1279" s="2">
        <v>1177.55</v>
      </c>
      <c r="D1279" s="2">
        <v>1199.5</v>
      </c>
      <c r="E1279" s="2">
        <v>1207</v>
      </c>
      <c r="F1279" s="2">
        <v>1173.75</v>
      </c>
      <c r="G1279" s="3">
        <f t="shared" si="59"/>
        <v>-1.7439192290041428E-2</v>
      </c>
      <c r="H1279" s="2">
        <f t="shared" si="57"/>
        <v>33.25</v>
      </c>
      <c r="I1279" s="3">
        <f t="shared" si="58"/>
        <v>2.7719883284701961E-2</v>
      </c>
    </row>
    <row r="1280" spans="2:9" x14ac:dyDescent="0.25">
      <c r="B1280" s="1">
        <v>37042</v>
      </c>
      <c r="C1280" s="2">
        <v>1167.9000000000001</v>
      </c>
      <c r="D1280" s="2">
        <v>1177.5</v>
      </c>
      <c r="E1280" s="2">
        <v>1177.5</v>
      </c>
      <c r="F1280" s="2">
        <v>1154.9000000000001</v>
      </c>
      <c r="G1280" s="3">
        <f t="shared" si="59"/>
        <v>-8.1949811048361854E-3</v>
      </c>
      <c r="H1280" s="2">
        <f t="shared" si="57"/>
        <v>22.599999999999909</v>
      </c>
      <c r="I1280" s="3">
        <f t="shared" si="58"/>
        <v>1.9193205944798224E-2</v>
      </c>
    </row>
    <row r="1281" spans="2:9" x14ac:dyDescent="0.25">
      <c r="B1281" s="1">
        <v>37043</v>
      </c>
      <c r="C1281" s="2">
        <v>1148.05</v>
      </c>
      <c r="D1281" s="2">
        <v>1168.0999999999999</v>
      </c>
      <c r="E1281" s="2">
        <v>1175.8</v>
      </c>
      <c r="F1281" s="2">
        <v>1146.9000000000001</v>
      </c>
      <c r="G1281" s="3">
        <f t="shared" si="59"/>
        <v>-1.6996318177926351E-2</v>
      </c>
      <c r="H1281" s="2">
        <f t="shared" si="57"/>
        <v>28.899999999999864</v>
      </c>
      <c r="I1281" s="3">
        <f t="shared" si="58"/>
        <v>2.4741032445852122E-2</v>
      </c>
    </row>
    <row r="1282" spans="2:9" x14ac:dyDescent="0.25">
      <c r="B1282" s="1">
        <v>37046</v>
      </c>
      <c r="C1282" s="2">
        <v>1127.2</v>
      </c>
      <c r="D1282" s="2">
        <v>1148</v>
      </c>
      <c r="E1282" s="2">
        <v>1154.45</v>
      </c>
      <c r="F1282" s="2">
        <v>1125.3499999999999</v>
      </c>
      <c r="G1282" s="3">
        <f t="shared" si="59"/>
        <v>-1.8161229911589083E-2</v>
      </c>
      <c r="H1282" s="2">
        <f t="shared" si="57"/>
        <v>29.100000000000136</v>
      </c>
      <c r="I1282" s="3">
        <f t="shared" si="58"/>
        <v>2.5348432055749246E-2</v>
      </c>
    </row>
    <row r="1283" spans="2:9" x14ac:dyDescent="0.25">
      <c r="B1283" s="1">
        <v>37047</v>
      </c>
      <c r="C1283" s="2">
        <v>1115.5999999999999</v>
      </c>
      <c r="D1283" s="2">
        <v>1127.1500000000001</v>
      </c>
      <c r="E1283" s="2">
        <v>1130.6500000000001</v>
      </c>
      <c r="F1283" s="2">
        <v>1106.8</v>
      </c>
      <c r="G1283" s="3">
        <f t="shared" si="59"/>
        <v>-1.0290986515259171E-2</v>
      </c>
      <c r="H1283" s="2">
        <f t="shared" si="57"/>
        <v>23.850000000000136</v>
      </c>
      <c r="I1283" s="3">
        <f t="shared" si="58"/>
        <v>2.1159561726478406E-2</v>
      </c>
    </row>
    <row r="1284" spans="2:9" x14ac:dyDescent="0.25">
      <c r="B1284" s="1">
        <v>37048</v>
      </c>
      <c r="C1284" s="2">
        <v>1115.7</v>
      </c>
      <c r="D1284" s="2">
        <v>1117.5</v>
      </c>
      <c r="E1284" s="2">
        <v>1132.95</v>
      </c>
      <c r="F1284" s="2">
        <v>1114</v>
      </c>
      <c r="G1284" s="3">
        <f t="shared" si="59"/>
        <v>8.9637863033509291E-5</v>
      </c>
      <c r="H1284" s="2">
        <f t="shared" si="57"/>
        <v>18.950000000000045</v>
      </c>
      <c r="I1284" s="3">
        <f t="shared" si="58"/>
        <v>1.6957494407158876E-2</v>
      </c>
    </row>
    <row r="1285" spans="2:9" x14ac:dyDescent="0.25">
      <c r="B1285" s="1">
        <v>37049</v>
      </c>
      <c r="C1285" s="2">
        <v>1112.3499999999999</v>
      </c>
      <c r="D1285" s="2">
        <v>1115.05</v>
      </c>
      <c r="E1285" s="2">
        <v>1116.0999999999999</v>
      </c>
      <c r="F1285" s="2">
        <v>1095.45</v>
      </c>
      <c r="G1285" s="3">
        <f t="shared" si="59"/>
        <v>-3.0025992650355438E-3</v>
      </c>
      <c r="H1285" s="2">
        <f t="shared" ref="H1285:H1348" si="60">E1285-F1285</f>
        <v>20.649999999999864</v>
      </c>
      <c r="I1285" s="3">
        <f t="shared" si="58"/>
        <v>1.8519348908120591E-2</v>
      </c>
    </row>
    <row r="1286" spans="2:9" x14ac:dyDescent="0.25">
      <c r="B1286" s="1">
        <v>37050</v>
      </c>
      <c r="C1286" s="2">
        <v>1126.5999999999999</v>
      </c>
      <c r="D1286" s="2">
        <v>1112.45</v>
      </c>
      <c r="E1286" s="2">
        <v>1128.9000000000001</v>
      </c>
      <c r="F1286" s="2">
        <v>1112.45</v>
      </c>
      <c r="G1286" s="3">
        <f t="shared" si="59"/>
        <v>1.2810716051602444E-2</v>
      </c>
      <c r="H1286" s="2">
        <f t="shared" si="60"/>
        <v>16.450000000000045</v>
      </c>
      <c r="I1286" s="3">
        <f t="shared" ref="I1286:I1349" si="61">H1286/D1286</f>
        <v>1.478718144635718E-2</v>
      </c>
    </row>
    <row r="1287" spans="2:9" x14ac:dyDescent="0.25">
      <c r="B1287" s="1">
        <v>37053</v>
      </c>
      <c r="C1287" s="2">
        <v>1131.0999999999999</v>
      </c>
      <c r="D1287" s="2">
        <v>1126.55</v>
      </c>
      <c r="E1287" s="2">
        <v>1134.8</v>
      </c>
      <c r="F1287" s="2">
        <v>1122.3499999999999</v>
      </c>
      <c r="G1287" s="3">
        <f t="shared" ref="G1287:G1350" si="62">C1287/C1286-1</f>
        <v>3.994319190484541E-3</v>
      </c>
      <c r="H1287" s="2">
        <f t="shared" si="60"/>
        <v>12.450000000000045</v>
      </c>
      <c r="I1287" s="3">
        <f t="shared" si="61"/>
        <v>1.1051440237894497E-2</v>
      </c>
    </row>
    <row r="1288" spans="2:9" x14ac:dyDescent="0.25">
      <c r="B1288" s="1">
        <v>37054</v>
      </c>
      <c r="C1288" s="2">
        <v>1127.1500000000001</v>
      </c>
      <c r="D1288" s="2">
        <v>1131.05</v>
      </c>
      <c r="E1288" s="2">
        <v>1133.3</v>
      </c>
      <c r="F1288" s="2">
        <v>1121.8</v>
      </c>
      <c r="G1288" s="3">
        <f t="shared" si="62"/>
        <v>-3.4921757581114488E-3</v>
      </c>
      <c r="H1288" s="2">
        <f t="shared" si="60"/>
        <v>11.5</v>
      </c>
      <c r="I1288" s="3">
        <f t="shared" si="61"/>
        <v>1.0167543433093144E-2</v>
      </c>
    </row>
    <row r="1289" spans="2:9" x14ac:dyDescent="0.25">
      <c r="B1289" s="1">
        <v>37055</v>
      </c>
      <c r="C1289" s="2">
        <v>1129</v>
      </c>
      <c r="D1289" s="2">
        <v>1127.0999999999999</v>
      </c>
      <c r="E1289" s="2">
        <v>1132.95</v>
      </c>
      <c r="F1289" s="2">
        <v>1126.9000000000001</v>
      </c>
      <c r="G1289" s="3">
        <f t="shared" si="62"/>
        <v>1.6413077230181816E-3</v>
      </c>
      <c r="H1289" s="2">
        <f t="shared" si="60"/>
        <v>6.0499999999999545</v>
      </c>
      <c r="I1289" s="3">
        <f t="shared" si="61"/>
        <v>5.3677579629136324E-3</v>
      </c>
    </row>
    <row r="1290" spans="2:9" x14ac:dyDescent="0.25">
      <c r="B1290" s="1">
        <v>37056</v>
      </c>
      <c r="C1290" s="2">
        <v>1112.75</v>
      </c>
      <c r="D1290" s="2">
        <v>1128.95</v>
      </c>
      <c r="E1290" s="2">
        <v>1128.95</v>
      </c>
      <c r="F1290" s="2">
        <v>1110.1500000000001</v>
      </c>
      <c r="G1290" s="3">
        <f t="shared" si="62"/>
        <v>-1.4393268379096491E-2</v>
      </c>
      <c r="H1290" s="2">
        <f t="shared" si="60"/>
        <v>18.799999999999955</v>
      </c>
      <c r="I1290" s="3">
        <f t="shared" si="61"/>
        <v>1.6652641835333677E-2</v>
      </c>
    </row>
    <row r="1291" spans="2:9" x14ac:dyDescent="0.25">
      <c r="B1291" s="1">
        <v>37057</v>
      </c>
      <c r="C1291" s="2">
        <v>1087.75</v>
      </c>
      <c r="D1291" s="2">
        <v>1112.7</v>
      </c>
      <c r="E1291" s="2">
        <v>1112.7</v>
      </c>
      <c r="F1291" s="2">
        <v>1084.2</v>
      </c>
      <c r="G1291" s="3">
        <f t="shared" si="62"/>
        <v>-2.2466861379465297E-2</v>
      </c>
      <c r="H1291" s="2">
        <f t="shared" si="60"/>
        <v>28.5</v>
      </c>
      <c r="I1291" s="3">
        <f t="shared" si="61"/>
        <v>2.5613372876786195E-2</v>
      </c>
    </row>
    <row r="1292" spans="2:9" x14ac:dyDescent="0.25">
      <c r="B1292" s="1">
        <v>37060</v>
      </c>
      <c r="C1292" s="2">
        <v>1078.3</v>
      </c>
      <c r="D1292" s="2">
        <v>1087.75</v>
      </c>
      <c r="E1292" s="2">
        <v>1087.75</v>
      </c>
      <c r="F1292" s="2">
        <v>1064.4000000000001</v>
      </c>
      <c r="G1292" s="3">
        <f t="shared" si="62"/>
        <v>-8.6876580096529876E-3</v>
      </c>
      <c r="H1292" s="2">
        <f t="shared" si="60"/>
        <v>23.349999999999909</v>
      </c>
      <c r="I1292" s="3">
        <f t="shared" si="61"/>
        <v>2.1466329579406949E-2</v>
      </c>
    </row>
    <row r="1293" spans="2:9" x14ac:dyDescent="0.25">
      <c r="B1293" s="1">
        <v>37061</v>
      </c>
      <c r="C1293" s="2">
        <v>1096.6500000000001</v>
      </c>
      <c r="D1293" s="2">
        <v>1078.25</v>
      </c>
      <c r="E1293" s="2">
        <v>1099.7</v>
      </c>
      <c r="F1293" s="2">
        <v>1075.45</v>
      </c>
      <c r="G1293" s="3">
        <f t="shared" si="62"/>
        <v>1.7017527589724635E-2</v>
      </c>
      <c r="H1293" s="2">
        <f t="shared" si="60"/>
        <v>24.25</v>
      </c>
      <c r="I1293" s="3">
        <f t="shared" si="61"/>
        <v>2.2490146070020867E-2</v>
      </c>
    </row>
    <row r="1294" spans="2:9" x14ac:dyDescent="0.25">
      <c r="B1294" s="1">
        <v>37062</v>
      </c>
      <c r="C1294" s="2">
        <v>1097.5999999999999</v>
      </c>
      <c r="D1294" s="2">
        <v>1096.3499999999999</v>
      </c>
      <c r="E1294" s="2">
        <v>1100.55</v>
      </c>
      <c r="F1294" s="2">
        <v>1084.7</v>
      </c>
      <c r="G1294" s="3">
        <f t="shared" si="62"/>
        <v>8.662745634431257E-4</v>
      </c>
      <c r="H1294" s="2">
        <f t="shared" si="60"/>
        <v>15.849999999999909</v>
      </c>
      <c r="I1294" s="3">
        <f t="shared" si="61"/>
        <v>1.4457062069594483E-2</v>
      </c>
    </row>
    <row r="1295" spans="2:9" x14ac:dyDescent="0.25">
      <c r="B1295" s="1">
        <v>37063</v>
      </c>
      <c r="C1295" s="2">
        <v>1095.2</v>
      </c>
      <c r="D1295" s="2">
        <v>1097.9000000000001</v>
      </c>
      <c r="E1295" s="2">
        <v>1102.45</v>
      </c>
      <c r="F1295" s="2">
        <v>1090.25</v>
      </c>
      <c r="G1295" s="3">
        <f t="shared" si="62"/>
        <v>-2.1865889212826506E-3</v>
      </c>
      <c r="H1295" s="2">
        <f t="shared" si="60"/>
        <v>12.200000000000045</v>
      </c>
      <c r="I1295" s="3">
        <f t="shared" si="61"/>
        <v>1.1112123144184392E-2</v>
      </c>
    </row>
    <row r="1296" spans="2:9" x14ac:dyDescent="0.25">
      <c r="B1296" s="1">
        <v>37064</v>
      </c>
      <c r="C1296" s="2">
        <v>1087.6500000000001</v>
      </c>
      <c r="D1296" s="2">
        <v>1095.8499999999999</v>
      </c>
      <c r="E1296" s="2">
        <v>1097.8</v>
      </c>
      <c r="F1296" s="2">
        <v>1081.3</v>
      </c>
      <c r="G1296" s="3">
        <f t="shared" si="62"/>
        <v>-6.8937180423666033E-3</v>
      </c>
      <c r="H1296" s="2">
        <f t="shared" si="60"/>
        <v>16.5</v>
      </c>
      <c r="I1296" s="3">
        <f t="shared" si="61"/>
        <v>1.5056805219692477E-2</v>
      </c>
    </row>
    <row r="1297" spans="2:9" x14ac:dyDescent="0.25">
      <c r="B1297" s="1">
        <v>37067</v>
      </c>
      <c r="C1297" s="2">
        <v>1067</v>
      </c>
      <c r="D1297" s="2">
        <v>1087.0999999999999</v>
      </c>
      <c r="E1297" s="2">
        <v>1087.0999999999999</v>
      </c>
      <c r="F1297" s="2">
        <v>1064.4000000000001</v>
      </c>
      <c r="G1297" s="3">
        <f t="shared" si="62"/>
        <v>-1.8985887004091428E-2</v>
      </c>
      <c r="H1297" s="2">
        <f t="shared" si="60"/>
        <v>22.699999999999818</v>
      </c>
      <c r="I1297" s="3">
        <f t="shared" si="61"/>
        <v>2.0881243675834625E-2</v>
      </c>
    </row>
    <row r="1298" spans="2:9" x14ac:dyDescent="0.25">
      <c r="B1298" s="1">
        <v>37068</v>
      </c>
      <c r="C1298" s="2">
        <v>1096.5999999999999</v>
      </c>
      <c r="D1298" s="2">
        <v>1066.4000000000001</v>
      </c>
      <c r="E1298" s="2">
        <v>1099.8</v>
      </c>
      <c r="F1298" s="2">
        <v>1060.05</v>
      </c>
      <c r="G1298" s="3">
        <f t="shared" si="62"/>
        <v>2.7741330834114342E-2</v>
      </c>
      <c r="H1298" s="2">
        <f t="shared" si="60"/>
        <v>39.75</v>
      </c>
      <c r="I1298" s="3">
        <f t="shared" si="61"/>
        <v>3.7274943735933978E-2</v>
      </c>
    </row>
    <row r="1299" spans="2:9" x14ac:dyDescent="0.25">
      <c r="B1299" s="1">
        <v>37069</v>
      </c>
      <c r="C1299" s="2">
        <v>1096.0999999999999</v>
      </c>
      <c r="D1299" s="2">
        <v>1096.5999999999999</v>
      </c>
      <c r="E1299" s="2">
        <v>1102.8</v>
      </c>
      <c r="F1299" s="2">
        <v>1086.75</v>
      </c>
      <c r="G1299" s="3">
        <f t="shared" si="62"/>
        <v>-4.5595476928683709E-4</v>
      </c>
      <c r="H1299" s="2">
        <f t="shared" si="60"/>
        <v>16.049999999999955</v>
      </c>
      <c r="I1299" s="3">
        <f t="shared" si="61"/>
        <v>1.4636148094109024E-2</v>
      </c>
    </row>
    <row r="1300" spans="2:9" x14ac:dyDescent="0.25">
      <c r="B1300" s="1">
        <v>37070</v>
      </c>
      <c r="C1300" s="2">
        <v>1094</v>
      </c>
      <c r="D1300" s="2">
        <v>1095.8499999999999</v>
      </c>
      <c r="E1300" s="2">
        <v>1101</v>
      </c>
      <c r="F1300" s="2">
        <v>1090.2</v>
      </c>
      <c r="G1300" s="3">
        <f t="shared" si="62"/>
        <v>-1.9158835872638003E-3</v>
      </c>
      <c r="H1300" s="2">
        <f t="shared" si="60"/>
        <v>10.799999999999955</v>
      </c>
      <c r="I1300" s="3">
        <f t="shared" si="61"/>
        <v>9.8553634165259429E-3</v>
      </c>
    </row>
    <row r="1301" spans="2:9" x14ac:dyDescent="0.25">
      <c r="B1301" s="1">
        <v>37071</v>
      </c>
      <c r="C1301" s="2">
        <v>1107.9000000000001</v>
      </c>
      <c r="D1301" s="2">
        <v>1094.05</v>
      </c>
      <c r="E1301" s="2">
        <v>1114.3499999999999</v>
      </c>
      <c r="F1301" s="2">
        <v>1091.05</v>
      </c>
      <c r="G1301" s="3">
        <f t="shared" si="62"/>
        <v>1.2705667276051269E-2</v>
      </c>
      <c r="H1301" s="2">
        <f t="shared" si="60"/>
        <v>23.299999999999955</v>
      </c>
      <c r="I1301" s="3">
        <f t="shared" si="61"/>
        <v>2.1297015675700338E-2</v>
      </c>
    </row>
    <row r="1302" spans="2:9" x14ac:dyDescent="0.25">
      <c r="B1302" s="1">
        <v>37074</v>
      </c>
      <c r="C1302" s="2">
        <v>1100.75</v>
      </c>
      <c r="D1302" s="2">
        <v>1108.3499999999999</v>
      </c>
      <c r="E1302" s="2">
        <v>1119.55</v>
      </c>
      <c r="F1302" s="2">
        <v>1097.95</v>
      </c>
      <c r="G1302" s="3">
        <f t="shared" si="62"/>
        <v>-6.4536510515390555E-3</v>
      </c>
      <c r="H1302" s="2">
        <f t="shared" si="60"/>
        <v>21.599999999999909</v>
      </c>
      <c r="I1302" s="3">
        <f t="shared" si="61"/>
        <v>1.9488428745432319E-2</v>
      </c>
    </row>
    <row r="1303" spans="2:9" x14ac:dyDescent="0.25">
      <c r="B1303" s="1">
        <v>37075</v>
      </c>
      <c r="C1303" s="2">
        <v>1069.8</v>
      </c>
      <c r="D1303" s="2">
        <v>1097.4000000000001</v>
      </c>
      <c r="E1303" s="2">
        <v>1097.4000000000001</v>
      </c>
      <c r="F1303" s="2">
        <v>1066.05</v>
      </c>
      <c r="G1303" s="3">
        <f t="shared" si="62"/>
        <v>-2.8117192823075232E-2</v>
      </c>
      <c r="H1303" s="2">
        <f t="shared" si="60"/>
        <v>31.350000000000136</v>
      </c>
      <c r="I1303" s="3">
        <f t="shared" si="61"/>
        <v>2.8567523236741509E-2</v>
      </c>
    </row>
    <row r="1304" spans="2:9" x14ac:dyDescent="0.25">
      <c r="B1304" s="1">
        <v>37076</v>
      </c>
      <c r="C1304" s="2">
        <v>1067.95</v>
      </c>
      <c r="D1304" s="2">
        <v>1068.05</v>
      </c>
      <c r="E1304" s="2">
        <v>1074.5999999999999</v>
      </c>
      <c r="F1304" s="2">
        <v>1062.2</v>
      </c>
      <c r="G1304" s="3">
        <f t="shared" si="62"/>
        <v>-1.7292951953635782E-3</v>
      </c>
      <c r="H1304" s="2">
        <f t="shared" si="60"/>
        <v>12.399999999999864</v>
      </c>
      <c r="I1304" s="3">
        <f t="shared" si="61"/>
        <v>1.1609943354711732E-2</v>
      </c>
    </row>
    <row r="1305" spans="2:9" x14ac:dyDescent="0.25">
      <c r="B1305" s="1">
        <v>37077</v>
      </c>
      <c r="C1305" s="2">
        <v>1069.75</v>
      </c>
      <c r="D1305" s="2">
        <v>1068.3499999999999</v>
      </c>
      <c r="E1305" s="2">
        <v>1079.3499999999999</v>
      </c>
      <c r="F1305" s="2">
        <v>1066.95</v>
      </c>
      <c r="G1305" s="3">
        <f t="shared" si="62"/>
        <v>1.6854721662997729E-3</v>
      </c>
      <c r="H1305" s="2">
        <f t="shared" si="60"/>
        <v>12.399999999999864</v>
      </c>
      <c r="I1305" s="3">
        <f t="shared" si="61"/>
        <v>1.1606683203070027E-2</v>
      </c>
    </row>
    <row r="1306" spans="2:9" x14ac:dyDescent="0.25">
      <c r="B1306" s="1">
        <v>37078</v>
      </c>
      <c r="C1306" s="2">
        <v>1065.0999999999999</v>
      </c>
      <c r="D1306" s="2">
        <v>1069.1500000000001</v>
      </c>
      <c r="E1306" s="2">
        <v>1069.1500000000001</v>
      </c>
      <c r="F1306" s="2">
        <v>1059.5999999999999</v>
      </c>
      <c r="G1306" s="3">
        <f t="shared" si="62"/>
        <v>-4.3468100023370537E-3</v>
      </c>
      <c r="H1306" s="2">
        <f t="shared" si="60"/>
        <v>9.5500000000001819</v>
      </c>
      <c r="I1306" s="3">
        <f t="shared" si="61"/>
        <v>8.9323294205679096E-3</v>
      </c>
    </row>
    <row r="1307" spans="2:9" x14ac:dyDescent="0.25">
      <c r="B1307" s="1">
        <v>37081</v>
      </c>
      <c r="C1307" s="2">
        <v>1059.5</v>
      </c>
      <c r="D1307" s="2">
        <v>1064.8</v>
      </c>
      <c r="E1307" s="2">
        <v>1064.8</v>
      </c>
      <c r="F1307" s="2">
        <v>1052.0999999999999</v>
      </c>
      <c r="G1307" s="3">
        <f t="shared" si="62"/>
        <v>-5.2577222795980871E-3</v>
      </c>
      <c r="H1307" s="2">
        <f t="shared" si="60"/>
        <v>12.700000000000045</v>
      </c>
      <c r="I1307" s="3">
        <f t="shared" si="61"/>
        <v>1.192712246431259E-2</v>
      </c>
    </row>
    <row r="1308" spans="2:9" x14ac:dyDescent="0.25">
      <c r="B1308" s="1">
        <v>37082</v>
      </c>
      <c r="C1308" s="2">
        <v>1072.05</v>
      </c>
      <c r="D1308" s="2">
        <v>1059.95</v>
      </c>
      <c r="E1308" s="2">
        <v>1078.0999999999999</v>
      </c>
      <c r="F1308" s="2">
        <v>1059.25</v>
      </c>
      <c r="G1308" s="3">
        <f t="shared" si="62"/>
        <v>1.1845210004719053E-2</v>
      </c>
      <c r="H1308" s="2">
        <f t="shared" si="60"/>
        <v>18.849999999999909</v>
      </c>
      <c r="I1308" s="3">
        <f t="shared" si="61"/>
        <v>1.778385772913808E-2</v>
      </c>
    </row>
    <row r="1309" spans="2:9" x14ac:dyDescent="0.25">
      <c r="B1309" s="1">
        <v>37083</v>
      </c>
      <c r="C1309" s="2">
        <v>1083.6500000000001</v>
      </c>
      <c r="D1309" s="2">
        <v>1072.1500000000001</v>
      </c>
      <c r="E1309" s="2">
        <v>1088.5</v>
      </c>
      <c r="F1309" s="2">
        <v>1068.3499999999999</v>
      </c>
      <c r="G1309" s="3">
        <f t="shared" si="62"/>
        <v>1.0820390839979543E-2</v>
      </c>
      <c r="H1309" s="2">
        <f t="shared" si="60"/>
        <v>20.150000000000091</v>
      </c>
      <c r="I1309" s="3">
        <f t="shared" si="61"/>
        <v>1.8794012031898604E-2</v>
      </c>
    </row>
    <row r="1310" spans="2:9" x14ac:dyDescent="0.25">
      <c r="B1310" s="1">
        <v>37084</v>
      </c>
      <c r="C1310" s="2">
        <v>1105.5</v>
      </c>
      <c r="D1310" s="2">
        <v>1083.8</v>
      </c>
      <c r="E1310" s="2">
        <v>1109</v>
      </c>
      <c r="F1310" s="2">
        <v>1083.8</v>
      </c>
      <c r="G1310" s="3">
        <f t="shared" si="62"/>
        <v>2.0163336870760773E-2</v>
      </c>
      <c r="H1310" s="2">
        <f t="shared" si="60"/>
        <v>25.200000000000045</v>
      </c>
      <c r="I1310" s="3">
        <f t="shared" si="61"/>
        <v>2.3251522421110948E-2</v>
      </c>
    </row>
    <row r="1311" spans="2:9" x14ac:dyDescent="0.25">
      <c r="B1311" s="1">
        <v>37085</v>
      </c>
      <c r="C1311" s="2">
        <v>1110.45</v>
      </c>
      <c r="D1311" s="2">
        <v>1105.7</v>
      </c>
      <c r="E1311" s="2">
        <v>1127.1500000000001</v>
      </c>
      <c r="F1311" s="2">
        <v>1103.3</v>
      </c>
      <c r="G1311" s="3">
        <f t="shared" si="62"/>
        <v>4.4776119402984982E-3</v>
      </c>
      <c r="H1311" s="2">
        <f t="shared" si="60"/>
        <v>23.850000000000136</v>
      </c>
      <c r="I1311" s="3">
        <f t="shared" si="61"/>
        <v>2.1570046124627054E-2</v>
      </c>
    </row>
    <row r="1312" spans="2:9" x14ac:dyDescent="0.25">
      <c r="B1312" s="1">
        <v>37088</v>
      </c>
      <c r="C1312" s="2">
        <v>1105.55</v>
      </c>
      <c r="D1312" s="2">
        <v>1110.3499999999999</v>
      </c>
      <c r="E1312" s="2">
        <v>1116.7</v>
      </c>
      <c r="F1312" s="2">
        <v>1102.45</v>
      </c>
      <c r="G1312" s="3">
        <f t="shared" si="62"/>
        <v>-4.4126255121798019E-3</v>
      </c>
      <c r="H1312" s="2">
        <f t="shared" si="60"/>
        <v>14.25</v>
      </c>
      <c r="I1312" s="3">
        <f t="shared" si="61"/>
        <v>1.2833791146935652E-2</v>
      </c>
    </row>
    <row r="1313" spans="2:9" x14ac:dyDescent="0.25">
      <c r="B1313" s="1">
        <v>37089</v>
      </c>
      <c r="C1313" s="2">
        <v>1103.0999999999999</v>
      </c>
      <c r="D1313" s="2">
        <v>1103.55</v>
      </c>
      <c r="E1313" s="2">
        <v>1106.05</v>
      </c>
      <c r="F1313" s="2">
        <v>1092.5</v>
      </c>
      <c r="G1313" s="3">
        <f t="shared" si="62"/>
        <v>-2.2160915381485013E-3</v>
      </c>
      <c r="H1313" s="2">
        <f t="shared" si="60"/>
        <v>13.549999999999955</v>
      </c>
      <c r="I1313" s="3">
        <f t="shared" si="61"/>
        <v>1.227855557065829E-2</v>
      </c>
    </row>
    <row r="1314" spans="2:9" x14ac:dyDescent="0.25">
      <c r="B1314" s="1">
        <v>37090</v>
      </c>
      <c r="C1314" s="2">
        <v>1091.95</v>
      </c>
      <c r="D1314" s="2">
        <v>1103.0999999999999</v>
      </c>
      <c r="E1314" s="2">
        <v>1108.45</v>
      </c>
      <c r="F1314" s="2">
        <v>1088.0999999999999</v>
      </c>
      <c r="G1314" s="3">
        <f t="shared" si="62"/>
        <v>-1.0107877798930187E-2</v>
      </c>
      <c r="H1314" s="2">
        <f t="shared" si="60"/>
        <v>20.350000000000136</v>
      </c>
      <c r="I1314" s="3">
        <f t="shared" si="61"/>
        <v>1.8448010153204731E-2</v>
      </c>
    </row>
    <row r="1315" spans="2:9" x14ac:dyDescent="0.25">
      <c r="B1315" s="1">
        <v>37091</v>
      </c>
      <c r="C1315" s="2">
        <v>1085.9000000000001</v>
      </c>
      <c r="D1315" s="2">
        <v>1091.3499999999999</v>
      </c>
      <c r="E1315" s="2">
        <v>1091.3499999999999</v>
      </c>
      <c r="F1315" s="2">
        <v>1079.55</v>
      </c>
      <c r="G1315" s="3">
        <f t="shared" si="62"/>
        <v>-5.5405467283300425E-3</v>
      </c>
      <c r="H1315" s="2">
        <f t="shared" si="60"/>
        <v>11.799999999999955</v>
      </c>
      <c r="I1315" s="3">
        <f t="shared" si="61"/>
        <v>1.0812296696751688E-2</v>
      </c>
    </row>
    <row r="1316" spans="2:9" x14ac:dyDescent="0.25">
      <c r="B1316" s="1">
        <v>37092</v>
      </c>
      <c r="C1316" s="2">
        <v>1077.7</v>
      </c>
      <c r="D1316" s="2">
        <v>1085.95</v>
      </c>
      <c r="E1316" s="2">
        <v>1089.95</v>
      </c>
      <c r="F1316" s="2">
        <v>1072.75</v>
      </c>
      <c r="G1316" s="3">
        <f t="shared" si="62"/>
        <v>-7.5513399023852124E-3</v>
      </c>
      <c r="H1316" s="2">
        <f t="shared" si="60"/>
        <v>17.200000000000045</v>
      </c>
      <c r="I1316" s="3">
        <f t="shared" si="61"/>
        <v>1.5838666605276528E-2</v>
      </c>
    </row>
    <row r="1317" spans="2:9" x14ac:dyDescent="0.25">
      <c r="B1317" s="1">
        <v>37095</v>
      </c>
      <c r="C1317" s="2">
        <v>1070.6500000000001</v>
      </c>
      <c r="D1317" s="2">
        <v>1076.1500000000001</v>
      </c>
      <c r="E1317" s="2">
        <v>1076.1500000000001</v>
      </c>
      <c r="F1317" s="2">
        <v>1063.4000000000001</v>
      </c>
      <c r="G1317" s="3">
        <f t="shared" si="62"/>
        <v>-6.5417091955088935E-3</v>
      </c>
      <c r="H1317" s="2">
        <f t="shared" si="60"/>
        <v>12.75</v>
      </c>
      <c r="I1317" s="3">
        <f t="shared" si="61"/>
        <v>1.1847790735492263E-2</v>
      </c>
    </row>
    <row r="1318" spans="2:9" x14ac:dyDescent="0.25">
      <c r="B1318" s="1">
        <v>37096</v>
      </c>
      <c r="C1318" s="2">
        <v>1072.55</v>
      </c>
      <c r="D1318" s="2">
        <v>1065.95</v>
      </c>
      <c r="E1318" s="2">
        <v>1074.75</v>
      </c>
      <c r="F1318" s="2">
        <v>1064.5</v>
      </c>
      <c r="G1318" s="3">
        <f t="shared" si="62"/>
        <v>1.7746228926351915E-3</v>
      </c>
      <c r="H1318" s="2">
        <f t="shared" si="60"/>
        <v>10.25</v>
      </c>
      <c r="I1318" s="3">
        <f t="shared" si="61"/>
        <v>9.6158356395703356E-3</v>
      </c>
    </row>
    <row r="1319" spans="2:9" x14ac:dyDescent="0.25">
      <c r="B1319" s="1">
        <v>37097</v>
      </c>
      <c r="C1319" s="2">
        <v>1064.2</v>
      </c>
      <c r="D1319" s="2">
        <v>1072.45</v>
      </c>
      <c r="E1319" s="2">
        <v>1073.95</v>
      </c>
      <c r="F1319" s="2">
        <v>1062.1500000000001</v>
      </c>
      <c r="G1319" s="3">
        <f t="shared" si="62"/>
        <v>-7.7851848398675649E-3</v>
      </c>
      <c r="H1319" s="2">
        <f t="shared" si="60"/>
        <v>11.799999999999955</v>
      </c>
      <c r="I1319" s="3">
        <f t="shared" si="61"/>
        <v>1.1002843955429114E-2</v>
      </c>
    </row>
    <row r="1320" spans="2:9" x14ac:dyDescent="0.25">
      <c r="B1320" s="1">
        <v>37098</v>
      </c>
      <c r="C1320" s="2">
        <v>1053.4000000000001</v>
      </c>
      <c r="D1320" s="2">
        <v>1063.9000000000001</v>
      </c>
      <c r="E1320" s="2">
        <v>1066.55</v>
      </c>
      <c r="F1320" s="2">
        <v>1050.1500000000001</v>
      </c>
      <c r="G1320" s="3">
        <f t="shared" si="62"/>
        <v>-1.0148468333020078E-2</v>
      </c>
      <c r="H1320" s="2">
        <f t="shared" si="60"/>
        <v>16.399999999999864</v>
      </c>
      <c r="I1320" s="3">
        <f t="shared" si="61"/>
        <v>1.5414982611147534E-2</v>
      </c>
    </row>
    <row r="1321" spans="2:9" x14ac:dyDescent="0.25">
      <c r="B1321" s="1">
        <v>37099</v>
      </c>
      <c r="C1321" s="2">
        <v>1051.7</v>
      </c>
      <c r="D1321" s="2">
        <v>1053.2</v>
      </c>
      <c r="E1321" s="2">
        <v>1061.2</v>
      </c>
      <c r="F1321" s="2">
        <v>1046.9000000000001</v>
      </c>
      <c r="G1321" s="3">
        <f t="shared" si="62"/>
        <v>-1.6138219100056972E-3</v>
      </c>
      <c r="H1321" s="2">
        <f t="shared" si="60"/>
        <v>14.299999999999955</v>
      </c>
      <c r="I1321" s="3">
        <f t="shared" si="61"/>
        <v>1.3577668059247962E-2</v>
      </c>
    </row>
    <row r="1322" spans="2:9" x14ac:dyDescent="0.25">
      <c r="B1322" s="1">
        <v>37102</v>
      </c>
      <c r="C1322" s="2">
        <v>1061.45</v>
      </c>
      <c r="D1322" s="2">
        <v>1051.45</v>
      </c>
      <c r="E1322" s="2">
        <v>1062.8</v>
      </c>
      <c r="F1322" s="2">
        <v>1050.9000000000001</v>
      </c>
      <c r="G1322" s="3">
        <f t="shared" si="62"/>
        <v>9.2707045735476168E-3</v>
      </c>
      <c r="H1322" s="2">
        <f t="shared" si="60"/>
        <v>11.899999999999864</v>
      </c>
      <c r="I1322" s="3">
        <f t="shared" si="61"/>
        <v>1.13177041228778E-2</v>
      </c>
    </row>
    <row r="1323" spans="2:9" x14ac:dyDescent="0.25">
      <c r="B1323" s="1">
        <v>37103</v>
      </c>
      <c r="C1323" s="2">
        <v>1072.8499999999999</v>
      </c>
      <c r="D1323" s="2">
        <v>1061.45</v>
      </c>
      <c r="E1323" s="2">
        <v>1076.3499999999999</v>
      </c>
      <c r="F1323" s="2">
        <v>1053.5999999999999</v>
      </c>
      <c r="G1323" s="3">
        <f t="shared" si="62"/>
        <v>1.0740025436902112E-2</v>
      </c>
      <c r="H1323" s="2">
        <f t="shared" si="60"/>
        <v>22.75</v>
      </c>
      <c r="I1323" s="3">
        <f t="shared" si="61"/>
        <v>2.1432945499081445E-2</v>
      </c>
    </row>
    <row r="1324" spans="2:9" x14ac:dyDescent="0.25">
      <c r="B1324" s="1">
        <v>37104</v>
      </c>
      <c r="C1324" s="2">
        <v>1063.1500000000001</v>
      </c>
      <c r="D1324" s="2">
        <v>1073</v>
      </c>
      <c r="E1324" s="2">
        <v>1077.7</v>
      </c>
      <c r="F1324" s="2">
        <v>1059.75</v>
      </c>
      <c r="G1324" s="3">
        <f t="shared" si="62"/>
        <v>-9.0413384909351358E-3</v>
      </c>
      <c r="H1324" s="2">
        <f t="shared" si="60"/>
        <v>17.950000000000045</v>
      </c>
      <c r="I1324" s="3">
        <f t="shared" si="61"/>
        <v>1.6728797763280564E-2</v>
      </c>
    </row>
    <row r="1325" spans="2:9" x14ac:dyDescent="0.25">
      <c r="B1325" s="1">
        <v>37105</v>
      </c>
      <c r="C1325" s="2">
        <v>1066</v>
      </c>
      <c r="D1325" s="2">
        <v>1064.25</v>
      </c>
      <c r="E1325" s="2">
        <v>1070.05</v>
      </c>
      <c r="F1325" s="2">
        <v>1059.55</v>
      </c>
      <c r="G1325" s="3">
        <f t="shared" si="62"/>
        <v>2.6807129755912484E-3</v>
      </c>
      <c r="H1325" s="2">
        <f t="shared" si="60"/>
        <v>10.5</v>
      </c>
      <c r="I1325" s="3">
        <f t="shared" si="61"/>
        <v>9.8661028893587029E-3</v>
      </c>
    </row>
    <row r="1326" spans="2:9" x14ac:dyDescent="0.25">
      <c r="B1326" s="1">
        <v>37106</v>
      </c>
      <c r="C1326" s="2">
        <v>1074.5999999999999</v>
      </c>
      <c r="D1326" s="2">
        <v>1066.4000000000001</v>
      </c>
      <c r="E1326" s="2">
        <v>1077.55</v>
      </c>
      <c r="F1326" s="2">
        <v>1066.2</v>
      </c>
      <c r="G1326" s="3">
        <f t="shared" si="62"/>
        <v>8.0675422138836161E-3</v>
      </c>
      <c r="H1326" s="2">
        <f t="shared" si="60"/>
        <v>11.349999999999909</v>
      </c>
      <c r="I1326" s="3">
        <f t="shared" si="61"/>
        <v>1.0643285821455278E-2</v>
      </c>
    </row>
    <row r="1327" spans="2:9" x14ac:dyDescent="0.25">
      <c r="B1327" s="1">
        <v>37109</v>
      </c>
      <c r="C1327" s="2">
        <v>1075.25</v>
      </c>
      <c r="D1327" s="2">
        <v>1074.2</v>
      </c>
      <c r="E1327" s="2">
        <v>1082.4000000000001</v>
      </c>
      <c r="F1327" s="2">
        <v>1072.55</v>
      </c>
      <c r="G1327" s="3">
        <f t="shared" si="62"/>
        <v>6.0487623301708204E-4</v>
      </c>
      <c r="H1327" s="2">
        <f t="shared" si="60"/>
        <v>9.8500000000001364</v>
      </c>
      <c r="I1327" s="3">
        <f t="shared" si="61"/>
        <v>9.1696145969094537E-3</v>
      </c>
    </row>
    <row r="1328" spans="2:9" x14ac:dyDescent="0.25">
      <c r="B1328" s="1">
        <v>37110</v>
      </c>
      <c r="C1328" s="2">
        <v>1072.0999999999999</v>
      </c>
      <c r="D1328" s="2">
        <v>1074.3499999999999</v>
      </c>
      <c r="E1328" s="2">
        <v>1079.3</v>
      </c>
      <c r="F1328" s="2">
        <v>1070.2</v>
      </c>
      <c r="G1328" s="3">
        <f t="shared" si="62"/>
        <v>-2.9295512671472235E-3</v>
      </c>
      <c r="H1328" s="2">
        <f t="shared" si="60"/>
        <v>9.0999999999999091</v>
      </c>
      <c r="I1328" s="3">
        <f t="shared" si="61"/>
        <v>8.4702378182155806E-3</v>
      </c>
    </row>
    <row r="1329" spans="2:9" x14ac:dyDescent="0.25">
      <c r="B1329" s="1">
        <v>37111</v>
      </c>
      <c r="C1329" s="2">
        <v>1068</v>
      </c>
      <c r="D1329" s="2">
        <v>1071.75</v>
      </c>
      <c r="E1329" s="2">
        <v>1072.0999999999999</v>
      </c>
      <c r="F1329" s="2">
        <v>1059.55</v>
      </c>
      <c r="G1329" s="3">
        <f t="shared" si="62"/>
        <v>-3.8242701240555066E-3</v>
      </c>
      <c r="H1329" s="2">
        <f t="shared" si="60"/>
        <v>12.549999999999955</v>
      </c>
      <c r="I1329" s="3">
        <f t="shared" si="61"/>
        <v>1.1709820387217126E-2</v>
      </c>
    </row>
    <row r="1330" spans="2:9" x14ac:dyDescent="0.25">
      <c r="B1330" s="1">
        <v>37112</v>
      </c>
      <c r="C1330" s="2">
        <v>1070.6500000000001</v>
      </c>
      <c r="D1330" s="2">
        <v>1068.0999999999999</v>
      </c>
      <c r="E1330" s="2">
        <v>1072.5999999999999</v>
      </c>
      <c r="F1330" s="2">
        <v>1061.4000000000001</v>
      </c>
      <c r="G1330" s="3">
        <f t="shared" si="62"/>
        <v>2.4812734082397814E-3</v>
      </c>
      <c r="H1330" s="2">
        <f t="shared" si="60"/>
        <v>11.199999999999818</v>
      </c>
      <c r="I1330" s="3">
        <f t="shared" si="61"/>
        <v>1.0485909559029885E-2</v>
      </c>
    </row>
    <row r="1331" spans="2:9" x14ac:dyDescent="0.25">
      <c r="B1331" s="1">
        <v>37113</v>
      </c>
      <c r="C1331" s="2">
        <v>1071.1500000000001</v>
      </c>
      <c r="D1331" s="2">
        <v>1070.6500000000001</v>
      </c>
      <c r="E1331" s="2">
        <v>1076.7</v>
      </c>
      <c r="F1331" s="2">
        <v>1069.05</v>
      </c>
      <c r="G1331" s="3">
        <f t="shared" si="62"/>
        <v>4.6700602437765859E-4</v>
      </c>
      <c r="H1331" s="2">
        <f t="shared" si="60"/>
        <v>7.6500000000000909</v>
      </c>
      <c r="I1331" s="3">
        <f t="shared" si="61"/>
        <v>7.1451921729791161E-3</v>
      </c>
    </row>
    <row r="1332" spans="2:9" x14ac:dyDescent="0.25">
      <c r="B1332" s="1">
        <v>37116</v>
      </c>
      <c r="C1332" s="2">
        <v>1063</v>
      </c>
      <c r="D1332" s="2">
        <v>1070.95</v>
      </c>
      <c r="E1332" s="2">
        <v>1081.4000000000001</v>
      </c>
      <c r="F1332" s="2">
        <v>1061.05</v>
      </c>
      <c r="G1332" s="3">
        <f t="shared" si="62"/>
        <v>-7.6086449143444312E-3</v>
      </c>
      <c r="H1332" s="2">
        <f t="shared" si="60"/>
        <v>20.350000000000136</v>
      </c>
      <c r="I1332" s="3">
        <f t="shared" si="61"/>
        <v>1.9001820813296731E-2</v>
      </c>
    </row>
    <row r="1333" spans="2:9" x14ac:dyDescent="0.25">
      <c r="B1333" s="1">
        <v>37117</v>
      </c>
      <c r="C1333" s="2">
        <v>1075.5</v>
      </c>
      <c r="D1333" s="2">
        <v>1063.05</v>
      </c>
      <c r="E1333" s="2">
        <v>1076.5999999999999</v>
      </c>
      <c r="F1333" s="2">
        <v>1062.2</v>
      </c>
      <c r="G1333" s="3">
        <f t="shared" si="62"/>
        <v>1.175917215428024E-2</v>
      </c>
      <c r="H1333" s="2">
        <f t="shared" si="60"/>
        <v>14.399999999999864</v>
      </c>
      <c r="I1333" s="3">
        <f t="shared" si="61"/>
        <v>1.3545929166078607E-2</v>
      </c>
    </row>
    <row r="1334" spans="2:9" x14ac:dyDescent="0.25">
      <c r="B1334" s="1">
        <v>37119</v>
      </c>
      <c r="C1334" s="2">
        <v>1078.95</v>
      </c>
      <c r="D1334" s="2">
        <v>1075.2</v>
      </c>
      <c r="E1334" s="2">
        <v>1083.7</v>
      </c>
      <c r="F1334" s="2">
        <v>1072.95</v>
      </c>
      <c r="G1334" s="3">
        <f t="shared" si="62"/>
        <v>3.2078103207811015E-3</v>
      </c>
      <c r="H1334" s="2">
        <f t="shared" si="60"/>
        <v>10.75</v>
      </c>
      <c r="I1334" s="3">
        <f t="shared" si="61"/>
        <v>9.9981398809523801E-3</v>
      </c>
    </row>
    <row r="1335" spans="2:9" x14ac:dyDescent="0.25">
      <c r="B1335" s="1">
        <v>37120</v>
      </c>
      <c r="C1335" s="2">
        <v>1069.2</v>
      </c>
      <c r="D1335" s="2">
        <v>1079</v>
      </c>
      <c r="E1335" s="2">
        <v>1084</v>
      </c>
      <c r="F1335" s="2">
        <v>1067.5999999999999</v>
      </c>
      <c r="G1335" s="3">
        <f t="shared" si="62"/>
        <v>-9.0365633254553268E-3</v>
      </c>
      <c r="H1335" s="2">
        <f t="shared" si="60"/>
        <v>16.400000000000091</v>
      </c>
      <c r="I1335" s="3">
        <f t="shared" si="61"/>
        <v>1.5199258572752634E-2</v>
      </c>
    </row>
    <row r="1336" spans="2:9" x14ac:dyDescent="0.25">
      <c r="B1336" s="1">
        <v>37123</v>
      </c>
      <c r="C1336" s="2">
        <v>1063.75</v>
      </c>
      <c r="D1336" s="2">
        <v>1062.5</v>
      </c>
      <c r="E1336" s="2">
        <v>1067.95</v>
      </c>
      <c r="F1336" s="2">
        <v>1061</v>
      </c>
      <c r="G1336" s="3">
        <f t="shared" si="62"/>
        <v>-5.0972689861579212E-3</v>
      </c>
      <c r="H1336" s="2">
        <f t="shared" si="60"/>
        <v>6.9500000000000455</v>
      </c>
      <c r="I1336" s="3">
        <f t="shared" si="61"/>
        <v>6.5411764705882785E-3</v>
      </c>
    </row>
    <row r="1337" spans="2:9" x14ac:dyDescent="0.25">
      <c r="B1337" s="1">
        <v>37124</v>
      </c>
      <c r="C1337" s="2">
        <v>1068.7</v>
      </c>
      <c r="D1337" s="2">
        <v>1063.6500000000001</v>
      </c>
      <c r="E1337" s="2">
        <v>1071.2</v>
      </c>
      <c r="F1337" s="2">
        <v>1062.3</v>
      </c>
      <c r="G1337" s="3">
        <f t="shared" si="62"/>
        <v>4.6533490011750889E-3</v>
      </c>
      <c r="H1337" s="2">
        <f t="shared" si="60"/>
        <v>8.9000000000000909</v>
      </c>
      <c r="I1337" s="3">
        <f t="shared" si="61"/>
        <v>8.3674140929817994E-3</v>
      </c>
    </row>
    <row r="1338" spans="2:9" x14ac:dyDescent="0.25">
      <c r="B1338" s="1">
        <v>37126</v>
      </c>
      <c r="C1338" s="2">
        <v>1071.5</v>
      </c>
      <c r="D1338" s="2">
        <v>1068.7</v>
      </c>
      <c r="E1338" s="2">
        <v>1079</v>
      </c>
      <c r="F1338" s="2">
        <v>1065.7</v>
      </c>
      <c r="G1338" s="3">
        <f t="shared" si="62"/>
        <v>2.6200056142977601E-3</v>
      </c>
      <c r="H1338" s="2">
        <f t="shared" si="60"/>
        <v>13.299999999999955</v>
      </c>
      <c r="I1338" s="3">
        <f t="shared" si="61"/>
        <v>1.2445026667914246E-2</v>
      </c>
    </row>
    <row r="1339" spans="2:9" x14ac:dyDescent="0.25">
      <c r="B1339" s="1">
        <v>37127</v>
      </c>
      <c r="C1339" s="2">
        <v>1069.1500000000001</v>
      </c>
      <c r="D1339" s="2">
        <v>1071.5</v>
      </c>
      <c r="E1339" s="2">
        <v>1076.7</v>
      </c>
      <c r="F1339" s="2">
        <v>1064.9000000000001</v>
      </c>
      <c r="G1339" s="3">
        <f t="shared" si="62"/>
        <v>-2.1931871208584752E-3</v>
      </c>
      <c r="H1339" s="2">
        <f t="shared" si="60"/>
        <v>11.799999999999955</v>
      </c>
      <c r="I1339" s="3">
        <f t="shared" si="61"/>
        <v>1.1012599160055954E-2</v>
      </c>
    </row>
    <row r="1340" spans="2:9" x14ac:dyDescent="0.25">
      <c r="B1340" s="1">
        <v>37130</v>
      </c>
      <c r="C1340" s="2">
        <v>1072.55</v>
      </c>
      <c r="D1340" s="2">
        <v>1064.05</v>
      </c>
      <c r="E1340" s="2">
        <v>1078.3499999999999</v>
      </c>
      <c r="F1340" s="2">
        <v>1064.05</v>
      </c>
      <c r="G1340" s="3">
        <f t="shared" si="62"/>
        <v>3.1800963382124792E-3</v>
      </c>
      <c r="H1340" s="2">
        <f t="shared" si="60"/>
        <v>14.299999999999955</v>
      </c>
      <c r="I1340" s="3">
        <f t="shared" si="61"/>
        <v>1.3439218081857014E-2</v>
      </c>
    </row>
    <row r="1341" spans="2:9" x14ac:dyDescent="0.25">
      <c r="B1341" s="1">
        <v>37131</v>
      </c>
      <c r="C1341" s="2">
        <v>1070.6500000000001</v>
      </c>
      <c r="D1341" s="2">
        <v>1072.3499999999999</v>
      </c>
      <c r="E1341" s="2">
        <v>1076.8499999999999</v>
      </c>
      <c r="F1341" s="2">
        <v>1069.5999999999999</v>
      </c>
      <c r="G1341" s="3">
        <f t="shared" si="62"/>
        <v>-1.77147918511944E-3</v>
      </c>
      <c r="H1341" s="2">
        <f t="shared" si="60"/>
        <v>7.25</v>
      </c>
      <c r="I1341" s="3">
        <f t="shared" si="61"/>
        <v>6.76085233365972E-3</v>
      </c>
    </row>
    <row r="1342" spans="2:9" x14ac:dyDescent="0.25">
      <c r="B1342" s="1">
        <v>37132</v>
      </c>
      <c r="C1342" s="2">
        <v>1067.45</v>
      </c>
      <c r="D1342" s="2">
        <v>1070.55</v>
      </c>
      <c r="E1342" s="2">
        <v>1074.5</v>
      </c>
      <c r="F1342" s="2">
        <v>1066.45</v>
      </c>
      <c r="G1342" s="3">
        <f t="shared" si="62"/>
        <v>-2.9888385560173925E-3</v>
      </c>
      <c r="H1342" s="2">
        <f t="shared" si="60"/>
        <v>8.0499999999999545</v>
      </c>
      <c r="I1342" s="3">
        <f t="shared" si="61"/>
        <v>7.5194993227779691E-3</v>
      </c>
    </row>
    <row r="1343" spans="2:9" x14ac:dyDescent="0.25">
      <c r="B1343" s="1">
        <v>37133</v>
      </c>
      <c r="C1343" s="2">
        <v>1064.1500000000001</v>
      </c>
      <c r="D1343" s="2">
        <v>1068.3</v>
      </c>
      <c r="E1343" s="2">
        <v>1070.25</v>
      </c>
      <c r="F1343" s="2">
        <v>1061.9000000000001</v>
      </c>
      <c r="G1343" s="3">
        <f t="shared" si="62"/>
        <v>-3.0914796945992196E-3</v>
      </c>
      <c r="H1343" s="2">
        <f t="shared" si="60"/>
        <v>8.3499999999999091</v>
      </c>
      <c r="I1343" s="3">
        <f t="shared" si="61"/>
        <v>7.816156510343451E-3</v>
      </c>
    </row>
    <row r="1344" spans="2:9" x14ac:dyDescent="0.25">
      <c r="B1344" s="1">
        <v>37134</v>
      </c>
      <c r="C1344" s="2">
        <v>1053.75</v>
      </c>
      <c r="D1344" s="2">
        <v>1064.0999999999999</v>
      </c>
      <c r="E1344" s="2">
        <v>1064.0999999999999</v>
      </c>
      <c r="F1344" s="2">
        <v>1051.75</v>
      </c>
      <c r="G1344" s="3">
        <f t="shared" si="62"/>
        <v>-9.7730583094489676E-3</v>
      </c>
      <c r="H1344" s="2">
        <f t="shared" si="60"/>
        <v>12.349999999999909</v>
      </c>
      <c r="I1344" s="3">
        <f t="shared" si="61"/>
        <v>1.1606052062775971E-2</v>
      </c>
    </row>
    <row r="1345" spans="2:9" x14ac:dyDescent="0.25">
      <c r="B1345" s="1">
        <v>37137</v>
      </c>
      <c r="C1345" s="2">
        <v>1048.05</v>
      </c>
      <c r="D1345" s="2">
        <v>1054.6500000000001</v>
      </c>
      <c r="E1345" s="2">
        <v>1059.9000000000001</v>
      </c>
      <c r="F1345" s="2">
        <v>1046.3499999999999</v>
      </c>
      <c r="G1345" s="3">
        <f t="shared" si="62"/>
        <v>-5.409252669039244E-3</v>
      </c>
      <c r="H1345" s="2">
        <f t="shared" si="60"/>
        <v>13.550000000000182</v>
      </c>
      <c r="I1345" s="3">
        <f t="shared" si="61"/>
        <v>1.2847864220357635E-2</v>
      </c>
    </row>
    <row r="1346" spans="2:9" x14ac:dyDescent="0.25">
      <c r="B1346" s="1">
        <v>37138</v>
      </c>
      <c r="C1346" s="2">
        <v>1048.2</v>
      </c>
      <c r="D1346" s="2">
        <v>1048.2</v>
      </c>
      <c r="E1346" s="2">
        <v>1053.25</v>
      </c>
      <c r="F1346" s="2">
        <v>1043.3</v>
      </c>
      <c r="G1346" s="3">
        <f t="shared" si="62"/>
        <v>1.4312294260787617E-4</v>
      </c>
      <c r="H1346" s="2">
        <f t="shared" si="60"/>
        <v>9.9500000000000455</v>
      </c>
      <c r="I1346" s="3">
        <f t="shared" si="61"/>
        <v>9.4924632703682933E-3</v>
      </c>
    </row>
    <row r="1347" spans="2:9" x14ac:dyDescent="0.25">
      <c r="B1347" s="1">
        <v>37139</v>
      </c>
      <c r="C1347" s="2">
        <v>1045</v>
      </c>
      <c r="D1347" s="2">
        <v>1047.25</v>
      </c>
      <c r="E1347" s="2">
        <v>1051.55</v>
      </c>
      <c r="F1347" s="2">
        <v>1043.3</v>
      </c>
      <c r="G1347" s="3">
        <f t="shared" si="62"/>
        <v>-3.0528525090631753E-3</v>
      </c>
      <c r="H1347" s="2">
        <f t="shared" si="60"/>
        <v>8.25</v>
      </c>
      <c r="I1347" s="3">
        <f t="shared" si="61"/>
        <v>7.8777751253282409E-3</v>
      </c>
    </row>
    <row r="1348" spans="2:9" x14ac:dyDescent="0.25">
      <c r="B1348" s="1">
        <v>37140</v>
      </c>
      <c r="C1348" s="2">
        <v>1036.0999999999999</v>
      </c>
      <c r="D1348" s="2">
        <v>1047.7</v>
      </c>
      <c r="E1348" s="2">
        <v>1048.2</v>
      </c>
      <c r="F1348" s="2">
        <v>1033.4000000000001</v>
      </c>
      <c r="G1348" s="3">
        <f t="shared" si="62"/>
        <v>-8.5167464114833669E-3</v>
      </c>
      <c r="H1348" s="2">
        <f t="shared" si="60"/>
        <v>14.799999999999955</v>
      </c>
      <c r="I1348" s="3">
        <f t="shared" si="61"/>
        <v>1.41261811587286E-2</v>
      </c>
    </row>
    <row r="1349" spans="2:9" x14ac:dyDescent="0.25">
      <c r="B1349" s="1">
        <v>37141</v>
      </c>
      <c r="C1349" s="2">
        <v>1035.2</v>
      </c>
      <c r="D1349" s="2">
        <v>1036.3499999999999</v>
      </c>
      <c r="E1349" s="2">
        <v>1037.3499999999999</v>
      </c>
      <c r="F1349" s="2">
        <v>1026.45</v>
      </c>
      <c r="G1349" s="3">
        <f t="shared" si="62"/>
        <v>-8.6864202297065596E-4</v>
      </c>
      <c r="H1349" s="2">
        <f t="shared" ref="H1349:H1412" si="63">E1349-F1349</f>
        <v>10.899999999999864</v>
      </c>
      <c r="I1349" s="3">
        <f t="shared" si="61"/>
        <v>1.0517682250204916E-2</v>
      </c>
    </row>
    <row r="1350" spans="2:9" x14ac:dyDescent="0.25">
      <c r="B1350" s="1">
        <v>37144</v>
      </c>
      <c r="C1350" s="2">
        <v>1033.4000000000001</v>
      </c>
      <c r="D1350" s="2">
        <v>1035</v>
      </c>
      <c r="E1350" s="2">
        <v>1045.3</v>
      </c>
      <c r="F1350" s="2">
        <v>1031.45</v>
      </c>
      <c r="G1350" s="3">
        <f t="shared" si="62"/>
        <v>-1.7387944358577823E-3</v>
      </c>
      <c r="H1350" s="2">
        <f t="shared" si="63"/>
        <v>13.849999999999909</v>
      </c>
      <c r="I1350" s="3">
        <f t="shared" ref="I1350:I1413" si="64">H1350/D1350</f>
        <v>1.3381642512077206E-2</v>
      </c>
    </row>
    <row r="1351" spans="2:9" x14ac:dyDescent="0.25">
      <c r="B1351" s="1">
        <v>37145</v>
      </c>
      <c r="C1351" s="2">
        <v>1023.4</v>
      </c>
      <c r="D1351" s="2">
        <v>1033.3499999999999</v>
      </c>
      <c r="E1351" s="2">
        <v>1037.45</v>
      </c>
      <c r="F1351" s="2">
        <v>1020.7</v>
      </c>
      <c r="G1351" s="3">
        <f t="shared" ref="G1351:G1414" si="65">C1351/C1350-1</f>
        <v>-9.6767950454810236E-3</v>
      </c>
      <c r="H1351" s="2">
        <f t="shared" si="63"/>
        <v>16.75</v>
      </c>
      <c r="I1351" s="3">
        <f t="shared" si="64"/>
        <v>1.6209415977161658E-2</v>
      </c>
    </row>
    <row r="1352" spans="2:9" x14ac:dyDescent="0.25">
      <c r="B1352" s="1">
        <v>37146</v>
      </c>
      <c r="C1352">
        <v>982.2</v>
      </c>
      <c r="D1352" s="2">
        <v>1023.25</v>
      </c>
      <c r="E1352" s="2">
        <v>1023.25</v>
      </c>
      <c r="F1352">
        <v>957.95</v>
      </c>
      <c r="G1352" s="3">
        <f t="shared" si="65"/>
        <v>-4.0257963650576434E-2</v>
      </c>
      <c r="H1352" s="2">
        <f t="shared" si="63"/>
        <v>65.299999999999955</v>
      </c>
      <c r="I1352" s="3">
        <f t="shared" si="64"/>
        <v>6.3816271683361792E-2</v>
      </c>
    </row>
    <row r="1353" spans="2:9" x14ac:dyDescent="0.25">
      <c r="B1353" s="1">
        <v>37147</v>
      </c>
      <c r="C1353">
        <v>971.7</v>
      </c>
      <c r="D1353">
        <v>982.2</v>
      </c>
      <c r="E1353">
        <v>993.05</v>
      </c>
      <c r="F1353">
        <v>969</v>
      </c>
      <c r="G1353" s="3">
        <f t="shared" si="65"/>
        <v>-1.0690287110568075E-2</v>
      </c>
      <c r="H1353" s="2">
        <f t="shared" si="63"/>
        <v>24.049999999999955</v>
      </c>
      <c r="I1353" s="3">
        <f t="shared" si="64"/>
        <v>2.4485848096110725E-2</v>
      </c>
    </row>
    <row r="1354" spans="2:9" x14ac:dyDescent="0.25">
      <c r="B1354" s="1">
        <v>37148</v>
      </c>
      <c r="C1354">
        <v>919.7</v>
      </c>
      <c r="D1354">
        <v>972.05</v>
      </c>
      <c r="E1354">
        <v>974.5</v>
      </c>
      <c r="F1354">
        <v>902.7</v>
      </c>
      <c r="G1354" s="3">
        <f t="shared" si="65"/>
        <v>-5.3514459195224906E-2</v>
      </c>
      <c r="H1354" s="2">
        <f t="shared" si="63"/>
        <v>71.799999999999955</v>
      </c>
      <c r="I1354" s="3">
        <f t="shared" si="64"/>
        <v>7.3864513142328031E-2</v>
      </c>
    </row>
    <row r="1355" spans="2:9" x14ac:dyDescent="0.25">
      <c r="B1355" s="1">
        <v>37151</v>
      </c>
      <c r="C1355">
        <v>872.25</v>
      </c>
      <c r="D1355">
        <v>916.15</v>
      </c>
      <c r="E1355">
        <v>916.15</v>
      </c>
      <c r="F1355">
        <v>861.05</v>
      </c>
      <c r="G1355" s="3">
        <f t="shared" si="65"/>
        <v>-5.1592910731760422E-2</v>
      </c>
      <c r="H1355" s="2">
        <f t="shared" si="63"/>
        <v>55.100000000000023</v>
      </c>
      <c r="I1355" s="3">
        <f t="shared" si="64"/>
        <v>6.0142989685095259E-2</v>
      </c>
    </row>
    <row r="1356" spans="2:9" x14ac:dyDescent="0.25">
      <c r="B1356" s="1">
        <v>37152</v>
      </c>
      <c r="C1356">
        <v>900.2</v>
      </c>
      <c r="D1356">
        <v>872.15</v>
      </c>
      <c r="E1356">
        <v>910.35</v>
      </c>
      <c r="F1356">
        <v>868.5</v>
      </c>
      <c r="G1356" s="3">
        <f t="shared" si="65"/>
        <v>3.2043565491544967E-2</v>
      </c>
      <c r="H1356" s="2">
        <f t="shared" si="63"/>
        <v>41.850000000000023</v>
      </c>
      <c r="I1356" s="3">
        <f t="shared" si="64"/>
        <v>4.7984864988820757E-2</v>
      </c>
    </row>
    <row r="1357" spans="2:9" x14ac:dyDescent="0.25">
      <c r="B1357" s="1">
        <v>37153</v>
      </c>
      <c r="C1357">
        <v>912.2</v>
      </c>
      <c r="D1357">
        <v>899.7</v>
      </c>
      <c r="E1357">
        <v>915</v>
      </c>
      <c r="F1357">
        <v>899.7</v>
      </c>
      <c r="G1357" s="3">
        <f t="shared" si="65"/>
        <v>1.3330371028660304E-2</v>
      </c>
      <c r="H1357" s="2">
        <f t="shared" si="63"/>
        <v>15.299999999999955</v>
      </c>
      <c r="I1357" s="3">
        <f t="shared" si="64"/>
        <v>1.7005668556185342E-2</v>
      </c>
    </row>
    <row r="1358" spans="2:9" x14ac:dyDescent="0.25">
      <c r="B1358" s="1">
        <v>37154</v>
      </c>
      <c r="C1358">
        <v>898.8</v>
      </c>
      <c r="D1358">
        <v>910.2</v>
      </c>
      <c r="E1358">
        <v>910.35</v>
      </c>
      <c r="F1358">
        <v>873.7</v>
      </c>
      <c r="G1358" s="3">
        <f t="shared" si="65"/>
        <v>-1.468976101732089E-2</v>
      </c>
      <c r="H1358" s="2">
        <f t="shared" si="63"/>
        <v>36.649999999999977</v>
      </c>
      <c r="I1358" s="3">
        <f t="shared" si="64"/>
        <v>4.0265875631729266E-2</v>
      </c>
    </row>
    <row r="1359" spans="2:9" x14ac:dyDescent="0.25">
      <c r="B1359" s="1">
        <v>37155</v>
      </c>
      <c r="C1359">
        <v>854.2</v>
      </c>
      <c r="D1359">
        <v>903.75</v>
      </c>
      <c r="E1359">
        <v>903.75</v>
      </c>
      <c r="F1359">
        <v>849.95</v>
      </c>
      <c r="G1359" s="3">
        <f t="shared" si="65"/>
        <v>-4.9621717846016766E-2</v>
      </c>
      <c r="H1359" s="2">
        <f t="shared" si="63"/>
        <v>53.799999999999955</v>
      </c>
      <c r="I1359" s="3">
        <f t="shared" si="64"/>
        <v>5.9529737206085703E-2</v>
      </c>
    </row>
    <row r="1360" spans="2:9" x14ac:dyDescent="0.25">
      <c r="B1360" s="1">
        <v>37158</v>
      </c>
      <c r="C1360">
        <v>869.05</v>
      </c>
      <c r="D1360">
        <v>853</v>
      </c>
      <c r="E1360">
        <v>878.6</v>
      </c>
      <c r="F1360">
        <v>853</v>
      </c>
      <c r="G1360" s="3">
        <f t="shared" si="65"/>
        <v>1.7384687426831968E-2</v>
      </c>
      <c r="H1360" s="2">
        <f t="shared" si="63"/>
        <v>25.600000000000023</v>
      </c>
      <c r="I1360" s="3">
        <f t="shared" si="64"/>
        <v>3.0011723329425585E-2</v>
      </c>
    </row>
    <row r="1361" spans="2:9" x14ac:dyDescent="0.25">
      <c r="B1361" s="1">
        <v>37159</v>
      </c>
      <c r="C1361">
        <v>861.4</v>
      </c>
      <c r="D1361">
        <v>869.15</v>
      </c>
      <c r="E1361">
        <v>893.35</v>
      </c>
      <c r="F1361">
        <v>858.85</v>
      </c>
      <c r="G1361" s="3">
        <f t="shared" si="65"/>
        <v>-8.8027156089982572E-3</v>
      </c>
      <c r="H1361" s="2">
        <f t="shared" si="63"/>
        <v>34.5</v>
      </c>
      <c r="I1361" s="3">
        <f t="shared" si="64"/>
        <v>3.9693953862969568E-2</v>
      </c>
    </row>
    <row r="1362" spans="2:9" x14ac:dyDescent="0.25">
      <c r="B1362" s="1">
        <v>37160</v>
      </c>
      <c r="C1362">
        <v>873.7</v>
      </c>
      <c r="D1362">
        <v>861.35</v>
      </c>
      <c r="E1362">
        <v>877</v>
      </c>
      <c r="F1362">
        <v>859.2</v>
      </c>
      <c r="G1362" s="3">
        <f t="shared" si="65"/>
        <v>1.4279080566519609E-2</v>
      </c>
      <c r="H1362" s="2">
        <f t="shared" si="63"/>
        <v>17.799999999999955</v>
      </c>
      <c r="I1362" s="3">
        <f t="shared" si="64"/>
        <v>2.0665234805828006E-2</v>
      </c>
    </row>
    <row r="1363" spans="2:9" x14ac:dyDescent="0.25">
      <c r="B1363" s="1">
        <v>37161</v>
      </c>
      <c r="C1363">
        <v>890</v>
      </c>
      <c r="D1363">
        <v>873.15</v>
      </c>
      <c r="E1363">
        <v>893.05</v>
      </c>
      <c r="F1363">
        <v>868.3</v>
      </c>
      <c r="G1363" s="3">
        <f t="shared" si="65"/>
        <v>1.8656289344168409E-2</v>
      </c>
      <c r="H1363" s="2">
        <f t="shared" si="63"/>
        <v>24.75</v>
      </c>
      <c r="I1363" s="3">
        <f t="shared" si="64"/>
        <v>2.8345645078165265E-2</v>
      </c>
    </row>
    <row r="1364" spans="2:9" x14ac:dyDescent="0.25">
      <c r="B1364" s="1">
        <v>37162</v>
      </c>
      <c r="C1364">
        <v>913.85</v>
      </c>
      <c r="D1364">
        <v>891.75</v>
      </c>
      <c r="E1364">
        <v>922.55</v>
      </c>
      <c r="F1364">
        <v>891</v>
      </c>
      <c r="G1364" s="3">
        <f t="shared" si="65"/>
        <v>2.6797752808988884E-2</v>
      </c>
      <c r="H1364" s="2">
        <f t="shared" si="63"/>
        <v>31.549999999999955</v>
      </c>
      <c r="I1364" s="3">
        <f t="shared" si="64"/>
        <v>3.5379871040089661E-2</v>
      </c>
    </row>
    <row r="1365" spans="2:9" x14ac:dyDescent="0.25">
      <c r="B1365" s="1">
        <v>37165</v>
      </c>
      <c r="C1365">
        <v>910.1</v>
      </c>
      <c r="D1365">
        <v>914.65</v>
      </c>
      <c r="E1365">
        <v>919.2</v>
      </c>
      <c r="F1365">
        <v>905.5</v>
      </c>
      <c r="G1365" s="3">
        <f t="shared" si="65"/>
        <v>-4.1035180828363771E-3</v>
      </c>
      <c r="H1365" s="2">
        <f t="shared" si="63"/>
        <v>13.700000000000045</v>
      </c>
      <c r="I1365" s="3">
        <f t="shared" si="64"/>
        <v>1.4978407040944674E-2</v>
      </c>
    </row>
    <row r="1366" spans="2:9" x14ac:dyDescent="0.25">
      <c r="B1366" s="1">
        <v>37167</v>
      </c>
      <c r="C1366">
        <v>899.65</v>
      </c>
      <c r="D1366">
        <v>910.05</v>
      </c>
      <c r="E1366">
        <v>915.05</v>
      </c>
      <c r="F1366">
        <v>896.25</v>
      </c>
      <c r="G1366" s="3">
        <f t="shared" si="65"/>
        <v>-1.1482254697286032E-2</v>
      </c>
      <c r="H1366" s="2">
        <f t="shared" si="63"/>
        <v>18.799999999999955</v>
      </c>
      <c r="I1366" s="3">
        <f t="shared" si="64"/>
        <v>2.0658205593099232E-2</v>
      </c>
    </row>
    <row r="1367" spans="2:9" x14ac:dyDescent="0.25">
      <c r="B1367" s="1">
        <v>37168</v>
      </c>
      <c r="C1367">
        <v>911.65</v>
      </c>
      <c r="D1367">
        <v>899.65</v>
      </c>
      <c r="E1367">
        <v>914.25</v>
      </c>
      <c r="F1367">
        <v>899.65</v>
      </c>
      <c r="G1367" s="3">
        <f t="shared" si="65"/>
        <v>1.3338520535763898E-2</v>
      </c>
      <c r="H1367" s="2">
        <f t="shared" si="63"/>
        <v>14.600000000000023</v>
      </c>
      <c r="I1367" s="3">
        <f t="shared" si="64"/>
        <v>1.6228533318512782E-2</v>
      </c>
    </row>
    <row r="1368" spans="2:9" x14ac:dyDescent="0.25">
      <c r="B1368" s="1">
        <v>37169</v>
      </c>
      <c r="C1368">
        <v>914.6</v>
      </c>
      <c r="D1368">
        <v>911.6</v>
      </c>
      <c r="E1368">
        <v>919.75</v>
      </c>
      <c r="F1368">
        <v>903.05</v>
      </c>
      <c r="G1368" s="3">
        <f t="shared" si="65"/>
        <v>3.2358909669281122E-3</v>
      </c>
      <c r="H1368" s="2">
        <f t="shared" si="63"/>
        <v>16.700000000000045</v>
      </c>
      <c r="I1368" s="3">
        <f t="shared" si="64"/>
        <v>1.8319438350153625E-2</v>
      </c>
    </row>
    <row r="1369" spans="2:9" x14ac:dyDescent="0.25">
      <c r="B1369" s="1">
        <v>37172</v>
      </c>
      <c r="C1369">
        <v>901.95</v>
      </c>
      <c r="D1369">
        <v>911.2</v>
      </c>
      <c r="E1369">
        <v>913.05</v>
      </c>
      <c r="F1369">
        <v>884.65</v>
      </c>
      <c r="G1369" s="3">
        <f t="shared" si="65"/>
        <v>-1.3831183030833083E-2</v>
      </c>
      <c r="H1369" s="2">
        <f t="shared" si="63"/>
        <v>28.399999999999977</v>
      </c>
      <c r="I1369" s="3">
        <f t="shared" si="64"/>
        <v>3.1167690956979782E-2</v>
      </c>
    </row>
    <row r="1370" spans="2:9" x14ac:dyDescent="0.25">
      <c r="B1370" s="1">
        <v>37173</v>
      </c>
      <c r="C1370">
        <v>912.7</v>
      </c>
      <c r="D1370">
        <v>903</v>
      </c>
      <c r="E1370">
        <v>914.3</v>
      </c>
      <c r="F1370">
        <v>902.55</v>
      </c>
      <c r="G1370" s="3">
        <f t="shared" si="65"/>
        <v>1.1918620766117938E-2</v>
      </c>
      <c r="H1370" s="2">
        <f t="shared" si="63"/>
        <v>11.75</v>
      </c>
      <c r="I1370" s="3">
        <f t="shared" si="64"/>
        <v>1.301218161683278E-2</v>
      </c>
    </row>
    <row r="1371" spans="2:9" x14ac:dyDescent="0.25">
      <c r="B1371" s="1">
        <v>37174</v>
      </c>
      <c r="C1371">
        <v>940.35</v>
      </c>
      <c r="D1371">
        <v>915.5</v>
      </c>
      <c r="E1371">
        <v>942.8</v>
      </c>
      <c r="F1371">
        <v>912.9</v>
      </c>
      <c r="G1371" s="3">
        <f t="shared" si="65"/>
        <v>3.0294729922208719E-2</v>
      </c>
      <c r="H1371" s="2">
        <f t="shared" si="63"/>
        <v>29.899999999999977</v>
      </c>
      <c r="I1371" s="3">
        <f t="shared" si="64"/>
        <v>3.2659748771163274E-2</v>
      </c>
    </row>
    <row r="1372" spans="2:9" x14ac:dyDescent="0.25">
      <c r="B1372" s="1">
        <v>37175</v>
      </c>
      <c r="C1372">
        <v>954.9</v>
      </c>
      <c r="D1372">
        <v>940.45</v>
      </c>
      <c r="E1372">
        <v>959.75</v>
      </c>
      <c r="F1372">
        <v>940.45</v>
      </c>
      <c r="G1372" s="3">
        <f t="shared" si="65"/>
        <v>1.5472962194927442E-2</v>
      </c>
      <c r="H1372" s="2">
        <f t="shared" si="63"/>
        <v>19.299999999999955</v>
      </c>
      <c r="I1372" s="3">
        <f t="shared" si="64"/>
        <v>2.0522090488595837E-2</v>
      </c>
    </row>
    <row r="1373" spans="2:9" x14ac:dyDescent="0.25">
      <c r="B1373" s="1">
        <v>37176</v>
      </c>
      <c r="C1373">
        <v>960.4</v>
      </c>
      <c r="D1373">
        <v>958.4</v>
      </c>
      <c r="E1373">
        <v>969.9</v>
      </c>
      <c r="F1373">
        <v>956.85</v>
      </c>
      <c r="G1373" s="3">
        <f t="shared" si="65"/>
        <v>5.759765420462859E-3</v>
      </c>
      <c r="H1373" s="2">
        <f t="shared" si="63"/>
        <v>13.049999999999955</v>
      </c>
      <c r="I1373" s="3">
        <f t="shared" si="64"/>
        <v>1.3616444073455712E-2</v>
      </c>
    </row>
    <row r="1374" spans="2:9" x14ac:dyDescent="0.25">
      <c r="B1374" s="1">
        <v>37179</v>
      </c>
      <c r="C1374">
        <v>963.4</v>
      </c>
      <c r="D1374">
        <v>963.65</v>
      </c>
      <c r="E1374">
        <v>966.15</v>
      </c>
      <c r="F1374">
        <v>954.35</v>
      </c>
      <c r="G1374" s="3">
        <f t="shared" si="65"/>
        <v>3.1236984589755323E-3</v>
      </c>
      <c r="H1374" s="2">
        <f t="shared" si="63"/>
        <v>11.799999999999955</v>
      </c>
      <c r="I1374" s="3">
        <f t="shared" si="64"/>
        <v>1.224510973901308E-2</v>
      </c>
    </row>
    <row r="1375" spans="2:9" x14ac:dyDescent="0.25">
      <c r="B1375" s="1">
        <v>37180</v>
      </c>
      <c r="C1375">
        <v>971.25</v>
      </c>
      <c r="D1375">
        <v>963.4</v>
      </c>
      <c r="E1375">
        <v>973.25</v>
      </c>
      <c r="F1375">
        <v>962.5</v>
      </c>
      <c r="G1375" s="3">
        <f t="shared" si="65"/>
        <v>8.1482250363296149E-3</v>
      </c>
      <c r="H1375" s="2">
        <f t="shared" si="63"/>
        <v>10.75</v>
      </c>
      <c r="I1375" s="3">
        <f t="shared" si="64"/>
        <v>1.1158397342744448E-2</v>
      </c>
    </row>
    <row r="1376" spans="2:9" x14ac:dyDescent="0.25">
      <c r="B1376" s="1">
        <v>37181</v>
      </c>
      <c r="C1376">
        <v>986.25</v>
      </c>
      <c r="D1376">
        <v>971.95</v>
      </c>
      <c r="E1376">
        <v>989.05</v>
      </c>
      <c r="F1376">
        <v>971.95</v>
      </c>
      <c r="G1376" s="3">
        <f t="shared" si="65"/>
        <v>1.5444015444015413E-2</v>
      </c>
      <c r="H1376" s="2">
        <f t="shared" si="63"/>
        <v>17.099999999999909</v>
      </c>
      <c r="I1376" s="3">
        <f t="shared" si="64"/>
        <v>1.7593497607901548E-2</v>
      </c>
    </row>
    <row r="1377" spans="2:9" x14ac:dyDescent="0.25">
      <c r="B1377" s="1">
        <v>37182</v>
      </c>
      <c r="C1377">
        <v>972.05</v>
      </c>
      <c r="D1377">
        <v>984.2</v>
      </c>
      <c r="E1377">
        <v>984.5</v>
      </c>
      <c r="F1377">
        <v>969.35</v>
      </c>
      <c r="G1377" s="3">
        <f t="shared" si="65"/>
        <v>-1.4397972116603319E-2</v>
      </c>
      <c r="H1377" s="2">
        <f t="shared" si="63"/>
        <v>15.149999999999977</v>
      </c>
      <c r="I1377" s="3">
        <f t="shared" si="64"/>
        <v>1.5393212761633791E-2</v>
      </c>
    </row>
    <row r="1378" spans="2:9" x14ac:dyDescent="0.25">
      <c r="B1378" s="1">
        <v>37183</v>
      </c>
      <c r="C1378">
        <v>976.65</v>
      </c>
      <c r="D1378">
        <v>972.2</v>
      </c>
      <c r="E1378">
        <v>981</v>
      </c>
      <c r="F1378">
        <v>970.85</v>
      </c>
      <c r="G1378" s="3">
        <f t="shared" si="65"/>
        <v>4.7322668587006511E-3</v>
      </c>
      <c r="H1378" s="2">
        <f t="shared" si="63"/>
        <v>10.149999999999977</v>
      </c>
      <c r="I1378" s="3">
        <f t="shared" si="64"/>
        <v>1.0440238634025897E-2</v>
      </c>
    </row>
    <row r="1379" spans="2:9" x14ac:dyDescent="0.25">
      <c r="B1379" s="1">
        <v>37186</v>
      </c>
      <c r="C1379">
        <v>976.4</v>
      </c>
      <c r="D1379">
        <v>980.05</v>
      </c>
      <c r="E1379">
        <v>994.15</v>
      </c>
      <c r="F1379">
        <v>973.2</v>
      </c>
      <c r="G1379" s="3">
        <f t="shared" si="65"/>
        <v>-2.5597706445501522E-4</v>
      </c>
      <c r="H1379" s="2">
        <f t="shared" si="63"/>
        <v>20.949999999999932</v>
      </c>
      <c r="I1379" s="3">
        <f t="shared" si="64"/>
        <v>2.1376460384674181E-2</v>
      </c>
    </row>
    <row r="1380" spans="2:9" x14ac:dyDescent="0.25">
      <c r="B1380" s="1">
        <v>37187</v>
      </c>
      <c r="C1380">
        <v>993.2</v>
      </c>
      <c r="D1380">
        <v>976.75</v>
      </c>
      <c r="E1380">
        <v>994.15</v>
      </c>
      <c r="F1380">
        <v>976.55</v>
      </c>
      <c r="G1380" s="3">
        <f t="shared" si="65"/>
        <v>1.720606308889816E-2</v>
      </c>
      <c r="H1380" s="2">
        <f t="shared" si="63"/>
        <v>17.600000000000023</v>
      </c>
      <c r="I1380" s="3">
        <f t="shared" si="64"/>
        <v>1.8018940363450239E-2</v>
      </c>
    </row>
    <row r="1381" spans="2:9" x14ac:dyDescent="0.25">
      <c r="B1381" s="1">
        <v>37188</v>
      </c>
      <c r="C1381">
        <v>991.2</v>
      </c>
      <c r="D1381">
        <v>992.95</v>
      </c>
      <c r="E1381" s="2">
        <v>1000.95</v>
      </c>
      <c r="F1381">
        <v>987.4</v>
      </c>
      <c r="G1381" s="3">
        <f t="shared" si="65"/>
        <v>-2.0136931131695679E-3</v>
      </c>
      <c r="H1381" s="2">
        <f t="shared" si="63"/>
        <v>13.550000000000068</v>
      </c>
      <c r="I1381" s="3">
        <f t="shared" si="64"/>
        <v>1.3646205750541384E-2</v>
      </c>
    </row>
    <row r="1382" spans="2:9" x14ac:dyDescent="0.25">
      <c r="B1382" s="1">
        <v>37189</v>
      </c>
      <c r="C1382">
        <v>983.2</v>
      </c>
      <c r="D1382">
        <v>991.25</v>
      </c>
      <c r="E1382">
        <v>998</v>
      </c>
      <c r="F1382">
        <v>979.95</v>
      </c>
      <c r="G1382" s="3">
        <f t="shared" si="65"/>
        <v>-8.0710250201775358E-3</v>
      </c>
      <c r="H1382" s="2">
        <f t="shared" si="63"/>
        <v>18.049999999999955</v>
      </c>
      <c r="I1382" s="3">
        <f t="shared" si="64"/>
        <v>1.8209331651954559E-2</v>
      </c>
    </row>
    <row r="1383" spans="2:9" x14ac:dyDescent="0.25">
      <c r="B1383" s="1">
        <v>37193</v>
      </c>
      <c r="C1383">
        <v>977.45</v>
      </c>
      <c r="D1383">
        <v>983.15</v>
      </c>
      <c r="E1383">
        <v>996.6</v>
      </c>
      <c r="F1383">
        <v>974.05</v>
      </c>
      <c r="G1383" s="3">
        <f t="shared" si="65"/>
        <v>-5.8482506102522924E-3</v>
      </c>
      <c r="H1383" s="2">
        <f t="shared" si="63"/>
        <v>22.550000000000068</v>
      </c>
      <c r="I1383" s="3">
        <f t="shared" si="64"/>
        <v>2.2936479682652767E-2</v>
      </c>
    </row>
    <row r="1384" spans="2:9" x14ac:dyDescent="0.25">
      <c r="B1384" s="1">
        <v>37194</v>
      </c>
      <c r="C1384">
        <v>963.1</v>
      </c>
      <c r="D1384">
        <v>977.35</v>
      </c>
      <c r="E1384">
        <v>977.35</v>
      </c>
      <c r="F1384">
        <v>960.5</v>
      </c>
      <c r="G1384" s="3">
        <f t="shared" si="65"/>
        <v>-1.4681057854621704E-2</v>
      </c>
      <c r="H1384" s="2">
        <f t="shared" si="63"/>
        <v>16.850000000000023</v>
      </c>
      <c r="I1384" s="3">
        <f t="shared" si="64"/>
        <v>1.7240497263007134E-2</v>
      </c>
    </row>
    <row r="1385" spans="2:9" x14ac:dyDescent="0.25">
      <c r="B1385" s="1">
        <v>37195</v>
      </c>
      <c r="C1385">
        <v>971.9</v>
      </c>
      <c r="D1385">
        <v>962.85</v>
      </c>
      <c r="E1385">
        <v>976.4</v>
      </c>
      <c r="F1385">
        <v>959.35</v>
      </c>
      <c r="G1385" s="3">
        <f t="shared" si="65"/>
        <v>9.137161250129644E-3</v>
      </c>
      <c r="H1385" s="2">
        <f t="shared" si="63"/>
        <v>17.049999999999955</v>
      </c>
      <c r="I1385" s="3">
        <f t="shared" si="64"/>
        <v>1.7707846497377531E-2</v>
      </c>
    </row>
    <row r="1386" spans="2:9" x14ac:dyDescent="0.25">
      <c r="B1386" s="1">
        <v>37196</v>
      </c>
      <c r="C1386">
        <v>994</v>
      </c>
      <c r="D1386">
        <v>973.55</v>
      </c>
      <c r="E1386">
        <v>997.3</v>
      </c>
      <c r="F1386">
        <v>973.55</v>
      </c>
      <c r="G1386" s="3">
        <f t="shared" si="65"/>
        <v>2.2738964914085891E-2</v>
      </c>
      <c r="H1386" s="2">
        <f t="shared" si="63"/>
        <v>23.75</v>
      </c>
      <c r="I1386" s="3">
        <f t="shared" si="64"/>
        <v>2.439525448102306E-2</v>
      </c>
    </row>
    <row r="1387" spans="2:9" x14ac:dyDescent="0.25">
      <c r="B1387" s="1">
        <v>37197</v>
      </c>
      <c r="C1387">
        <v>997.6</v>
      </c>
      <c r="D1387">
        <v>994.25</v>
      </c>
      <c r="E1387" s="2">
        <v>1009.55</v>
      </c>
      <c r="F1387">
        <v>991.95</v>
      </c>
      <c r="G1387" s="3">
        <f t="shared" si="65"/>
        <v>3.6217303822938529E-3</v>
      </c>
      <c r="H1387" s="2">
        <f t="shared" si="63"/>
        <v>17.599999999999909</v>
      </c>
      <c r="I1387" s="3">
        <f t="shared" si="64"/>
        <v>1.770178526527524E-2</v>
      </c>
    </row>
    <row r="1388" spans="2:9" x14ac:dyDescent="0.25">
      <c r="B1388" s="1">
        <v>37200</v>
      </c>
      <c r="C1388">
        <v>991.05</v>
      </c>
      <c r="D1388">
        <v>997.25</v>
      </c>
      <c r="E1388" s="2">
        <v>1001.3</v>
      </c>
      <c r="F1388">
        <v>987.85</v>
      </c>
      <c r="G1388" s="3">
        <f t="shared" si="65"/>
        <v>-6.5657578187651167E-3</v>
      </c>
      <c r="H1388" s="2">
        <f t="shared" si="63"/>
        <v>13.449999999999932</v>
      </c>
      <c r="I1388" s="3">
        <f t="shared" si="64"/>
        <v>1.3487089496114246E-2</v>
      </c>
    </row>
    <row r="1389" spans="2:9" x14ac:dyDescent="0.25">
      <c r="B1389" s="1">
        <v>37201</v>
      </c>
      <c r="C1389" s="2">
        <v>1001.9</v>
      </c>
      <c r="D1389">
        <v>991.2</v>
      </c>
      <c r="E1389" s="2">
        <v>1007.4</v>
      </c>
      <c r="F1389">
        <v>991.15</v>
      </c>
      <c r="G1389" s="3">
        <f t="shared" si="65"/>
        <v>1.0947984460925264E-2</v>
      </c>
      <c r="H1389" s="2">
        <f t="shared" si="63"/>
        <v>16.25</v>
      </c>
      <c r="I1389" s="3">
        <f t="shared" si="64"/>
        <v>1.6394269572235672E-2</v>
      </c>
    </row>
    <row r="1390" spans="2:9" x14ac:dyDescent="0.25">
      <c r="B1390" s="1">
        <v>37202</v>
      </c>
      <c r="C1390">
        <v>987.5</v>
      </c>
      <c r="D1390" s="2">
        <v>1001.95</v>
      </c>
      <c r="E1390" s="2">
        <v>1014.1</v>
      </c>
      <c r="F1390">
        <v>984.45</v>
      </c>
      <c r="G1390" s="3">
        <f t="shared" si="65"/>
        <v>-1.4372691885417677E-2</v>
      </c>
      <c r="H1390" s="2">
        <f t="shared" si="63"/>
        <v>29.649999999999977</v>
      </c>
      <c r="I1390" s="3">
        <f t="shared" si="64"/>
        <v>2.9592295024701808E-2</v>
      </c>
    </row>
    <row r="1391" spans="2:9" x14ac:dyDescent="0.25">
      <c r="B1391" s="1">
        <v>37203</v>
      </c>
      <c r="C1391">
        <v>997.7</v>
      </c>
      <c r="D1391">
        <v>987.5</v>
      </c>
      <c r="E1391" s="2">
        <v>1001.15</v>
      </c>
      <c r="F1391">
        <v>985.75</v>
      </c>
      <c r="G1391" s="3">
        <f t="shared" si="65"/>
        <v>1.032911392405067E-2</v>
      </c>
      <c r="H1391" s="2">
        <f t="shared" si="63"/>
        <v>15.399999999999977</v>
      </c>
      <c r="I1391" s="3">
        <f t="shared" si="64"/>
        <v>1.5594936708860736E-2</v>
      </c>
    </row>
    <row r="1392" spans="2:9" x14ac:dyDescent="0.25">
      <c r="B1392" s="1">
        <v>37204</v>
      </c>
      <c r="C1392" s="2">
        <v>1004.05</v>
      </c>
      <c r="D1392">
        <v>999.1</v>
      </c>
      <c r="E1392" s="2">
        <v>1008.95</v>
      </c>
      <c r="F1392">
        <v>999.1</v>
      </c>
      <c r="G1392" s="3">
        <f t="shared" si="65"/>
        <v>6.3646386689384382E-3</v>
      </c>
      <c r="H1392" s="2">
        <f t="shared" si="63"/>
        <v>9.8500000000000227</v>
      </c>
      <c r="I1392" s="3">
        <f t="shared" si="64"/>
        <v>9.8588729856871407E-3</v>
      </c>
    </row>
    <row r="1393" spans="2:9" x14ac:dyDescent="0.25">
      <c r="B1393" s="1">
        <v>37207</v>
      </c>
      <c r="C1393" s="2">
        <v>1010.9</v>
      </c>
      <c r="D1393" s="2">
        <v>1004.55</v>
      </c>
      <c r="E1393" s="2">
        <v>1014.25</v>
      </c>
      <c r="F1393" s="2">
        <v>1003.6</v>
      </c>
      <c r="G1393" s="3">
        <f t="shared" si="65"/>
        <v>6.8223694039142302E-3</v>
      </c>
      <c r="H1393" s="2">
        <f t="shared" si="63"/>
        <v>10.649999999999977</v>
      </c>
      <c r="I1393" s="3">
        <f t="shared" si="64"/>
        <v>1.060176198297743E-2</v>
      </c>
    </row>
    <row r="1394" spans="2:9" x14ac:dyDescent="0.25">
      <c r="B1394" s="1">
        <v>37208</v>
      </c>
      <c r="C1394" s="2">
        <v>1005.4</v>
      </c>
      <c r="D1394" s="2">
        <v>1010.95</v>
      </c>
      <c r="E1394" s="2">
        <v>1013.25</v>
      </c>
      <c r="F1394">
        <v>999.85</v>
      </c>
      <c r="G1394" s="3">
        <f t="shared" si="65"/>
        <v>-5.4406964091403553E-3</v>
      </c>
      <c r="H1394" s="2">
        <f t="shared" si="63"/>
        <v>13.399999999999977</v>
      </c>
      <c r="I1394" s="3">
        <f t="shared" si="64"/>
        <v>1.3254859290766087E-2</v>
      </c>
    </row>
    <row r="1395" spans="2:9" x14ac:dyDescent="0.25">
      <c r="B1395" s="1">
        <v>37209</v>
      </c>
      <c r="C1395" s="2">
        <v>1015.8</v>
      </c>
      <c r="D1395" s="2">
        <v>1005.45</v>
      </c>
      <c r="E1395" s="2">
        <v>1017.2</v>
      </c>
      <c r="F1395" s="2">
        <v>1004.7</v>
      </c>
      <c r="G1395" s="3">
        <f t="shared" si="65"/>
        <v>1.0344141635170168E-2</v>
      </c>
      <c r="H1395" s="2">
        <f t="shared" si="63"/>
        <v>12.5</v>
      </c>
      <c r="I1395" s="3">
        <f t="shared" si="64"/>
        <v>1.2432244268735392E-2</v>
      </c>
    </row>
    <row r="1396" spans="2:9" x14ac:dyDescent="0.25">
      <c r="B1396" s="1">
        <v>37210</v>
      </c>
      <c r="C1396" s="2">
        <v>1035.7</v>
      </c>
      <c r="D1396" s="2">
        <v>1016.05</v>
      </c>
      <c r="E1396" s="2">
        <v>1038.3499999999999</v>
      </c>
      <c r="F1396" s="2">
        <v>1015.15</v>
      </c>
      <c r="G1396" s="3">
        <f t="shared" si="65"/>
        <v>1.9590470565072016E-2</v>
      </c>
      <c r="H1396" s="2">
        <f t="shared" si="63"/>
        <v>23.199999999999932</v>
      </c>
      <c r="I1396" s="3">
        <f t="shared" si="64"/>
        <v>2.2833521972343816E-2</v>
      </c>
    </row>
    <row r="1397" spans="2:9" x14ac:dyDescent="0.25">
      <c r="B1397" s="1">
        <v>37214</v>
      </c>
      <c r="C1397" s="2">
        <v>1068.1500000000001</v>
      </c>
      <c r="D1397" s="2">
        <v>1034.2</v>
      </c>
      <c r="E1397" s="2">
        <v>1072</v>
      </c>
      <c r="F1397" s="2">
        <v>1032.8499999999999</v>
      </c>
      <c r="G1397" s="3">
        <f t="shared" si="65"/>
        <v>3.1331466640919237E-2</v>
      </c>
      <c r="H1397" s="2">
        <f t="shared" si="63"/>
        <v>39.150000000000091</v>
      </c>
      <c r="I1397" s="3">
        <f t="shared" si="64"/>
        <v>3.785534712821513E-2</v>
      </c>
    </row>
    <row r="1398" spans="2:9" x14ac:dyDescent="0.25">
      <c r="B1398" s="1">
        <v>37215</v>
      </c>
      <c r="C1398" s="2">
        <v>1050.2</v>
      </c>
      <c r="D1398" s="2">
        <v>1067.3</v>
      </c>
      <c r="E1398" s="2">
        <v>1082.4000000000001</v>
      </c>
      <c r="F1398" s="2">
        <v>1046.1500000000001</v>
      </c>
      <c r="G1398" s="3">
        <f t="shared" si="65"/>
        <v>-1.6804755886345557E-2</v>
      </c>
      <c r="H1398" s="2">
        <f t="shared" si="63"/>
        <v>36.25</v>
      </c>
      <c r="I1398" s="3">
        <f t="shared" si="64"/>
        <v>3.3964208751054062E-2</v>
      </c>
    </row>
    <row r="1399" spans="2:9" x14ac:dyDescent="0.25">
      <c r="B1399" s="1">
        <v>37216</v>
      </c>
      <c r="C1399" s="2">
        <v>1056.3499999999999</v>
      </c>
      <c r="D1399" s="2">
        <v>1050.4000000000001</v>
      </c>
      <c r="E1399" s="2">
        <v>1064.8499999999999</v>
      </c>
      <c r="F1399" s="2">
        <v>1046.3</v>
      </c>
      <c r="G1399" s="3">
        <f t="shared" si="65"/>
        <v>5.8560274233478982E-3</v>
      </c>
      <c r="H1399" s="2">
        <f t="shared" si="63"/>
        <v>18.549999999999955</v>
      </c>
      <c r="I1399" s="3">
        <f t="shared" si="64"/>
        <v>1.7659939070830116E-2</v>
      </c>
    </row>
    <row r="1400" spans="2:9" x14ac:dyDescent="0.25">
      <c r="B1400" s="1">
        <v>37217</v>
      </c>
      <c r="C1400" s="2">
        <v>1062.45</v>
      </c>
      <c r="D1400" s="2">
        <v>1056.45</v>
      </c>
      <c r="E1400" s="2">
        <v>1075.9000000000001</v>
      </c>
      <c r="F1400" s="2">
        <v>1056.45</v>
      </c>
      <c r="G1400" s="3">
        <f t="shared" si="65"/>
        <v>5.7746012211863373E-3</v>
      </c>
      <c r="H1400" s="2">
        <f t="shared" si="63"/>
        <v>19.450000000000045</v>
      </c>
      <c r="I1400" s="3">
        <f t="shared" si="64"/>
        <v>1.8410715130862839E-2</v>
      </c>
    </row>
    <row r="1401" spans="2:9" x14ac:dyDescent="0.25">
      <c r="B1401" s="1">
        <v>37218</v>
      </c>
      <c r="C1401" s="2">
        <v>1059</v>
      </c>
      <c r="D1401" s="2">
        <v>1063.05</v>
      </c>
      <c r="E1401" s="2">
        <v>1075.05</v>
      </c>
      <c r="F1401" s="2">
        <v>1057.3</v>
      </c>
      <c r="G1401" s="3">
        <f t="shared" si="65"/>
        <v>-3.2472116334886225E-3</v>
      </c>
      <c r="H1401" s="2">
        <f t="shared" si="63"/>
        <v>17.75</v>
      </c>
      <c r="I1401" s="3">
        <f t="shared" si="64"/>
        <v>1.6697239076242886E-2</v>
      </c>
    </row>
    <row r="1402" spans="2:9" x14ac:dyDescent="0.25">
      <c r="B1402" s="1">
        <v>37221</v>
      </c>
      <c r="C1402" s="2">
        <v>1080.5999999999999</v>
      </c>
      <c r="D1402" s="2">
        <v>1059.25</v>
      </c>
      <c r="E1402" s="2">
        <v>1084.6500000000001</v>
      </c>
      <c r="F1402" s="2">
        <v>1059.25</v>
      </c>
      <c r="G1402" s="3">
        <f t="shared" si="65"/>
        <v>2.039660056657211E-2</v>
      </c>
      <c r="H1402" s="2">
        <f t="shared" si="63"/>
        <v>25.400000000000091</v>
      </c>
      <c r="I1402" s="3">
        <f t="shared" si="64"/>
        <v>2.3979230587680048E-2</v>
      </c>
    </row>
    <row r="1403" spans="2:9" x14ac:dyDescent="0.25">
      <c r="B1403" s="1">
        <v>37222</v>
      </c>
      <c r="C1403" s="2">
        <v>1076.05</v>
      </c>
      <c r="D1403" s="2">
        <v>1087.5999999999999</v>
      </c>
      <c r="E1403" s="2">
        <v>1097.5999999999999</v>
      </c>
      <c r="F1403" s="2">
        <v>1071.05</v>
      </c>
      <c r="G1403" s="3">
        <f t="shared" si="65"/>
        <v>-4.2106237275587599E-3</v>
      </c>
      <c r="H1403" s="2">
        <f t="shared" si="63"/>
        <v>26.549999999999955</v>
      </c>
      <c r="I1403" s="3">
        <f t="shared" si="64"/>
        <v>2.4411548363368847E-2</v>
      </c>
    </row>
    <row r="1404" spans="2:9" x14ac:dyDescent="0.25">
      <c r="B1404" s="1">
        <v>37223</v>
      </c>
      <c r="C1404" s="2">
        <v>1070.8</v>
      </c>
      <c r="D1404" s="2">
        <v>1076.1500000000001</v>
      </c>
      <c r="E1404" s="2">
        <v>1082.3</v>
      </c>
      <c r="F1404" s="2">
        <v>1067.6500000000001</v>
      </c>
      <c r="G1404" s="3">
        <f t="shared" si="65"/>
        <v>-4.8789554388736223E-3</v>
      </c>
      <c r="H1404" s="2">
        <f t="shared" si="63"/>
        <v>14.649999999999864</v>
      </c>
      <c r="I1404" s="3">
        <f t="shared" si="64"/>
        <v>1.3613343864702749E-2</v>
      </c>
    </row>
    <row r="1405" spans="2:9" x14ac:dyDescent="0.25">
      <c r="B1405" s="1">
        <v>37224</v>
      </c>
      <c r="C1405" s="2">
        <v>1067.1500000000001</v>
      </c>
      <c r="D1405" s="2">
        <v>1070.3</v>
      </c>
      <c r="E1405" s="2">
        <v>1071</v>
      </c>
      <c r="F1405" s="2">
        <v>1063</v>
      </c>
      <c r="G1405" s="3">
        <f t="shared" si="65"/>
        <v>-3.4086664176316006E-3</v>
      </c>
      <c r="H1405" s="2">
        <f t="shared" si="63"/>
        <v>8</v>
      </c>
      <c r="I1405" s="3">
        <f t="shared" si="64"/>
        <v>7.4745398486405681E-3</v>
      </c>
    </row>
    <row r="1406" spans="2:9" x14ac:dyDescent="0.25">
      <c r="B1406" s="1">
        <v>37228</v>
      </c>
      <c r="C1406" s="2">
        <v>1065.4000000000001</v>
      </c>
      <c r="D1406" s="2">
        <v>1067.2</v>
      </c>
      <c r="E1406" s="2">
        <v>1074.5</v>
      </c>
      <c r="F1406" s="2">
        <v>1063.25</v>
      </c>
      <c r="G1406" s="3">
        <f t="shared" si="65"/>
        <v>-1.6398819285011745E-3</v>
      </c>
      <c r="H1406" s="2">
        <f t="shared" si="63"/>
        <v>11.25</v>
      </c>
      <c r="I1406" s="3">
        <f t="shared" si="64"/>
        <v>1.0541604197901049E-2</v>
      </c>
    </row>
    <row r="1407" spans="2:9" x14ac:dyDescent="0.25">
      <c r="B1407" s="1">
        <v>37229</v>
      </c>
      <c r="C1407" s="2">
        <v>1077.7</v>
      </c>
      <c r="D1407" s="2">
        <v>1066.05</v>
      </c>
      <c r="E1407" s="2">
        <v>1082.5999999999999</v>
      </c>
      <c r="F1407" s="2">
        <v>1065.6500000000001</v>
      </c>
      <c r="G1407" s="3">
        <f t="shared" si="65"/>
        <v>1.1544959639572028E-2</v>
      </c>
      <c r="H1407" s="2">
        <f t="shared" si="63"/>
        <v>16.949999999999818</v>
      </c>
      <c r="I1407" s="3">
        <f t="shared" si="64"/>
        <v>1.5899817081750218E-2</v>
      </c>
    </row>
    <row r="1408" spans="2:9" x14ac:dyDescent="0.25">
      <c r="B1408" s="1">
        <v>37230</v>
      </c>
      <c r="C1408" s="2">
        <v>1104.55</v>
      </c>
      <c r="D1408" s="2">
        <v>1077.95</v>
      </c>
      <c r="E1408" s="2">
        <v>1107.1500000000001</v>
      </c>
      <c r="F1408" s="2">
        <v>1077.95</v>
      </c>
      <c r="G1408" s="3">
        <f t="shared" si="65"/>
        <v>2.4914169063746883E-2</v>
      </c>
      <c r="H1408" s="2">
        <f t="shared" si="63"/>
        <v>29.200000000000045</v>
      </c>
      <c r="I1408" s="3">
        <f t="shared" si="64"/>
        <v>2.7088454937613103E-2</v>
      </c>
    </row>
    <row r="1409" spans="2:9" x14ac:dyDescent="0.25">
      <c r="B1409" s="1">
        <v>37231</v>
      </c>
      <c r="C1409" s="2">
        <v>1110.45</v>
      </c>
      <c r="D1409" s="2">
        <v>1105.0999999999999</v>
      </c>
      <c r="E1409" s="2">
        <v>1132.6500000000001</v>
      </c>
      <c r="F1409" s="2">
        <v>1105.0999999999999</v>
      </c>
      <c r="G1409" s="3">
        <f t="shared" si="65"/>
        <v>5.3415418043547547E-3</v>
      </c>
      <c r="H1409" s="2">
        <f t="shared" si="63"/>
        <v>27.550000000000182</v>
      </c>
      <c r="I1409" s="3">
        <f t="shared" si="64"/>
        <v>2.4929870599945874E-2</v>
      </c>
    </row>
    <row r="1410" spans="2:9" x14ac:dyDescent="0.25">
      <c r="B1410" s="1">
        <v>37232</v>
      </c>
      <c r="C1410" s="2">
        <v>1112.3</v>
      </c>
      <c r="D1410" s="2">
        <v>1110.9000000000001</v>
      </c>
      <c r="E1410" s="2">
        <v>1122.6500000000001</v>
      </c>
      <c r="F1410" s="2">
        <v>1109.6500000000001</v>
      </c>
      <c r="G1410" s="3">
        <f t="shared" si="65"/>
        <v>1.665991264802491E-3</v>
      </c>
      <c r="H1410" s="2">
        <f t="shared" si="63"/>
        <v>13</v>
      </c>
      <c r="I1410" s="3">
        <f t="shared" si="64"/>
        <v>1.1702223422450265E-2</v>
      </c>
    </row>
    <row r="1411" spans="2:9" x14ac:dyDescent="0.25">
      <c r="B1411" s="1">
        <v>37235</v>
      </c>
      <c r="C1411" s="2">
        <v>1115.25</v>
      </c>
      <c r="D1411" s="2">
        <v>1112.1500000000001</v>
      </c>
      <c r="E1411" s="2">
        <v>1123.55</v>
      </c>
      <c r="F1411" s="2">
        <v>1112.1500000000001</v>
      </c>
      <c r="G1411" s="3">
        <f t="shared" si="65"/>
        <v>2.6521621864605827E-3</v>
      </c>
      <c r="H1411" s="2">
        <f t="shared" si="63"/>
        <v>11.399999999999864</v>
      </c>
      <c r="I1411" s="3">
        <f t="shared" si="64"/>
        <v>1.0250415861169683E-2</v>
      </c>
    </row>
    <row r="1412" spans="2:9" x14ac:dyDescent="0.25">
      <c r="B1412" s="1">
        <v>37236</v>
      </c>
      <c r="C1412" s="2">
        <v>1110.2</v>
      </c>
      <c r="D1412" s="2">
        <v>1112.1500000000001</v>
      </c>
      <c r="E1412" s="2">
        <v>1122.8499999999999</v>
      </c>
      <c r="F1412" s="2">
        <v>1107.7</v>
      </c>
      <c r="G1412" s="3">
        <f t="shared" si="65"/>
        <v>-4.5281327056713172E-3</v>
      </c>
      <c r="H1412" s="2">
        <f t="shared" si="63"/>
        <v>15.149999999999864</v>
      </c>
      <c r="I1412" s="3">
        <f t="shared" si="64"/>
        <v>1.3622263183922909E-2</v>
      </c>
    </row>
    <row r="1413" spans="2:9" x14ac:dyDescent="0.25">
      <c r="B1413" s="1">
        <v>37237</v>
      </c>
      <c r="C1413" s="2">
        <v>1107.6500000000001</v>
      </c>
      <c r="D1413" s="2">
        <v>1110.6500000000001</v>
      </c>
      <c r="E1413" s="2">
        <v>1121.55</v>
      </c>
      <c r="F1413" s="2">
        <v>1104.75</v>
      </c>
      <c r="G1413" s="3">
        <f t="shared" si="65"/>
        <v>-2.296883444424358E-3</v>
      </c>
      <c r="H1413" s="2">
        <f t="shared" ref="H1413:H1476" si="66">E1413-F1413</f>
        <v>16.799999999999955</v>
      </c>
      <c r="I1413" s="3">
        <f t="shared" si="64"/>
        <v>1.5126277405123083E-2</v>
      </c>
    </row>
    <row r="1414" spans="2:9" x14ac:dyDescent="0.25">
      <c r="B1414" s="1">
        <v>37238</v>
      </c>
      <c r="C1414" s="2">
        <v>1098.75</v>
      </c>
      <c r="D1414" s="2">
        <v>1107.75</v>
      </c>
      <c r="E1414" s="2">
        <v>1114.1500000000001</v>
      </c>
      <c r="F1414" s="2">
        <v>1069.95</v>
      </c>
      <c r="G1414" s="3">
        <f t="shared" si="65"/>
        <v>-8.0350291156954246E-3</v>
      </c>
      <c r="H1414" s="2">
        <f t="shared" si="66"/>
        <v>44.200000000000045</v>
      </c>
      <c r="I1414" s="3">
        <f t="shared" ref="I1414:I1477" si="67">H1414/D1414</f>
        <v>3.990069961633947E-2</v>
      </c>
    </row>
    <row r="1415" spans="2:9" x14ac:dyDescent="0.25">
      <c r="B1415" s="1">
        <v>37239</v>
      </c>
      <c r="C1415" s="2">
        <v>1087.8499999999999</v>
      </c>
      <c r="D1415" s="2">
        <v>1098.6500000000001</v>
      </c>
      <c r="E1415" s="2">
        <v>1102.9000000000001</v>
      </c>
      <c r="F1415" s="2">
        <v>1082.75</v>
      </c>
      <c r="G1415" s="3">
        <f t="shared" ref="G1415:G1478" si="68">C1415/C1414-1</f>
        <v>-9.9203640500569179E-3</v>
      </c>
      <c r="H1415" s="2">
        <f t="shared" si="66"/>
        <v>20.150000000000091</v>
      </c>
      <c r="I1415" s="3">
        <f t="shared" si="67"/>
        <v>1.8340690847858818E-2</v>
      </c>
    </row>
    <row r="1416" spans="2:9" x14ac:dyDescent="0.25">
      <c r="B1416" s="1">
        <v>37243</v>
      </c>
      <c r="C1416" s="2">
        <v>1082.3</v>
      </c>
      <c r="D1416" s="2">
        <v>1089.9000000000001</v>
      </c>
      <c r="E1416" s="2">
        <v>1098</v>
      </c>
      <c r="F1416" s="2">
        <v>1071.3499999999999</v>
      </c>
      <c r="G1416" s="3">
        <f t="shared" si="68"/>
        <v>-5.1018063152088455E-3</v>
      </c>
      <c r="H1416" s="2">
        <f t="shared" si="66"/>
        <v>26.650000000000091</v>
      </c>
      <c r="I1416" s="3">
        <f t="shared" si="67"/>
        <v>2.4451784567391586E-2</v>
      </c>
    </row>
    <row r="1417" spans="2:9" x14ac:dyDescent="0.25">
      <c r="B1417" s="1">
        <v>37244</v>
      </c>
      <c r="C1417" s="2">
        <v>1060.75</v>
      </c>
      <c r="D1417" s="2">
        <v>1082.5</v>
      </c>
      <c r="E1417" s="2">
        <v>1086.3499999999999</v>
      </c>
      <c r="F1417" s="2">
        <v>1057.0999999999999</v>
      </c>
      <c r="G1417" s="3">
        <f t="shared" si="68"/>
        <v>-1.9911300009239574E-2</v>
      </c>
      <c r="H1417" s="2">
        <f t="shared" si="66"/>
        <v>29.25</v>
      </c>
      <c r="I1417" s="3">
        <f t="shared" si="67"/>
        <v>2.7020785219399539E-2</v>
      </c>
    </row>
    <row r="1418" spans="2:9" x14ac:dyDescent="0.25">
      <c r="B1418" s="1">
        <v>37245</v>
      </c>
      <c r="C1418" s="2">
        <v>1062</v>
      </c>
      <c r="D1418" s="2">
        <v>1060.45</v>
      </c>
      <c r="E1418" s="2">
        <v>1064.8</v>
      </c>
      <c r="F1418" s="2">
        <v>1047.5</v>
      </c>
      <c r="G1418" s="3">
        <f t="shared" si="68"/>
        <v>1.1784115012962726E-3</v>
      </c>
      <c r="H1418" s="2">
        <f t="shared" si="66"/>
        <v>17.299999999999955</v>
      </c>
      <c r="I1418" s="3">
        <f t="shared" si="67"/>
        <v>1.6313829034843654E-2</v>
      </c>
    </row>
    <row r="1419" spans="2:9" x14ac:dyDescent="0.25">
      <c r="B1419" s="1">
        <v>37246</v>
      </c>
      <c r="C1419" s="2">
        <v>1050.8499999999999</v>
      </c>
      <c r="D1419" s="2">
        <v>1061.8</v>
      </c>
      <c r="E1419" s="2">
        <v>1061.8</v>
      </c>
      <c r="F1419" s="2">
        <v>1043.6500000000001</v>
      </c>
      <c r="G1419" s="3">
        <f t="shared" si="68"/>
        <v>-1.0499058380414428E-2</v>
      </c>
      <c r="H1419" s="2">
        <f t="shared" si="66"/>
        <v>18.149999999999864</v>
      </c>
      <c r="I1419" s="3">
        <f t="shared" si="67"/>
        <v>1.7093614616688513E-2</v>
      </c>
    </row>
    <row r="1420" spans="2:9" x14ac:dyDescent="0.25">
      <c r="B1420" s="1">
        <v>37249</v>
      </c>
      <c r="C1420" s="2">
        <v>1048.5</v>
      </c>
      <c r="D1420" s="2">
        <v>1051</v>
      </c>
      <c r="E1420" s="2">
        <v>1055</v>
      </c>
      <c r="F1420" s="2">
        <v>1032.5999999999999</v>
      </c>
      <c r="G1420" s="3">
        <f t="shared" si="68"/>
        <v>-2.2362849122138373E-3</v>
      </c>
      <c r="H1420" s="2">
        <f t="shared" si="66"/>
        <v>22.400000000000091</v>
      </c>
      <c r="I1420" s="3">
        <f t="shared" si="67"/>
        <v>2.1313035204567166E-2</v>
      </c>
    </row>
    <row r="1421" spans="2:9" x14ac:dyDescent="0.25">
      <c r="B1421" s="1">
        <v>37251</v>
      </c>
      <c r="C1421" s="2">
        <v>1034.25</v>
      </c>
      <c r="D1421" s="2">
        <v>1048.9000000000001</v>
      </c>
      <c r="E1421" s="2">
        <v>1058.3</v>
      </c>
      <c r="F1421" s="2">
        <v>1030.5</v>
      </c>
      <c r="G1421" s="3">
        <f t="shared" si="68"/>
        <v>-1.3590844062947083E-2</v>
      </c>
      <c r="H1421" s="2">
        <f t="shared" si="66"/>
        <v>27.799999999999955</v>
      </c>
      <c r="I1421" s="3">
        <f t="shared" si="67"/>
        <v>2.6503956525884213E-2</v>
      </c>
    </row>
    <row r="1422" spans="2:9" x14ac:dyDescent="0.25">
      <c r="B1422" s="1">
        <v>37252</v>
      </c>
      <c r="C1422" s="2">
        <v>1020</v>
      </c>
      <c r="D1422" s="2">
        <v>1033.8499999999999</v>
      </c>
      <c r="E1422" s="2">
        <v>1037.7</v>
      </c>
      <c r="F1422" s="2">
        <v>1017.35</v>
      </c>
      <c r="G1422" s="3">
        <f t="shared" si="68"/>
        <v>-1.3778100072516342E-2</v>
      </c>
      <c r="H1422" s="2">
        <f t="shared" si="66"/>
        <v>20.350000000000023</v>
      </c>
      <c r="I1422" s="3">
        <f t="shared" si="67"/>
        <v>1.9683706533829882E-2</v>
      </c>
    </row>
    <row r="1423" spans="2:9" x14ac:dyDescent="0.25">
      <c r="B1423" s="1">
        <v>37253</v>
      </c>
      <c r="C1423" s="2">
        <v>1033.8</v>
      </c>
      <c r="D1423" s="2">
        <v>1019.9</v>
      </c>
      <c r="E1423" s="2">
        <v>1036.3499999999999</v>
      </c>
      <c r="F1423" s="2">
        <v>1010.45</v>
      </c>
      <c r="G1423" s="3">
        <f t="shared" si="68"/>
        <v>1.352941176470579E-2</v>
      </c>
      <c r="H1423" s="2">
        <f t="shared" si="66"/>
        <v>25.899999999999864</v>
      </c>
      <c r="I1423" s="3">
        <f t="shared" si="67"/>
        <v>2.5394646533973785E-2</v>
      </c>
    </row>
    <row r="1424" spans="2:9" x14ac:dyDescent="0.25">
      <c r="B1424" s="1">
        <v>37256</v>
      </c>
      <c r="C1424" s="2">
        <v>1059.05</v>
      </c>
      <c r="D1424" s="2">
        <v>1033.9000000000001</v>
      </c>
      <c r="E1424" s="2">
        <v>1062.3</v>
      </c>
      <c r="F1424" s="2">
        <v>1033.9000000000001</v>
      </c>
      <c r="G1424" s="3">
        <f t="shared" si="68"/>
        <v>2.4424453472625229E-2</v>
      </c>
      <c r="H1424" s="2">
        <f t="shared" si="66"/>
        <v>28.399999999999864</v>
      </c>
      <c r="I1424" s="3">
        <f t="shared" si="67"/>
        <v>2.7468807428184409E-2</v>
      </c>
    </row>
    <row r="1425" spans="2:9" x14ac:dyDescent="0.25">
      <c r="B1425" s="1">
        <v>37257</v>
      </c>
      <c r="C1425" s="2">
        <v>1055.3</v>
      </c>
      <c r="D1425" s="2">
        <v>1058.8499999999999</v>
      </c>
      <c r="E1425" s="2">
        <v>1071.1500000000001</v>
      </c>
      <c r="F1425" s="2">
        <v>1052.05</v>
      </c>
      <c r="G1425" s="3">
        <f t="shared" si="68"/>
        <v>-3.5409093055096541E-3</v>
      </c>
      <c r="H1425" s="2">
        <f t="shared" si="66"/>
        <v>19.100000000000136</v>
      </c>
      <c r="I1425" s="3">
        <f t="shared" si="67"/>
        <v>1.8038437927940822E-2</v>
      </c>
    </row>
    <row r="1426" spans="2:9" x14ac:dyDescent="0.25">
      <c r="B1426" s="1">
        <v>37258</v>
      </c>
      <c r="C1426" s="2">
        <v>1060.75</v>
      </c>
      <c r="D1426" s="2">
        <v>1054.95</v>
      </c>
      <c r="E1426" s="2">
        <v>1065.25</v>
      </c>
      <c r="F1426" s="2">
        <v>1054.0999999999999</v>
      </c>
      <c r="G1426" s="3">
        <f t="shared" si="68"/>
        <v>5.1644082251491863E-3</v>
      </c>
      <c r="H1426" s="2">
        <f t="shared" si="66"/>
        <v>11.150000000000091</v>
      </c>
      <c r="I1426" s="3">
        <f t="shared" si="67"/>
        <v>1.0569221290108621E-2</v>
      </c>
    </row>
    <row r="1427" spans="2:9" x14ac:dyDescent="0.25">
      <c r="B1427" s="1">
        <v>37259</v>
      </c>
      <c r="C1427" s="2">
        <v>1072.25</v>
      </c>
      <c r="D1427" s="2">
        <v>1063.45</v>
      </c>
      <c r="E1427" s="2">
        <v>1074.8499999999999</v>
      </c>
      <c r="F1427" s="2">
        <v>1062.9000000000001</v>
      </c>
      <c r="G1427" s="3">
        <f t="shared" si="68"/>
        <v>1.0841385811925619E-2</v>
      </c>
      <c r="H1427" s="2">
        <f t="shared" si="66"/>
        <v>11.949999999999818</v>
      </c>
      <c r="I1427" s="3">
        <f t="shared" si="67"/>
        <v>1.1237011613145722E-2</v>
      </c>
    </row>
    <row r="1428" spans="2:9" x14ac:dyDescent="0.25">
      <c r="B1428" s="1">
        <v>37260</v>
      </c>
      <c r="C1428" s="2">
        <v>1096.2</v>
      </c>
      <c r="D1428" s="2">
        <v>1072.4000000000001</v>
      </c>
      <c r="E1428" s="2">
        <v>1099.25</v>
      </c>
      <c r="F1428" s="2">
        <v>1072.4000000000001</v>
      </c>
      <c r="G1428" s="3">
        <f t="shared" si="68"/>
        <v>2.2336208906505117E-2</v>
      </c>
      <c r="H1428" s="2">
        <f t="shared" si="66"/>
        <v>26.849999999999909</v>
      </c>
      <c r="I1428" s="3">
        <f t="shared" si="67"/>
        <v>2.5037299515106217E-2</v>
      </c>
    </row>
    <row r="1429" spans="2:9" x14ac:dyDescent="0.25">
      <c r="B1429" s="1">
        <v>37263</v>
      </c>
      <c r="C1429" s="2">
        <v>1100.1500000000001</v>
      </c>
      <c r="D1429" s="2">
        <v>1093.05</v>
      </c>
      <c r="E1429" s="2">
        <v>1111.55</v>
      </c>
      <c r="F1429" s="2">
        <v>1093.05</v>
      </c>
      <c r="G1429" s="3">
        <f t="shared" si="68"/>
        <v>3.6033570516329494E-3</v>
      </c>
      <c r="H1429" s="2">
        <f t="shared" si="66"/>
        <v>18.5</v>
      </c>
      <c r="I1429" s="3">
        <f t="shared" si="67"/>
        <v>1.6925117789671106E-2</v>
      </c>
    </row>
    <row r="1430" spans="2:9" x14ac:dyDescent="0.25">
      <c r="B1430" s="1">
        <v>37264</v>
      </c>
      <c r="C1430" s="2">
        <v>1109.9000000000001</v>
      </c>
      <c r="D1430" s="2">
        <v>1100.55</v>
      </c>
      <c r="E1430" s="2">
        <v>1114.55</v>
      </c>
      <c r="F1430" s="2">
        <v>1097.9000000000001</v>
      </c>
      <c r="G1430" s="3">
        <f t="shared" si="68"/>
        <v>8.8624278507476451E-3</v>
      </c>
      <c r="H1430" s="2">
        <f t="shared" si="66"/>
        <v>16.649999999999864</v>
      </c>
      <c r="I1430" s="3">
        <f t="shared" si="67"/>
        <v>1.5128799236745141E-2</v>
      </c>
    </row>
    <row r="1431" spans="2:9" x14ac:dyDescent="0.25">
      <c r="B1431" s="1">
        <v>37265</v>
      </c>
      <c r="C1431" s="2">
        <v>1102.8</v>
      </c>
      <c r="D1431" s="2">
        <v>1110</v>
      </c>
      <c r="E1431" s="2">
        <v>1119.4000000000001</v>
      </c>
      <c r="F1431" s="2">
        <v>1098.7</v>
      </c>
      <c r="G1431" s="3">
        <f t="shared" si="68"/>
        <v>-6.3969727002434196E-3</v>
      </c>
      <c r="H1431" s="2">
        <f t="shared" si="66"/>
        <v>20.700000000000045</v>
      </c>
      <c r="I1431" s="3">
        <f t="shared" si="67"/>
        <v>1.8648648648648691E-2</v>
      </c>
    </row>
    <row r="1432" spans="2:9" x14ac:dyDescent="0.25">
      <c r="B1432" s="1">
        <v>37266</v>
      </c>
      <c r="C1432" s="2">
        <v>1098.2</v>
      </c>
      <c r="D1432" s="2">
        <v>1098.8</v>
      </c>
      <c r="E1432" s="2">
        <v>1105.3499999999999</v>
      </c>
      <c r="F1432" s="2">
        <v>1093.5999999999999</v>
      </c>
      <c r="G1432" s="3">
        <f t="shared" si="68"/>
        <v>-4.171200580340817E-3</v>
      </c>
      <c r="H1432" s="2">
        <f t="shared" si="66"/>
        <v>11.75</v>
      </c>
      <c r="I1432" s="3">
        <f t="shared" si="67"/>
        <v>1.0693483800509647E-2</v>
      </c>
    </row>
    <row r="1433" spans="2:9" x14ac:dyDescent="0.25">
      <c r="B1433" s="1">
        <v>37267</v>
      </c>
      <c r="C1433" s="2">
        <v>1088.55</v>
      </c>
      <c r="D1433" s="2">
        <v>1098.1500000000001</v>
      </c>
      <c r="E1433" s="2">
        <v>1105.9000000000001</v>
      </c>
      <c r="F1433" s="2">
        <v>1073.45</v>
      </c>
      <c r="G1433" s="3">
        <f t="shared" si="68"/>
        <v>-8.7871061737389011E-3</v>
      </c>
      <c r="H1433" s="2">
        <f t="shared" si="66"/>
        <v>32.450000000000045</v>
      </c>
      <c r="I1433" s="3">
        <f t="shared" si="67"/>
        <v>2.9549697218048575E-2</v>
      </c>
    </row>
    <row r="1434" spans="2:9" x14ac:dyDescent="0.25">
      <c r="B1434" s="1">
        <v>37270</v>
      </c>
      <c r="C1434" s="2">
        <v>1109.8</v>
      </c>
      <c r="D1434" s="2">
        <v>1089.45</v>
      </c>
      <c r="E1434" s="2">
        <v>1118.5</v>
      </c>
      <c r="F1434" s="2">
        <v>1089.45</v>
      </c>
      <c r="G1434" s="3">
        <f t="shared" si="68"/>
        <v>1.9521381654494574E-2</v>
      </c>
      <c r="H1434" s="2">
        <f t="shared" si="66"/>
        <v>29.049999999999955</v>
      </c>
      <c r="I1434" s="3">
        <f t="shared" si="67"/>
        <v>2.6664830877965902E-2</v>
      </c>
    </row>
    <row r="1435" spans="2:9" x14ac:dyDescent="0.25">
      <c r="B1435" s="1">
        <v>37271</v>
      </c>
      <c r="C1435" s="2">
        <v>1094.1500000000001</v>
      </c>
      <c r="D1435" s="2">
        <v>1109.45</v>
      </c>
      <c r="E1435" s="2">
        <v>1112.5999999999999</v>
      </c>
      <c r="F1435" s="2">
        <v>1090.2</v>
      </c>
      <c r="G1435" s="3">
        <f t="shared" si="68"/>
        <v>-1.4101639935123367E-2</v>
      </c>
      <c r="H1435" s="2">
        <f t="shared" si="66"/>
        <v>22.399999999999864</v>
      </c>
      <c r="I1435" s="3">
        <f t="shared" si="67"/>
        <v>2.0190184325566598E-2</v>
      </c>
    </row>
    <row r="1436" spans="2:9" x14ac:dyDescent="0.25">
      <c r="B1436" s="1">
        <v>37272</v>
      </c>
      <c r="C1436" s="2">
        <v>1090.3</v>
      </c>
      <c r="D1436" s="2">
        <v>1094.1500000000001</v>
      </c>
      <c r="E1436" s="2">
        <v>1104.8</v>
      </c>
      <c r="F1436" s="2">
        <v>1085.3</v>
      </c>
      <c r="G1436" s="3">
        <f t="shared" si="68"/>
        <v>-3.5187131563315655E-3</v>
      </c>
      <c r="H1436" s="2">
        <f t="shared" si="66"/>
        <v>19.5</v>
      </c>
      <c r="I1436" s="3">
        <f t="shared" si="67"/>
        <v>1.7822053648951241E-2</v>
      </c>
    </row>
    <row r="1437" spans="2:9" x14ac:dyDescent="0.25">
      <c r="B1437" s="1">
        <v>37273</v>
      </c>
      <c r="C1437" s="2">
        <v>1109.2</v>
      </c>
      <c r="D1437" s="2">
        <v>1090.25</v>
      </c>
      <c r="E1437" s="2">
        <v>1116.05</v>
      </c>
      <c r="F1437" s="2">
        <v>1078.95</v>
      </c>
      <c r="G1437" s="3">
        <f t="shared" si="68"/>
        <v>1.7334678528845293E-2</v>
      </c>
      <c r="H1437" s="2">
        <f t="shared" si="66"/>
        <v>37.099999999999909</v>
      </c>
      <c r="I1437" s="3">
        <f t="shared" si="67"/>
        <v>3.4028892455858661E-2</v>
      </c>
    </row>
    <row r="1438" spans="2:9" x14ac:dyDescent="0.25">
      <c r="B1438" s="1">
        <v>37274</v>
      </c>
      <c r="C1438" s="2">
        <v>1093.1500000000001</v>
      </c>
      <c r="D1438" s="2">
        <v>1109.55</v>
      </c>
      <c r="E1438" s="2">
        <v>1121.75</v>
      </c>
      <c r="F1438" s="2">
        <v>1089.05</v>
      </c>
      <c r="G1438" s="3">
        <f t="shared" si="68"/>
        <v>-1.4469888207717219E-2</v>
      </c>
      <c r="H1438" s="2">
        <f t="shared" si="66"/>
        <v>32.700000000000045</v>
      </c>
      <c r="I1438" s="3">
        <f t="shared" si="67"/>
        <v>2.9471407327294891E-2</v>
      </c>
    </row>
    <row r="1439" spans="2:9" x14ac:dyDescent="0.25">
      <c r="B1439" s="1">
        <v>37277</v>
      </c>
      <c r="C1439" s="2">
        <v>1091.3499999999999</v>
      </c>
      <c r="D1439" s="2">
        <v>1093.25</v>
      </c>
      <c r="E1439" s="2">
        <v>1099.8</v>
      </c>
      <c r="F1439" s="2">
        <v>1082.6500000000001</v>
      </c>
      <c r="G1439" s="3">
        <f t="shared" si="68"/>
        <v>-1.6466175730688315E-3</v>
      </c>
      <c r="H1439" s="2">
        <f t="shared" si="66"/>
        <v>17.149999999999864</v>
      </c>
      <c r="I1439" s="3">
        <f t="shared" si="67"/>
        <v>1.5687171278298526E-2</v>
      </c>
    </row>
    <row r="1440" spans="2:9" x14ac:dyDescent="0.25">
      <c r="B1440" s="1">
        <v>37278</v>
      </c>
      <c r="C1440" s="2">
        <v>1092.8499999999999</v>
      </c>
      <c r="D1440" s="2">
        <v>1091.3499999999999</v>
      </c>
      <c r="E1440" s="2">
        <v>1099</v>
      </c>
      <c r="F1440" s="2">
        <v>1090</v>
      </c>
      <c r="G1440" s="3">
        <f t="shared" si="68"/>
        <v>1.3744444953498469E-3</v>
      </c>
      <c r="H1440" s="2">
        <f t="shared" si="66"/>
        <v>9</v>
      </c>
      <c r="I1440" s="3">
        <f t="shared" si="67"/>
        <v>8.2466669720987779E-3</v>
      </c>
    </row>
    <row r="1441" spans="2:9" x14ac:dyDescent="0.25">
      <c r="B1441" s="1">
        <v>37279</v>
      </c>
      <c r="C1441" s="2">
        <v>1089.4000000000001</v>
      </c>
      <c r="D1441" s="2">
        <v>1092.8499999999999</v>
      </c>
      <c r="E1441" s="2">
        <v>1096.95</v>
      </c>
      <c r="F1441" s="2">
        <v>1087.5</v>
      </c>
      <c r="G1441" s="3">
        <f t="shared" si="68"/>
        <v>-3.1568833783225392E-3</v>
      </c>
      <c r="H1441" s="2">
        <f t="shared" si="66"/>
        <v>9.4500000000000455</v>
      </c>
      <c r="I1441" s="3">
        <f t="shared" si="67"/>
        <v>8.6471153406231828E-3</v>
      </c>
    </row>
    <row r="1442" spans="2:9" x14ac:dyDescent="0.25">
      <c r="B1442" s="1">
        <v>37280</v>
      </c>
      <c r="C1442" s="2">
        <v>1085.3</v>
      </c>
      <c r="D1442" s="2">
        <v>1089.5999999999999</v>
      </c>
      <c r="E1442" s="2">
        <v>1098.5999999999999</v>
      </c>
      <c r="F1442" s="2">
        <v>1081.7</v>
      </c>
      <c r="G1442" s="3">
        <f t="shared" si="68"/>
        <v>-3.7635395630624124E-3</v>
      </c>
      <c r="H1442" s="2">
        <f t="shared" si="66"/>
        <v>16.899999999999864</v>
      </c>
      <c r="I1442" s="3">
        <f t="shared" si="67"/>
        <v>1.5510279001468305E-2</v>
      </c>
    </row>
    <row r="1443" spans="2:9" x14ac:dyDescent="0.25">
      <c r="B1443" s="1">
        <v>37281</v>
      </c>
      <c r="C1443" s="2">
        <v>1080.0999999999999</v>
      </c>
      <c r="D1443" s="2">
        <v>1085.8499999999999</v>
      </c>
      <c r="E1443" s="2">
        <v>1089.7</v>
      </c>
      <c r="F1443" s="2">
        <v>1077</v>
      </c>
      <c r="G1443" s="3">
        <f t="shared" si="68"/>
        <v>-4.7913019441629956E-3</v>
      </c>
      <c r="H1443" s="2">
        <f t="shared" si="66"/>
        <v>12.700000000000045</v>
      </c>
      <c r="I1443" s="3">
        <f t="shared" si="67"/>
        <v>1.1695906432748581E-2</v>
      </c>
    </row>
    <row r="1444" spans="2:9" x14ac:dyDescent="0.25">
      <c r="B1444" s="1">
        <v>37284</v>
      </c>
      <c r="C1444" s="2">
        <v>1071.3499999999999</v>
      </c>
      <c r="D1444" s="2">
        <v>1083.25</v>
      </c>
      <c r="E1444" s="2">
        <v>1088.75</v>
      </c>
      <c r="F1444" s="2">
        <v>1068.7</v>
      </c>
      <c r="G1444" s="3">
        <f t="shared" si="68"/>
        <v>-8.1011017498380244E-3</v>
      </c>
      <c r="H1444" s="2">
        <f t="shared" si="66"/>
        <v>20.049999999999955</v>
      </c>
      <c r="I1444" s="3">
        <f t="shared" si="67"/>
        <v>1.8509116085852716E-2</v>
      </c>
    </row>
    <row r="1445" spans="2:9" x14ac:dyDescent="0.25">
      <c r="B1445" s="1">
        <v>37285</v>
      </c>
      <c r="C1445" s="2">
        <v>1071.6500000000001</v>
      </c>
      <c r="D1445" s="2">
        <v>1071.3499999999999</v>
      </c>
      <c r="E1445" s="2">
        <v>1076.45</v>
      </c>
      <c r="F1445" s="2">
        <v>1068.8499999999999</v>
      </c>
      <c r="G1445" s="3">
        <f t="shared" si="68"/>
        <v>2.8002053483944245E-4</v>
      </c>
      <c r="H1445" s="2">
        <f t="shared" si="66"/>
        <v>7.6000000000001364</v>
      </c>
      <c r="I1445" s="3">
        <f t="shared" si="67"/>
        <v>7.0938535492604069E-3</v>
      </c>
    </row>
    <row r="1446" spans="2:9" x14ac:dyDescent="0.25">
      <c r="B1446" s="1">
        <v>37286</v>
      </c>
      <c r="C1446" s="2">
        <v>1067.45</v>
      </c>
      <c r="D1446" s="2">
        <v>1072.8499999999999</v>
      </c>
      <c r="E1446" s="2">
        <v>1072.8499999999999</v>
      </c>
      <c r="F1446" s="2">
        <v>1058.8</v>
      </c>
      <c r="G1446" s="3">
        <f t="shared" si="68"/>
        <v>-3.9191900340597163E-3</v>
      </c>
      <c r="H1446" s="2">
        <f t="shared" si="66"/>
        <v>14.049999999999955</v>
      </c>
      <c r="I1446" s="3">
        <f t="shared" si="67"/>
        <v>1.3095959360581588E-2</v>
      </c>
    </row>
    <row r="1447" spans="2:9" x14ac:dyDescent="0.25">
      <c r="B1447" s="1">
        <v>37287</v>
      </c>
      <c r="C1447" s="2">
        <v>1075.4000000000001</v>
      </c>
      <c r="D1447" s="2">
        <v>1067.6500000000001</v>
      </c>
      <c r="E1447" s="2">
        <v>1082</v>
      </c>
      <c r="F1447" s="2">
        <v>1067.6500000000001</v>
      </c>
      <c r="G1447" s="3">
        <f t="shared" si="68"/>
        <v>7.4476556278983974E-3</v>
      </c>
      <c r="H1447" s="2">
        <f t="shared" si="66"/>
        <v>14.349999999999909</v>
      </c>
      <c r="I1447" s="3">
        <f t="shared" si="67"/>
        <v>1.3440734323045855E-2</v>
      </c>
    </row>
    <row r="1448" spans="2:9" x14ac:dyDescent="0.25">
      <c r="B1448" s="1">
        <v>37288</v>
      </c>
      <c r="C1448" s="2">
        <v>1081.6500000000001</v>
      </c>
      <c r="D1448" s="2">
        <v>1076.95</v>
      </c>
      <c r="E1448" s="2">
        <v>1088.05</v>
      </c>
      <c r="F1448" s="2">
        <v>1076.95</v>
      </c>
      <c r="G1448" s="3">
        <f t="shared" si="68"/>
        <v>5.8117909615027497E-3</v>
      </c>
      <c r="H1448" s="2">
        <f t="shared" si="66"/>
        <v>11.099999999999909</v>
      </c>
      <c r="I1448" s="3">
        <f t="shared" si="67"/>
        <v>1.0306885185013147E-2</v>
      </c>
    </row>
    <row r="1449" spans="2:9" x14ac:dyDescent="0.25">
      <c r="B1449" s="1">
        <v>37291</v>
      </c>
      <c r="C1449" s="2">
        <v>1076.9000000000001</v>
      </c>
      <c r="D1449" s="2">
        <v>1083.05</v>
      </c>
      <c r="E1449" s="2">
        <v>1086.95</v>
      </c>
      <c r="F1449" s="2">
        <v>1074.1500000000001</v>
      </c>
      <c r="G1449" s="3">
        <f t="shared" si="68"/>
        <v>-4.3914390052235408E-3</v>
      </c>
      <c r="H1449" s="2">
        <f t="shared" si="66"/>
        <v>12.799999999999955</v>
      </c>
      <c r="I1449" s="3">
        <f t="shared" si="67"/>
        <v>1.1818475601311071E-2</v>
      </c>
    </row>
    <row r="1450" spans="2:9" x14ac:dyDescent="0.25">
      <c r="B1450" s="1">
        <v>37292</v>
      </c>
      <c r="C1450" s="2">
        <v>1074.25</v>
      </c>
      <c r="D1450" s="2">
        <v>1076.25</v>
      </c>
      <c r="E1450" s="2">
        <v>1081.2</v>
      </c>
      <c r="F1450" s="2">
        <v>1069.4000000000001</v>
      </c>
      <c r="G1450" s="3">
        <f t="shared" si="68"/>
        <v>-2.4607670164361606E-3</v>
      </c>
      <c r="H1450" s="2">
        <f t="shared" si="66"/>
        <v>11.799999999999955</v>
      </c>
      <c r="I1450" s="3">
        <f t="shared" si="67"/>
        <v>1.0963995354239215E-2</v>
      </c>
    </row>
    <row r="1451" spans="2:9" x14ac:dyDescent="0.25">
      <c r="B1451" s="1">
        <v>37293</v>
      </c>
      <c r="C1451" s="2">
        <v>1113.0999999999999</v>
      </c>
      <c r="D1451" s="2">
        <v>1074.4000000000001</v>
      </c>
      <c r="E1451" s="2">
        <v>1117.0999999999999</v>
      </c>
      <c r="F1451" s="2">
        <v>1074</v>
      </c>
      <c r="G1451" s="3">
        <f t="shared" si="68"/>
        <v>3.6164766115894809E-2</v>
      </c>
      <c r="H1451" s="2">
        <f t="shared" si="66"/>
        <v>43.099999999999909</v>
      </c>
      <c r="I1451" s="3">
        <f t="shared" si="67"/>
        <v>4.011541325390907E-2</v>
      </c>
    </row>
    <row r="1452" spans="2:9" x14ac:dyDescent="0.25">
      <c r="B1452" s="1">
        <v>37294</v>
      </c>
      <c r="C1452" s="2">
        <v>1110.45</v>
      </c>
      <c r="D1452" s="2">
        <v>1114.8499999999999</v>
      </c>
      <c r="E1452" s="2">
        <v>1130.95</v>
      </c>
      <c r="F1452" s="2">
        <v>1104.3</v>
      </c>
      <c r="G1452" s="3">
        <f t="shared" si="68"/>
        <v>-2.3807384781240337E-3</v>
      </c>
      <c r="H1452" s="2">
        <f t="shared" si="66"/>
        <v>26.650000000000091</v>
      </c>
      <c r="I1452" s="3">
        <f t="shared" si="67"/>
        <v>2.390456115172453E-2</v>
      </c>
    </row>
    <row r="1453" spans="2:9" x14ac:dyDescent="0.25">
      <c r="B1453" s="1">
        <v>37295</v>
      </c>
      <c r="C1453" s="2">
        <v>1123.75</v>
      </c>
      <c r="D1453" s="2">
        <v>1112.8</v>
      </c>
      <c r="E1453" s="2">
        <v>1131.8499999999999</v>
      </c>
      <c r="F1453" s="2">
        <v>1104.45</v>
      </c>
      <c r="G1453" s="3">
        <f t="shared" si="68"/>
        <v>1.1977126390202208E-2</v>
      </c>
      <c r="H1453" s="2">
        <f t="shared" si="66"/>
        <v>27.399999999999864</v>
      </c>
      <c r="I1453" s="3">
        <f t="shared" si="67"/>
        <v>2.4622573687994129E-2</v>
      </c>
    </row>
    <row r="1454" spans="2:9" x14ac:dyDescent="0.25">
      <c r="B1454" s="1">
        <v>37298</v>
      </c>
      <c r="C1454" s="2">
        <v>1131.55</v>
      </c>
      <c r="D1454" s="2">
        <v>1124.8499999999999</v>
      </c>
      <c r="E1454" s="2">
        <v>1144.1500000000001</v>
      </c>
      <c r="F1454" s="2">
        <v>1124.8499999999999</v>
      </c>
      <c r="G1454" s="3">
        <f t="shared" si="68"/>
        <v>6.9410456062291015E-3</v>
      </c>
      <c r="H1454" s="2">
        <f t="shared" si="66"/>
        <v>19.300000000000182</v>
      </c>
      <c r="I1454" s="3">
        <f t="shared" si="67"/>
        <v>1.7157843267991451E-2</v>
      </c>
    </row>
    <row r="1455" spans="2:9" x14ac:dyDescent="0.25">
      <c r="B1455" s="1">
        <v>37299</v>
      </c>
      <c r="C1455" s="2">
        <v>1129.5</v>
      </c>
      <c r="D1455" s="2">
        <v>1131.95</v>
      </c>
      <c r="E1455" s="2">
        <v>1143.3</v>
      </c>
      <c r="F1455" s="2">
        <v>1125.55</v>
      </c>
      <c r="G1455" s="3">
        <f t="shared" si="68"/>
        <v>-1.8116742521320228E-3</v>
      </c>
      <c r="H1455" s="2">
        <f t="shared" si="66"/>
        <v>17.75</v>
      </c>
      <c r="I1455" s="3">
        <f t="shared" si="67"/>
        <v>1.5680904633596889E-2</v>
      </c>
    </row>
    <row r="1456" spans="2:9" x14ac:dyDescent="0.25">
      <c r="B1456" s="1">
        <v>37300</v>
      </c>
      <c r="C1456" s="2">
        <v>1135.0999999999999</v>
      </c>
      <c r="D1456" s="2">
        <v>1129.8</v>
      </c>
      <c r="E1456" s="2">
        <v>1142.3</v>
      </c>
      <c r="F1456" s="2">
        <v>1129.5999999999999</v>
      </c>
      <c r="G1456" s="3">
        <f t="shared" si="68"/>
        <v>4.9579459938025039E-3</v>
      </c>
      <c r="H1456" s="2">
        <f t="shared" si="66"/>
        <v>12.700000000000045</v>
      </c>
      <c r="I1456" s="3">
        <f t="shared" si="67"/>
        <v>1.1240927597804961E-2</v>
      </c>
    </row>
    <row r="1457" spans="2:9" x14ac:dyDescent="0.25">
      <c r="B1457" s="1">
        <v>37301</v>
      </c>
      <c r="C1457" s="2">
        <v>1150</v>
      </c>
      <c r="D1457" s="2">
        <v>1135.5</v>
      </c>
      <c r="E1457" s="2">
        <v>1151.6500000000001</v>
      </c>
      <c r="F1457" s="2">
        <v>1133.8499999999999</v>
      </c>
      <c r="G1457" s="3">
        <f t="shared" si="68"/>
        <v>1.3126596775614674E-2</v>
      </c>
      <c r="H1457" s="2">
        <f t="shared" si="66"/>
        <v>17.800000000000182</v>
      </c>
      <c r="I1457" s="3">
        <f t="shared" si="67"/>
        <v>1.5675913694407909E-2</v>
      </c>
    </row>
    <row r="1458" spans="2:9" x14ac:dyDescent="0.25">
      <c r="B1458" s="1">
        <v>37302</v>
      </c>
      <c r="C1458" s="2">
        <v>1159.95</v>
      </c>
      <c r="D1458" s="2">
        <v>1150.6500000000001</v>
      </c>
      <c r="E1458" s="2">
        <v>1164.0999999999999</v>
      </c>
      <c r="F1458" s="2">
        <v>1150.3</v>
      </c>
      <c r="G1458" s="3">
        <f t="shared" si="68"/>
        <v>8.6521739130436259E-3</v>
      </c>
      <c r="H1458" s="2">
        <f t="shared" si="66"/>
        <v>13.799999999999955</v>
      </c>
      <c r="I1458" s="3">
        <f t="shared" si="67"/>
        <v>1.1993221222787081E-2</v>
      </c>
    </row>
    <row r="1459" spans="2:9" x14ac:dyDescent="0.25">
      <c r="B1459" s="1">
        <v>37305</v>
      </c>
      <c r="C1459" s="2">
        <v>1172.8499999999999</v>
      </c>
      <c r="D1459" s="2">
        <v>1159.8499999999999</v>
      </c>
      <c r="E1459" s="2">
        <v>1177.05</v>
      </c>
      <c r="F1459" s="2">
        <v>1156.7</v>
      </c>
      <c r="G1459" s="3">
        <f t="shared" si="68"/>
        <v>1.1121169015905652E-2</v>
      </c>
      <c r="H1459" s="2">
        <f t="shared" si="66"/>
        <v>20.349999999999909</v>
      </c>
      <c r="I1459" s="3">
        <f t="shared" si="67"/>
        <v>1.7545372246411096E-2</v>
      </c>
    </row>
    <row r="1460" spans="2:9" x14ac:dyDescent="0.25">
      <c r="B1460" s="1">
        <v>37306</v>
      </c>
      <c r="C1460" s="2">
        <v>1158.9000000000001</v>
      </c>
      <c r="D1460" s="2">
        <v>1172.8499999999999</v>
      </c>
      <c r="E1460" s="2">
        <v>1178.0999999999999</v>
      </c>
      <c r="F1460" s="2">
        <v>1155.0999999999999</v>
      </c>
      <c r="G1460" s="3">
        <f t="shared" si="68"/>
        <v>-1.1894104105384162E-2</v>
      </c>
      <c r="H1460" s="2">
        <f t="shared" si="66"/>
        <v>23</v>
      </c>
      <c r="I1460" s="3">
        <f t="shared" si="67"/>
        <v>1.9610350854755512E-2</v>
      </c>
    </row>
    <row r="1461" spans="2:9" x14ac:dyDescent="0.25">
      <c r="B1461" s="1">
        <v>37307</v>
      </c>
      <c r="C1461" s="2">
        <v>1145.95</v>
      </c>
      <c r="D1461" s="2">
        <v>1158.45</v>
      </c>
      <c r="E1461" s="2">
        <v>1158.45</v>
      </c>
      <c r="F1461" s="2">
        <v>1134.6500000000001</v>
      </c>
      <c r="G1461" s="3">
        <f t="shared" si="68"/>
        <v>-1.1174389507291438E-2</v>
      </c>
      <c r="H1461" s="2">
        <f t="shared" si="66"/>
        <v>23.799999999999955</v>
      </c>
      <c r="I1461" s="3">
        <f t="shared" si="67"/>
        <v>2.0544693340239072E-2</v>
      </c>
    </row>
    <row r="1462" spans="2:9" x14ac:dyDescent="0.25">
      <c r="B1462" s="1">
        <v>37308</v>
      </c>
      <c r="C1462" s="2">
        <v>1149.8499999999999</v>
      </c>
      <c r="D1462" s="2">
        <v>1146.05</v>
      </c>
      <c r="E1462" s="2">
        <v>1158.05</v>
      </c>
      <c r="F1462" s="2">
        <v>1146.05</v>
      </c>
      <c r="G1462" s="3">
        <f t="shared" si="68"/>
        <v>3.4032898468518979E-3</v>
      </c>
      <c r="H1462" s="2">
        <f t="shared" si="66"/>
        <v>12</v>
      </c>
      <c r="I1462" s="3">
        <f t="shared" si="67"/>
        <v>1.0470747349592078E-2</v>
      </c>
    </row>
    <row r="1463" spans="2:9" x14ac:dyDescent="0.25">
      <c r="B1463" s="1">
        <v>37309</v>
      </c>
      <c r="C1463" s="2">
        <v>1163.5</v>
      </c>
      <c r="D1463" s="2">
        <v>1149.8499999999999</v>
      </c>
      <c r="E1463" s="2">
        <v>1165.7</v>
      </c>
      <c r="F1463" s="2">
        <v>1145.5</v>
      </c>
      <c r="G1463" s="3">
        <f t="shared" si="68"/>
        <v>1.1871113623516116E-2</v>
      </c>
      <c r="H1463" s="2">
        <f t="shared" si="66"/>
        <v>20.200000000000045</v>
      </c>
      <c r="I1463" s="3">
        <f t="shared" si="67"/>
        <v>1.7567508805496412E-2</v>
      </c>
    </row>
    <row r="1464" spans="2:9" x14ac:dyDescent="0.25">
      <c r="B1464" s="1">
        <v>37312</v>
      </c>
      <c r="C1464" s="2">
        <v>1165.45</v>
      </c>
      <c r="D1464" s="2">
        <v>1163.6500000000001</v>
      </c>
      <c r="E1464" s="2">
        <v>1167.5999999999999</v>
      </c>
      <c r="F1464" s="2">
        <v>1155.45</v>
      </c>
      <c r="G1464" s="3">
        <f t="shared" si="68"/>
        <v>1.6759776536312554E-3</v>
      </c>
      <c r="H1464" s="2">
        <f t="shared" si="66"/>
        <v>12.149999999999864</v>
      </c>
      <c r="I1464" s="3">
        <f t="shared" si="67"/>
        <v>1.0441283891204281E-2</v>
      </c>
    </row>
    <row r="1465" spans="2:9" x14ac:dyDescent="0.25">
      <c r="B1465" s="1">
        <v>37313</v>
      </c>
      <c r="C1465" s="2">
        <v>1189.4000000000001</v>
      </c>
      <c r="D1465" s="2">
        <v>1165.75</v>
      </c>
      <c r="E1465" s="2">
        <v>1192.6500000000001</v>
      </c>
      <c r="F1465" s="2">
        <v>1165.75</v>
      </c>
      <c r="G1465" s="3">
        <f t="shared" si="68"/>
        <v>2.0550002145094171E-2</v>
      </c>
      <c r="H1465" s="2">
        <f t="shared" si="66"/>
        <v>26.900000000000091</v>
      </c>
      <c r="I1465" s="3">
        <f t="shared" si="67"/>
        <v>2.307527342912296E-2</v>
      </c>
    </row>
    <row r="1466" spans="2:9" x14ac:dyDescent="0.25">
      <c r="B1466" s="1">
        <v>37314</v>
      </c>
      <c r="C1466" s="2">
        <v>1189.2</v>
      </c>
      <c r="D1466" s="2">
        <v>1190.1500000000001</v>
      </c>
      <c r="E1466" s="2">
        <v>1205.95</v>
      </c>
      <c r="F1466" s="2">
        <v>1180</v>
      </c>
      <c r="G1466" s="3">
        <f t="shared" si="68"/>
        <v>-1.6815200941655561E-4</v>
      </c>
      <c r="H1466" s="2">
        <f t="shared" si="66"/>
        <v>25.950000000000045</v>
      </c>
      <c r="I1466" s="3">
        <f t="shared" si="67"/>
        <v>2.1803974288955211E-2</v>
      </c>
    </row>
    <row r="1467" spans="2:9" x14ac:dyDescent="0.25">
      <c r="B1467" s="1">
        <v>37315</v>
      </c>
      <c r="C1467" s="2">
        <v>1142.05</v>
      </c>
      <c r="D1467" s="2">
        <v>1189.5999999999999</v>
      </c>
      <c r="E1467" s="2">
        <v>1197</v>
      </c>
      <c r="F1467" s="2">
        <v>1135.2</v>
      </c>
      <c r="G1467" s="3">
        <f t="shared" si="68"/>
        <v>-3.9648503195425566E-2</v>
      </c>
      <c r="H1467" s="2">
        <f t="shared" si="66"/>
        <v>61.799999999999955</v>
      </c>
      <c r="I1467" s="3">
        <f t="shared" si="67"/>
        <v>5.195023537323467E-2</v>
      </c>
    </row>
    <row r="1468" spans="2:9" x14ac:dyDescent="0.25">
      <c r="B1468" s="1">
        <v>37316</v>
      </c>
      <c r="C1468" s="2">
        <v>1178</v>
      </c>
      <c r="D1468" s="2">
        <v>1142.05</v>
      </c>
      <c r="E1468" s="2">
        <v>1181.25</v>
      </c>
      <c r="F1468" s="2">
        <v>1135.45</v>
      </c>
      <c r="G1468" s="3">
        <f t="shared" si="68"/>
        <v>3.1478481677684966E-2</v>
      </c>
      <c r="H1468" s="2">
        <f t="shared" si="66"/>
        <v>45.799999999999955</v>
      </c>
      <c r="I1468" s="3">
        <f t="shared" si="67"/>
        <v>4.0103322971848827E-2</v>
      </c>
    </row>
    <row r="1469" spans="2:9" x14ac:dyDescent="0.25">
      <c r="B1469" s="1">
        <v>37319</v>
      </c>
      <c r="C1469" s="2">
        <v>1177.3499999999999</v>
      </c>
      <c r="D1469" s="2">
        <v>1178.45</v>
      </c>
      <c r="E1469" s="2">
        <v>1201.0999999999999</v>
      </c>
      <c r="F1469" s="2">
        <v>1172.3</v>
      </c>
      <c r="G1469" s="3">
        <f t="shared" si="68"/>
        <v>-5.5178268251276918E-4</v>
      </c>
      <c r="H1469" s="2">
        <f t="shared" si="66"/>
        <v>28.799999999999955</v>
      </c>
      <c r="I1469" s="3">
        <f t="shared" si="67"/>
        <v>2.4438881581738684E-2</v>
      </c>
    </row>
    <row r="1470" spans="2:9" x14ac:dyDescent="0.25">
      <c r="B1470" s="1">
        <v>37320</v>
      </c>
      <c r="C1470" s="2">
        <v>1178.5</v>
      </c>
      <c r="D1470" s="2">
        <v>1176.4000000000001</v>
      </c>
      <c r="E1470" s="2">
        <v>1193.0999999999999</v>
      </c>
      <c r="F1470" s="2">
        <v>1175.1500000000001</v>
      </c>
      <c r="G1470" s="3">
        <f t="shared" si="68"/>
        <v>9.7676986452643888E-4</v>
      </c>
      <c r="H1470" s="2">
        <f t="shared" si="66"/>
        <v>17.949999999999818</v>
      </c>
      <c r="I1470" s="3">
        <f t="shared" si="67"/>
        <v>1.525841550493014E-2</v>
      </c>
    </row>
    <row r="1471" spans="2:9" x14ac:dyDescent="0.25">
      <c r="B1471" s="1">
        <v>37321</v>
      </c>
      <c r="C1471" s="2">
        <v>1172.5999999999999</v>
      </c>
      <c r="D1471" s="2">
        <v>1176.55</v>
      </c>
      <c r="E1471" s="2">
        <v>1182.6500000000001</v>
      </c>
      <c r="F1471" s="2">
        <v>1162.75</v>
      </c>
      <c r="G1471" s="3">
        <f t="shared" si="68"/>
        <v>-5.0063640220620043E-3</v>
      </c>
      <c r="H1471" s="2">
        <f t="shared" si="66"/>
        <v>19.900000000000091</v>
      </c>
      <c r="I1471" s="3">
        <f t="shared" si="67"/>
        <v>1.6913858314563844E-2</v>
      </c>
    </row>
    <row r="1472" spans="2:9" x14ac:dyDescent="0.25">
      <c r="B1472" s="1">
        <v>37322</v>
      </c>
      <c r="C1472" s="2">
        <v>1193.05</v>
      </c>
      <c r="D1472" s="2">
        <v>1173.5999999999999</v>
      </c>
      <c r="E1472" s="2">
        <v>1195.2</v>
      </c>
      <c r="F1472" s="2">
        <v>1173.5999999999999</v>
      </c>
      <c r="G1472" s="3">
        <f t="shared" si="68"/>
        <v>1.7439877195974729E-2</v>
      </c>
      <c r="H1472" s="2">
        <f t="shared" si="66"/>
        <v>21.600000000000136</v>
      </c>
      <c r="I1472" s="3">
        <f t="shared" si="67"/>
        <v>1.8404907975460242E-2</v>
      </c>
    </row>
    <row r="1473" spans="2:9" x14ac:dyDescent="0.25">
      <c r="B1473" s="1">
        <v>37323</v>
      </c>
      <c r="C1473" s="2">
        <v>1187.6500000000001</v>
      </c>
      <c r="D1473" s="2">
        <v>1193.5999999999999</v>
      </c>
      <c r="E1473" s="2">
        <v>1199.5999999999999</v>
      </c>
      <c r="F1473" s="2">
        <v>1182.55</v>
      </c>
      <c r="G1473" s="3">
        <f t="shared" si="68"/>
        <v>-4.5262143246300734E-3</v>
      </c>
      <c r="H1473" s="2">
        <f t="shared" si="66"/>
        <v>17.049999999999955</v>
      </c>
      <c r="I1473" s="3">
        <f t="shared" si="67"/>
        <v>1.4284517426273421E-2</v>
      </c>
    </row>
    <row r="1474" spans="2:9" x14ac:dyDescent="0.25">
      <c r="B1474" s="1">
        <v>37326</v>
      </c>
      <c r="C1474" s="2">
        <v>1167.8499999999999</v>
      </c>
      <c r="D1474" s="2">
        <v>1187.5</v>
      </c>
      <c r="E1474" s="2">
        <v>1192.75</v>
      </c>
      <c r="F1474" s="2">
        <v>1164.55</v>
      </c>
      <c r="G1474" s="3">
        <f t="shared" si="68"/>
        <v>-1.6671578326948322E-2</v>
      </c>
      <c r="H1474" s="2">
        <f t="shared" si="66"/>
        <v>28.200000000000045</v>
      </c>
      <c r="I1474" s="3">
        <f t="shared" si="67"/>
        <v>2.374736842105267E-2</v>
      </c>
    </row>
    <row r="1475" spans="2:9" x14ac:dyDescent="0.25">
      <c r="B1475" s="1">
        <v>37327</v>
      </c>
      <c r="C1475" s="2">
        <v>1150.45</v>
      </c>
      <c r="D1475" s="2">
        <v>1167.8499999999999</v>
      </c>
      <c r="E1475" s="2">
        <v>1171.2</v>
      </c>
      <c r="F1475" s="2">
        <v>1144.3</v>
      </c>
      <c r="G1475" s="3">
        <f t="shared" si="68"/>
        <v>-1.4899173695251844E-2</v>
      </c>
      <c r="H1475" s="2">
        <f t="shared" si="66"/>
        <v>26.900000000000091</v>
      </c>
      <c r="I1475" s="3">
        <f t="shared" si="67"/>
        <v>2.3033780023119486E-2</v>
      </c>
    </row>
    <row r="1476" spans="2:9" x14ac:dyDescent="0.25">
      <c r="B1476" s="1">
        <v>37328</v>
      </c>
      <c r="C1476" s="2">
        <v>1157.05</v>
      </c>
      <c r="D1476" s="2">
        <v>1150.2</v>
      </c>
      <c r="E1476" s="2">
        <v>1165.4000000000001</v>
      </c>
      <c r="F1476" s="2">
        <v>1143.55</v>
      </c>
      <c r="G1476" s="3">
        <f t="shared" si="68"/>
        <v>5.7368855665174134E-3</v>
      </c>
      <c r="H1476" s="2">
        <f t="shared" si="66"/>
        <v>21.850000000000136</v>
      </c>
      <c r="I1476" s="3">
        <f t="shared" si="67"/>
        <v>1.8996696226743291E-2</v>
      </c>
    </row>
    <row r="1477" spans="2:9" x14ac:dyDescent="0.25">
      <c r="B1477" s="1">
        <v>37329</v>
      </c>
      <c r="C1477" s="2">
        <v>1159.45</v>
      </c>
      <c r="D1477" s="2">
        <v>1156.8499999999999</v>
      </c>
      <c r="E1477" s="2">
        <v>1163.6500000000001</v>
      </c>
      <c r="F1477" s="2">
        <v>1153.1500000000001</v>
      </c>
      <c r="G1477" s="3">
        <f t="shared" si="68"/>
        <v>2.0742405254743357E-3</v>
      </c>
      <c r="H1477" s="2">
        <f t="shared" ref="H1477:H1540" si="69">E1477-F1477</f>
        <v>10.5</v>
      </c>
      <c r="I1477" s="3">
        <f t="shared" si="67"/>
        <v>9.0763711803604624E-3</v>
      </c>
    </row>
    <row r="1478" spans="2:9" x14ac:dyDescent="0.25">
      <c r="B1478" s="1">
        <v>37330</v>
      </c>
      <c r="C1478" s="2">
        <v>1169.75</v>
      </c>
      <c r="D1478" s="2">
        <v>1159.5999999999999</v>
      </c>
      <c r="E1478" s="2">
        <v>1173.75</v>
      </c>
      <c r="F1478" s="2">
        <v>1159.5999999999999</v>
      </c>
      <c r="G1478" s="3">
        <f t="shared" si="68"/>
        <v>8.8835223597394375E-3</v>
      </c>
      <c r="H1478" s="2">
        <f t="shared" si="69"/>
        <v>14.150000000000091</v>
      </c>
      <c r="I1478" s="3">
        <f t="shared" ref="I1478:I1541" si="70">H1478/D1478</f>
        <v>1.2202483615039748E-2</v>
      </c>
    </row>
    <row r="1479" spans="2:9" x14ac:dyDescent="0.25">
      <c r="B1479" s="1">
        <v>37333</v>
      </c>
      <c r="C1479" s="2">
        <v>1169.3</v>
      </c>
      <c r="D1479" s="2">
        <v>1169.95</v>
      </c>
      <c r="E1479" s="2">
        <v>1184.7</v>
      </c>
      <c r="F1479" s="2">
        <v>1163.75</v>
      </c>
      <c r="G1479" s="3">
        <f t="shared" ref="G1479:G1542" si="71">C1479/C1478-1</f>
        <v>-3.8469758495407458E-4</v>
      </c>
      <c r="H1479" s="2">
        <f t="shared" si="69"/>
        <v>20.950000000000045</v>
      </c>
      <c r="I1479" s="3">
        <f t="shared" si="70"/>
        <v>1.7906748151630451E-2</v>
      </c>
    </row>
    <row r="1480" spans="2:9" x14ac:dyDescent="0.25">
      <c r="B1480" s="1">
        <v>37334</v>
      </c>
      <c r="C1480" s="2">
        <v>1152.1500000000001</v>
      </c>
      <c r="D1480" s="2">
        <v>1169.4000000000001</v>
      </c>
      <c r="E1480" s="2">
        <v>1170.8</v>
      </c>
      <c r="F1480" s="2">
        <v>1150.3</v>
      </c>
      <c r="G1480" s="3">
        <f t="shared" si="71"/>
        <v>-1.4666894723338597E-2</v>
      </c>
      <c r="H1480" s="2">
        <f t="shared" si="69"/>
        <v>20.5</v>
      </c>
      <c r="I1480" s="3">
        <f t="shared" si="70"/>
        <v>1.7530357448264065E-2</v>
      </c>
    </row>
    <row r="1481" spans="2:9" x14ac:dyDescent="0.25">
      <c r="B1481" s="1">
        <v>37335</v>
      </c>
      <c r="C1481" s="2">
        <v>1155.5999999999999</v>
      </c>
      <c r="D1481" s="2">
        <v>1152.05</v>
      </c>
      <c r="E1481" s="2">
        <v>1158.95</v>
      </c>
      <c r="F1481" s="2">
        <v>1148.5</v>
      </c>
      <c r="G1481" s="3">
        <f t="shared" si="71"/>
        <v>2.9944017706027282E-3</v>
      </c>
      <c r="H1481" s="2">
        <f t="shared" si="69"/>
        <v>10.450000000000045</v>
      </c>
      <c r="I1481" s="3">
        <f t="shared" si="70"/>
        <v>9.0707868582093187E-3</v>
      </c>
    </row>
    <row r="1482" spans="2:9" x14ac:dyDescent="0.25">
      <c r="B1482" s="1">
        <v>37336</v>
      </c>
      <c r="C1482" s="2">
        <v>1144.2</v>
      </c>
      <c r="D1482" s="2">
        <v>1155.55</v>
      </c>
      <c r="E1482" s="2">
        <v>1155.55</v>
      </c>
      <c r="F1482" s="2">
        <v>1141.05</v>
      </c>
      <c r="G1482" s="3">
        <f t="shared" si="71"/>
        <v>-9.8650051921078674E-3</v>
      </c>
      <c r="H1482" s="2">
        <f t="shared" si="69"/>
        <v>14.5</v>
      </c>
      <c r="I1482" s="3">
        <f t="shared" si="70"/>
        <v>1.254813725065986E-2</v>
      </c>
    </row>
    <row r="1483" spans="2:9" x14ac:dyDescent="0.25">
      <c r="B1483" s="1">
        <v>37337</v>
      </c>
      <c r="C1483" s="2">
        <v>1138.45</v>
      </c>
      <c r="D1483" s="2">
        <v>1144.5</v>
      </c>
      <c r="E1483" s="2">
        <v>1148.6500000000001</v>
      </c>
      <c r="F1483" s="2">
        <v>1135.9000000000001</v>
      </c>
      <c r="G1483" s="3">
        <f t="shared" si="71"/>
        <v>-5.025345219367261E-3</v>
      </c>
      <c r="H1483" s="2">
        <f t="shared" si="69"/>
        <v>12.75</v>
      </c>
      <c r="I1483" s="3">
        <f t="shared" si="70"/>
        <v>1.1140235910878113E-2</v>
      </c>
    </row>
    <row r="1484" spans="2:9" x14ac:dyDescent="0.25">
      <c r="B1484" s="1">
        <v>37341</v>
      </c>
      <c r="C1484" s="2">
        <v>1123.05</v>
      </c>
      <c r="D1484" s="2">
        <v>1138.0999999999999</v>
      </c>
      <c r="E1484" s="2">
        <v>1140.2</v>
      </c>
      <c r="F1484" s="2">
        <v>1117.8499999999999</v>
      </c>
      <c r="G1484" s="3">
        <f t="shared" si="71"/>
        <v>-1.3527164126663549E-2</v>
      </c>
      <c r="H1484" s="2">
        <f t="shared" si="69"/>
        <v>22.350000000000136</v>
      </c>
      <c r="I1484" s="3">
        <f t="shared" si="70"/>
        <v>1.9637993146472313E-2</v>
      </c>
    </row>
    <row r="1485" spans="2:9" x14ac:dyDescent="0.25">
      <c r="B1485" s="1">
        <v>37342</v>
      </c>
      <c r="C1485" s="2">
        <v>1123.3499999999999</v>
      </c>
      <c r="D1485" s="2">
        <v>1130</v>
      </c>
      <c r="E1485" s="2">
        <v>1134.0999999999999</v>
      </c>
      <c r="F1485" s="2">
        <v>1121.3499999999999</v>
      </c>
      <c r="G1485" s="3">
        <f t="shared" si="71"/>
        <v>2.6712969146513998E-4</v>
      </c>
      <c r="H1485" s="2">
        <f t="shared" si="69"/>
        <v>12.75</v>
      </c>
      <c r="I1485" s="3">
        <f t="shared" si="70"/>
        <v>1.1283185840707964E-2</v>
      </c>
    </row>
    <row r="1486" spans="2:9" x14ac:dyDescent="0.25">
      <c r="B1486" s="1">
        <v>37343</v>
      </c>
      <c r="C1486" s="2">
        <v>1129.55</v>
      </c>
      <c r="D1486" s="2">
        <v>1123.5999999999999</v>
      </c>
      <c r="E1486" s="2">
        <v>1138.45</v>
      </c>
      <c r="F1486" s="2">
        <v>1123.5999999999999</v>
      </c>
      <c r="G1486" s="3">
        <f t="shared" si="71"/>
        <v>5.5192059464994614E-3</v>
      </c>
      <c r="H1486" s="2">
        <f t="shared" si="69"/>
        <v>14.850000000000136</v>
      </c>
      <c r="I1486" s="3">
        <f t="shared" si="70"/>
        <v>1.3216447134211586E-2</v>
      </c>
    </row>
    <row r="1487" spans="2:9" x14ac:dyDescent="0.25">
      <c r="B1487" s="1">
        <v>37347</v>
      </c>
      <c r="C1487" s="2">
        <v>1138.95</v>
      </c>
      <c r="D1487" s="2">
        <v>1129.8499999999999</v>
      </c>
      <c r="E1487" s="2">
        <v>1143.3</v>
      </c>
      <c r="F1487" s="2">
        <v>1129.8499999999999</v>
      </c>
      <c r="G1487" s="3">
        <f t="shared" si="71"/>
        <v>8.3218981010138027E-3</v>
      </c>
      <c r="H1487" s="2">
        <f t="shared" si="69"/>
        <v>13.450000000000045</v>
      </c>
      <c r="I1487" s="3">
        <f t="shared" si="70"/>
        <v>1.1904235075452536E-2</v>
      </c>
    </row>
    <row r="1488" spans="2:9" x14ac:dyDescent="0.25">
      <c r="B1488" s="1">
        <v>37348</v>
      </c>
      <c r="C1488" s="2">
        <v>1136.95</v>
      </c>
      <c r="D1488" s="2">
        <v>1138.8</v>
      </c>
      <c r="E1488" s="2">
        <v>1147.3</v>
      </c>
      <c r="F1488" s="2">
        <v>1132.3</v>
      </c>
      <c r="G1488" s="3">
        <f t="shared" si="71"/>
        <v>-1.7560033364063532E-3</v>
      </c>
      <c r="H1488" s="2">
        <f t="shared" si="69"/>
        <v>15</v>
      </c>
      <c r="I1488" s="3">
        <f t="shared" si="70"/>
        <v>1.3171759747102213E-2</v>
      </c>
    </row>
    <row r="1489" spans="2:9" x14ac:dyDescent="0.25">
      <c r="B1489" s="1">
        <v>37349</v>
      </c>
      <c r="C1489" s="2">
        <v>1123.5</v>
      </c>
      <c r="D1489" s="2">
        <v>1136.5999999999999</v>
      </c>
      <c r="E1489" s="2">
        <v>1136.9000000000001</v>
      </c>
      <c r="F1489" s="2">
        <v>1121.45</v>
      </c>
      <c r="G1489" s="3">
        <f t="shared" si="71"/>
        <v>-1.1829895773780796E-2</v>
      </c>
      <c r="H1489" s="2">
        <f t="shared" si="69"/>
        <v>15.450000000000045</v>
      </c>
      <c r="I1489" s="3">
        <f t="shared" si="70"/>
        <v>1.3593172620095061E-2</v>
      </c>
    </row>
    <row r="1490" spans="2:9" x14ac:dyDescent="0.25">
      <c r="B1490" s="1">
        <v>37350</v>
      </c>
      <c r="C1490" s="2">
        <v>1145.9000000000001</v>
      </c>
      <c r="D1490" s="2">
        <v>1124.05</v>
      </c>
      <c r="E1490" s="2">
        <v>1149.6500000000001</v>
      </c>
      <c r="F1490" s="2">
        <v>1123.9000000000001</v>
      </c>
      <c r="G1490" s="3">
        <f t="shared" si="71"/>
        <v>1.9937694704049935E-2</v>
      </c>
      <c r="H1490" s="2">
        <f t="shared" si="69"/>
        <v>25.75</v>
      </c>
      <c r="I1490" s="3">
        <f t="shared" si="70"/>
        <v>2.2908233619500912E-2</v>
      </c>
    </row>
    <row r="1491" spans="2:9" x14ac:dyDescent="0.25">
      <c r="B1491" s="1">
        <v>37351</v>
      </c>
      <c r="C1491" s="2">
        <v>1141.95</v>
      </c>
      <c r="D1491" s="2">
        <v>1146.05</v>
      </c>
      <c r="E1491" s="2">
        <v>1153.3</v>
      </c>
      <c r="F1491" s="2">
        <v>1139.9000000000001</v>
      </c>
      <c r="G1491" s="3">
        <f t="shared" si="71"/>
        <v>-3.4470721703464546E-3</v>
      </c>
      <c r="H1491" s="2">
        <f t="shared" si="69"/>
        <v>13.399999999999864</v>
      </c>
      <c r="I1491" s="3">
        <f t="shared" si="70"/>
        <v>1.1692334540377701E-2</v>
      </c>
    </row>
    <row r="1492" spans="2:9" x14ac:dyDescent="0.25">
      <c r="B1492" s="1">
        <v>37354</v>
      </c>
      <c r="C1492" s="2">
        <v>1135.25</v>
      </c>
      <c r="D1492" s="2">
        <v>1141.9000000000001</v>
      </c>
      <c r="E1492" s="2">
        <v>1147.9000000000001</v>
      </c>
      <c r="F1492" s="2">
        <v>1134</v>
      </c>
      <c r="G1492" s="3">
        <f t="shared" si="71"/>
        <v>-5.8671570559131192E-3</v>
      </c>
      <c r="H1492" s="2">
        <f t="shared" si="69"/>
        <v>13.900000000000091</v>
      </c>
      <c r="I1492" s="3">
        <f t="shared" si="70"/>
        <v>1.2172694631754173E-2</v>
      </c>
    </row>
    <row r="1493" spans="2:9" x14ac:dyDescent="0.25">
      <c r="B1493" s="1">
        <v>37355</v>
      </c>
      <c r="C1493" s="2">
        <v>1126.7</v>
      </c>
      <c r="D1493" s="2">
        <v>1135.1500000000001</v>
      </c>
      <c r="E1493" s="2">
        <v>1137.45</v>
      </c>
      <c r="F1493" s="2">
        <v>1122.0999999999999</v>
      </c>
      <c r="G1493" s="3">
        <f t="shared" si="71"/>
        <v>-7.5313807531380839E-3</v>
      </c>
      <c r="H1493" s="2">
        <f t="shared" si="69"/>
        <v>15.350000000000136</v>
      </c>
      <c r="I1493" s="3">
        <f t="shared" si="70"/>
        <v>1.3522441968021966E-2</v>
      </c>
    </row>
    <row r="1494" spans="2:9" x14ac:dyDescent="0.25">
      <c r="B1494" s="1">
        <v>37356</v>
      </c>
      <c r="C1494" s="2">
        <v>1138.5</v>
      </c>
      <c r="D1494" s="2">
        <v>1126.7</v>
      </c>
      <c r="E1494" s="2">
        <v>1140.25</v>
      </c>
      <c r="F1494" s="2">
        <v>1125.75</v>
      </c>
      <c r="G1494" s="3">
        <f t="shared" si="71"/>
        <v>1.0473062927132348E-2</v>
      </c>
      <c r="H1494" s="2">
        <f t="shared" si="69"/>
        <v>14.5</v>
      </c>
      <c r="I1494" s="3">
        <f t="shared" si="70"/>
        <v>1.2869441732493121E-2</v>
      </c>
    </row>
    <row r="1495" spans="2:9" x14ac:dyDescent="0.25">
      <c r="B1495" s="1">
        <v>37357</v>
      </c>
      <c r="C1495" s="2">
        <v>1143.5999999999999</v>
      </c>
      <c r="D1495" s="2">
        <v>1138.55</v>
      </c>
      <c r="E1495" s="2">
        <v>1150.2</v>
      </c>
      <c r="F1495" s="2">
        <v>1138.55</v>
      </c>
      <c r="G1495" s="3">
        <f t="shared" si="71"/>
        <v>4.479578392621697E-3</v>
      </c>
      <c r="H1495" s="2">
        <f t="shared" si="69"/>
        <v>11.650000000000091</v>
      </c>
      <c r="I1495" s="3">
        <f t="shared" si="70"/>
        <v>1.0232313029730879E-2</v>
      </c>
    </row>
    <row r="1496" spans="2:9" x14ac:dyDescent="0.25">
      <c r="B1496" s="1">
        <v>37358</v>
      </c>
      <c r="C1496" s="2">
        <v>1146.5</v>
      </c>
      <c r="D1496" s="2">
        <v>1143.25</v>
      </c>
      <c r="E1496" s="2">
        <v>1151.55</v>
      </c>
      <c r="F1496" s="2">
        <v>1138.6500000000001</v>
      </c>
      <c r="G1496" s="3">
        <f t="shared" si="71"/>
        <v>2.5358516963973621E-3</v>
      </c>
      <c r="H1496" s="2">
        <f t="shared" si="69"/>
        <v>12.899999999999864</v>
      </c>
      <c r="I1496" s="3">
        <f t="shared" si="70"/>
        <v>1.1283621255193409E-2</v>
      </c>
    </row>
    <row r="1497" spans="2:9" x14ac:dyDescent="0.25">
      <c r="B1497" s="1">
        <v>37361</v>
      </c>
      <c r="C1497" s="2">
        <v>1134.1500000000001</v>
      </c>
      <c r="D1497" s="2">
        <v>1146.55</v>
      </c>
      <c r="E1497" s="2">
        <v>1152.55</v>
      </c>
      <c r="F1497" s="2">
        <v>1130.45</v>
      </c>
      <c r="G1497" s="3">
        <f t="shared" si="71"/>
        <v>-1.0771914522459625E-2</v>
      </c>
      <c r="H1497" s="2">
        <f t="shared" si="69"/>
        <v>22.099999999999909</v>
      </c>
      <c r="I1497" s="3">
        <f t="shared" si="70"/>
        <v>1.9275216955213389E-2</v>
      </c>
    </row>
    <row r="1498" spans="2:9" x14ac:dyDescent="0.25">
      <c r="B1498" s="1">
        <v>37362</v>
      </c>
      <c r="C1498" s="2">
        <v>1118.75</v>
      </c>
      <c r="D1498" s="2">
        <v>1130.8</v>
      </c>
      <c r="E1498" s="2">
        <v>1133.5</v>
      </c>
      <c r="F1498" s="2">
        <v>1116.6500000000001</v>
      </c>
      <c r="G1498" s="3">
        <f t="shared" si="71"/>
        <v>-1.3578450822201771E-2</v>
      </c>
      <c r="H1498" s="2">
        <f t="shared" si="69"/>
        <v>16.849999999999909</v>
      </c>
      <c r="I1498" s="3">
        <f t="shared" si="70"/>
        <v>1.4900955076052273E-2</v>
      </c>
    </row>
    <row r="1499" spans="2:9" x14ac:dyDescent="0.25">
      <c r="B1499" s="1">
        <v>37363</v>
      </c>
      <c r="C1499" s="2">
        <v>1125.0999999999999</v>
      </c>
      <c r="D1499" s="2">
        <v>1119</v>
      </c>
      <c r="E1499" s="2">
        <v>1136.5999999999999</v>
      </c>
      <c r="F1499" s="2">
        <v>1118.95</v>
      </c>
      <c r="G1499" s="3">
        <f t="shared" si="71"/>
        <v>5.6759776536312589E-3</v>
      </c>
      <c r="H1499" s="2">
        <f t="shared" si="69"/>
        <v>17.649999999999864</v>
      </c>
      <c r="I1499" s="3">
        <f t="shared" si="70"/>
        <v>1.5773011617515518E-2</v>
      </c>
    </row>
    <row r="1500" spans="2:9" x14ac:dyDescent="0.25">
      <c r="B1500" s="1">
        <v>37364</v>
      </c>
      <c r="C1500" s="2">
        <v>1129</v>
      </c>
      <c r="D1500" s="2">
        <v>1125.25</v>
      </c>
      <c r="E1500" s="2">
        <v>1135</v>
      </c>
      <c r="F1500" s="2">
        <v>1123.8</v>
      </c>
      <c r="G1500" s="3">
        <f t="shared" si="71"/>
        <v>3.4663585459071555E-3</v>
      </c>
      <c r="H1500" s="2">
        <f t="shared" si="69"/>
        <v>11.200000000000045</v>
      </c>
      <c r="I1500" s="3">
        <f t="shared" si="70"/>
        <v>9.9533437013997299E-3</v>
      </c>
    </row>
    <row r="1501" spans="2:9" x14ac:dyDescent="0.25">
      <c r="B1501" s="1">
        <v>37365</v>
      </c>
      <c r="C1501" s="2">
        <v>1100.3</v>
      </c>
      <c r="D1501" s="2">
        <v>1125.55</v>
      </c>
      <c r="E1501" s="2">
        <v>1127.05</v>
      </c>
      <c r="F1501" s="2">
        <v>1097.5999999999999</v>
      </c>
      <c r="G1501" s="3">
        <f t="shared" si="71"/>
        <v>-2.5420726306465968E-2</v>
      </c>
      <c r="H1501" s="2">
        <f t="shared" si="69"/>
        <v>29.450000000000045</v>
      </c>
      <c r="I1501" s="3">
        <f t="shared" si="70"/>
        <v>2.616498600684114E-2</v>
      </c>
    </row>
    <row r="1502" spans="2:9" x14ac:dyDescent="0.25">
      <c r="B1502" s="1">
        <v>37368</v>
      </c>
      <c r="C1502" s="2">
        <v>1104.1500000000001</v>
      </c>
      <c r="D1502" s="2">
        <v>1100.5</v>
      </c>
      <c r="E1502" s="2">
        <v>1107.2</v>
      </c>
      <c r="F1502" s="2">
        <v>1088.05</v>
      </c>
      <c r="G1502" s="3">
        <f t="shared" si="71"/>
        <v>3.4990457148051934E-3</v>
      </c>
      <c r="H1502" s="2">
        <f t="shared" si="69"/>
        <v>19.150000000000091</v>
      </c>
      <c r="I1502" s="3">
        <f t="shared" si="70"/>
        <v>1.7401181281235883E-2</v>
      </c>
    </row>
    <row r="1503" spans="2:9" x14ac:dyDescent="0.25">
      <c r="B1503" s="1">
        <v>37369</v>
      </c>
      <c r="C1503" s="2">
        <v>1106</v>
      </c>
      <c r="D1503" s="2">
        <v>1104</v>
      </c>
      <c r="E1503" s="2">
        <v>1108.8</v>
      </c>
      <c r="F1503" s="2">
        <v>1095</v>
      </c>
      <c r="G1503" s="3">
        <f t="shared" si="71"/>
        <v>1.6754969886336735E-3</v>
      </c>
      <c r="H1503" s="2">
        <f t="shared" si="69"/>
        <v>13.799999999999955</v>
      </c>
      <c r="I1503" s="3">
        <f t="shared" si="70"/>
        <v>1.2499999999999959E-2</v>
      </c>
    </row>
    <row r="1504" spans="2:9" x14ac:dyDescent="0.25">
      <c r="B1504" s="1">
        <v>37370</v>
      </c>
      <c r="C1504" s="2">
        <v>1110.5999999999999</v>
      </c>
      <c r="D1504" s="2">
        <v>1106.25</v>
      </c>
      <c r="E1504" s="2">
        <v>1116.8499999999999</v>
      </c>
      <c r="F1504" s="2">
        <v>1105.7</v>
      </c>
      <c r="G1504" s="3">
        <f t="shared" si="71"/>
        <v>4.1591320072331683E-3</v>
      </c>
      <c r="H1504" s="2">
        <f t="shared" si="69"/>
        <v>11.149999999999864</v>
      </c>
      <c r="I1504" s="3">
        <f t="shared" si="70"/>
        <v>1.0079096045197617E-2</v>
      </c>
    </row>
    <row r="1505" spans="2:9" x14ac:dyDescent="0.25">
      <c r="B1505" s="1">
        <v>37371</v>
      </c>
      <c r="C1505" s="2">
        <v>1094.3</v>
      </c>
      <c r="D1505" s="2">
        <v>1110.6500000000001</v>
      </c>
      <c r="E1505" s="2">
        <v>1113.8499999999999</v>
      </c>
      <c r="F1505" s="2">
        <v>1089</v>
      </c>
      <c r="G1505" s="3">
        <f t="shared" si="71"/>
        <v>-1.4676751305600533E-2</v>
      </c>
      <c r="H1505" s="2">
        <f t="shared" si="69"/>
        <v>24.849999999999909</v>
      </c>
      <c r="I1505" s="3">
        <f t="shared" si="70"/>
        <v>2.2374285328411209E-2</v>
      </c>
    </row>
    <row r="1506" spans="2:9" x14ac:dyDescent="0.25">
      <c r="B1506" s="1">
        <v>37372</v>
      </c>
      <c r="C1506" s="2">
        <v>1097.4000000000001</v>
      </c>
      <c r="D1506" s="2">
        <v>1094.25</v>
      </c>
      <c r="E1506" s="2">
        <v>1103.3499999999999</v>
      </c>
      <c r="F1506" s="2">
        <v>1094.0999999999999</v>
      </c>
      <c r="G1506" s="3">
        <f t="shared" si="71"/>
        <v>2.8328611898018607E-3</v>
      </c>
      <c r="H1506" s="2">
        <f t="shared" si="69"/>
        <v>9.25</v>
      </c>
      <c r="I1506" s="3">
        <f t="shared" si="70"/>
        <v>8.4532785012565691E-3</v>
      </c>
    </row>
    <row r="1507" spans="2:9" x14ac:dyDescent="0.25">
      <c r="B1507" s="1">
        <v>37375</v>
      </c>
      <c r="C1507" s="2">
        <v>1074.2</v>
      </c>
      <c r="D1507" s="2">
        <v>1097.55</v>
      </c>
      <c r="E1507" s="2">
        <v>1098.6500000000001</v>
      </c>
      <c r="F1507" s="2">
        <v>1073.3</v>
      </c>
      <c r="G1507" s="3">
        <f t="shared" si="71"/>
        <v>-2.1140878439949051E-2</v>
      </c>
      <c r="H1507" s="2">
        <f t="shared" si="69"/>
        <v>25.350000000000136</v>
      </c>
      <c r="I1507" s="3">
        <f t="shared" si="70"/>
        <v>2.3096897635643147E-2</v>
      </c>
    </row>
    <row r="1508" spans="2:9" x14ac:dyDescent="0.25">
      <c r="B1508" s="1">
        <v>37376</v>
      </c>
      <c r="C1508" s="2">
        <v>1084.5</v>
      </c>
      <c r="D1508" s="2">
        <v>1074.25</v>
      </c>
      <c r="E1508" s="2">
        <v>1085.75</v>
      </c>
      <c r="F1508" s="2">
        <v>1073.4000000000001</v>
      </c>
      <c r="G1508" s="3">
        <f t="shared" si="71"/>
        <v>9.5885309998138268E-3</v>
      </c>
      <c r="H1508" s="2">
        <f t="shared" si="69"/>
        <v>12.349999999999909</v>
      </c>
      <c r="I1508" s="3">
        <f t="shared" si="70"/>
        <v>1.1496392832208433E-2</v>
      </c>
    </row>
    <row r="1509" spans="2:9" x14ac:dyDescent="0.25">
      <c r="B1509" s="1">
        <v>37378</v>
      </c>
      <c r="C1509" s="2">
        <v>1093.3</v>
      </c>
      <c r="D1509" s="2">
        <v>1084.8</v>
      </c>
      <c r="E1509" s="2">
        <v>1101.0999999999999</v>
      </c>
      <c r="F1509" s="2">
        <v>1084.8</v>
      </c>
      <c r="G1509" s="3">
        <f t="shared" si="71"/>
        <v>8.1143384047948075E-3</v>
      </c>
      <c r="H1509" s="2">
        <f t="shared" si="69"/>
        <v>16.299999999999955</v>
      </c>
      <c r="I1509" s="3">
        <f t="shared" si="70"/>
        <v>1.5025811209439487E-2</v>
      </c>
    </row>
    <row r="1510" spans="2:9" x14ac:dyDescent="0.25">
      <c r="B1510" s="1">
        <v>37379</v>
      </c>
      <c r="C1510" s="2">
        <v>1096.95</v>
      </c>
      <c r="D1510" s="2">
        <v>1093.4000000000001</v>
      </c>
      <c r="E1510" s="2">
        <v>1098.5999999999999</v>
      </c>
      <c r="F1510" s="2">
        <v>1091.5</v>
      </c>
      <c r="G1510" s="3">
        <f t="shared" si="71"/>
        <v>3.3385164181836124E-3</v>
      </c>
      <c r="H1510" s="2">
        <f t="shared" si="69"/>
        <v>7.0999999999999091</v>
      </c>
      <c r="I1510" s="3">
        <f t="shared" si="70"/>
        <v>6.4935064935064098E-3</v>
      </c>
    </row>
    <row r="1511" spans="2:9" x14ac:dyDescent="0.25">
      <c r="B1511" s="1">
        <v>37382</v>
      </c>
      <c r="C1511" s="2">
        <v>1100.95</v>
      </c>
      <c r="D1511" s="2">
        <v>1096.95</v>
      </c>
      <c r="E1511" s="2">
        <v>1102.05</v>
      </c>
      <c r="F1511" s="2">
        <v>1096.25</v>
      </c>
      <c r="G1511" s="3">
        <f t="shared" si="71"/>
        <v>3.6464743151465306E-3</v>
      </c>
      <c r="H1511" s="2">
        <f t="shared" si="69"/>
        <v>5.7999999999999545</v>
      </c>
      <c r="I1511" s="3">
        <f t="shared" si="70"/>
        <v>5.2873877569624451E-3</v>
      </c>
    </row>
    <row r="1512" spans="2:9" x14ac:dyDescent="0.25">
      <c r="B1512" s="1">
        <v>37383</v>
      </c>
      <c r="C1512" s="2">
        <v>1110.7</v>
      </c>
      <c r="D1512" s="2">
        <v>1100.9000000000001</v>
      </c>
      <c r="E1512" s="2">
        <v>1111.8499999999999</v>
      </c>
      <c r="F1512" s="2">
        <v>1096.6500000000001</v>
      </c>
      <c r="G1512" s="3">
        <f t="shared" si="71"/>
        <v>8.8559880103546984E-3</v>
      </c>
      <c r="H1512" s="2">
        <f t="shared" si="69"/>
        <v>15.199999999999818</v>
      </c>
      <c r="I1512" s="3">
        <f t="shared" si="70"/>
        <v>1.3806885275683365E-2</v>
      </c>
    </row>
    <row r="1513" spans="2:9" x14ac:dyDescent="0.25">
      <c r="B1513" s="1">
        <v>37384</v>
      </c>
      <c r="C1513" s="2">
        <v>1117.5999999999999</v>
      </c>
      <c r="D1513" s="2">
        <v>1110.7</v>
      </c>
      <c r="E1513" s="2">
        <v>1122.7</v>
      </c>
      <c r="F1513" s="2">
        <v>1110.7</v>
      </c>
      <c r="G1513" s="3">
        <f t="shared" si="71"/>
        <v>6.2122985504635686E-3</v>
      </c>
      <c r="H1513" s="2">
        <f t="shared" si="69"/>
        <v>12</v>
      </c>
      <c r="I1513" s="3">
        <f t="shared" si="70"/>
        <v>1.0803997479067254E-2</v>
      </c>
    </row>
    <row r="1514" spans="2:9" x14ac:dyDescent="0.25">
      <c r="B1514" s="1">
        <v>37385</v>
      </c>
      <c r="C1514" s="2">
        <v>1127.5999999999999</v>
      </c>
      <c r="D1514" s="2">
        <v>1117.7</v>
      </c>
      <c r="E1514" s="2">
        <v>1136.55</v>
      </c>
      <c r="F1514" s="2">
        <v>1117.7</v>
      </c>
      <c r="G1514" s="3">
        <f t="shared" si="71"/>
        <v>8.9477451682176135E-3</v>
      </c>
      <c r="H1514" s="2">
        <f t="shared" si="69"/>
        <v>18.849999999999909</v>
      </c>
      <c r="I1514" s="3">
        <f t="shared" si="70"/>
        <v>1.6864990605708067E-2</v>
      </c>
    </row>
    <row r="1515" spans="2:9" x14ac:dyDescent="0.25">
      <c r="B1515" s="1">
        <v>37386</v>
      </c>
      <c r="C1515" s="2">
        <v>1116.4000000000001</v>
      </c>
      <c r="D1515" s="2">
        <v>1127.05</v>
      </c>
      <c r="E1515" s="2">
        <v>1127.3</v>
      </c>
      <c r="F1515" s="2">
        <v>1111.1500000000001</v>
      </c>
      <c r="G1515" s="3">
        <f t="shared" si="71"/>
        <v>-9.9326002128412583E-3</v>
      </c>
      <c r="H1515" s="2">
        <f t="shared" si="69"/>
        <v>16.149999999999864</v>
      </c>
      <c r="I1515" s="3">
        <f t="shared" si="70"/>
        <v>1.4329444124040516E-2</v>
      </c>
    </row>
    <row r="1516" spans="2:9" x14ac:dyDescent="0.25">
      <c r="B1516" s="1">
        <v>37389</v>
      </c>
      <c r="C1516" s="2">
        <v>1119.6500000000001</v>
      </c>
      <c r="D1516" s="2">
        <v>1116.8</v>
      </c>
      <c r="E1516" s="2">
        <v>1121.95</v>
      </c>
      <c r="F1516" s="2">
        <v>1114.2</v>
      </c>
      <c r="G1516" s="3">
        <f t="shared" si="71"/>
        <v>2.9111429595127802E-3</v>
      </c>
      <c r="H1516" s="2">
        <f t="shared" si="69"/>
        <v>7.75</v>
      </c>
      <c r="I1516" s="3">
        <f t="shared" si="70"/>
        <v>6.9394699140401146E-3</v>
      </c>
    </row>
    <row r="1517" spans="2:9" x14ac:dyDescent="0.25">
      <c r="B1517" s="1">
        <v>37390</v>
      </c>
      <c r="C1517" s="2">
        <v>1115.0999999999999</v>
      </c>
      <c r="D1517" s="2">
        <v>1119.95</v>
      </c>
      <c r="E1517" s="2">
        <v>1125.95</v>
      </c>
      <c r="F1517" s="2">
        <v>1111.45</v>
      </c>
      <c r="G1517" s="3">
        <f t="shared" si="71"/>
        <v>-4.0637699281026451E-3</v>
      </c>
      <c r="H1517" s="2">
        <f t="shared" si="69"/>
        <v>14.5</v>
      </c>
      <c r="I1517" s="3">
        <f t="shared" si="70"/>
        <v>1.2947006562792981E-2</v>
      </c>
    </row>
    <row r="1518" spans="2:9" x14ac:dyDescent="0.25">
      <c r="B1518" s="1">
        <v>37391</v>
      </c>
      <c r="C1518" s="2">
        <v>1107.8</v>
      </c>
      <c r="D1518" s="2">
        <v>1115.1500000000001</v>
      </c>
      <c r="E1518" s="2">
        <v>1121.5</v>
      </c>
      <c r="F1518" s="2">
        <v>1102.6500000000001</v>
      </c>
      <c r="G1518" s="3">
        <f t="shared" si="71"/>
        <v>-6.546498071921758E-3</v>
      </c>
      <c r="H1518" s="2">
        <f t="shared" si="69"/>
        <v>18.849999999999909</v>
      </c>
      <c r="I1518" s="3">
        <f t="shared" si="70"/>
        <v>1.6903555575483037E-2</v>
      </c>
    </row>
    <row r="1519" spans="2:9" x14ac:dyDescent="0.25">
      <c r="B1519" s="1">
        <v>37392</v>
      </c>
      <c r="C1519" s="2">
        <v>1092.8</v>
      </c>
      <c r="D1519" s="2">
        <v>1108.25</v>
      </c>
      <c r="E1519" s="2">
        <v>1111.25</v>
      </c>
      <c r="F1519" s="2">
        <v>1089.8499999999999</v>
      </c>
      <c r="G1519" s="3">
        <f t="shared" si="71"/>
        <v>-1.3540350243726351E-2</v>
      </c>
      <c r="H1519" s="2">
        <f t="shared" si="69"/>
        <v>21.400000000000091</v>
      </c>
      <c r="I1519" s="3">
        <f t="shared" si="70"/>
        <v>1.930972253552907E-2</v>
      </c>
    </row>
    <row r="1520" spans="2:9" x14ac:dyDescent="0.25">
      <c r="B1520" s="1">
        <v>37393</v>
      </c>
      <c r="C1520" s="2">
        <v>1090.6500000000001</v>
      </c>
      <c r="D1520" s="2">
        <v>1092.8</v>
      </c>
      <c r="E1520" s="2">
        <v>1099.75</v>
      </c>
      <c r="F1520" s="2">
        <v>1079.95</v>
      </c>
      <c r="G1520" s="3">
        <f t="shared" si="71"/>
        <v>-1.9674231332356129E-3</v>
      </c>
      <c r="H1520" s="2">
        <f t="shared" si="69"/>
        <v>19.799999999999955</v>
      </c>
      <c r="I1520" s="3">
        <f t="shared" si="70"/>
        <v>1.8118594436310354E-2</v>
      </c>
    </row>
    <row r="1521" spans="2:9" x14ac:dyDescent="0.25">
      <c r="B1521" s="1">
        <v>37396</v>
      </c>
      <c r="C1521" s="2">
        <v>1074.3499999999999</v>
      </c>
      <c r="D1521" s="2">
        <v>1091.7</v>
      </c>
      <c r="E1521" s="2">
        <v>1097.95</v>
      </c>
      <c r="F1521" s="2">
        <v>1071.3499999999999</v>
      </c>
      <c r="G1521" s="3">
        <f t="shared" si="71"/>
        <v>-1.4945216155503815E-2</v>
      </c>
      <c r="H1521" s="2">
        <f t="shared" si="69"/>
        <v>26.600000000000136</v>
      </c>
      <c r="I1521" s="3">
        <f t="shared" si="70"/>
        <v>2.4365668223871151E-2</v>
      </c>
    </row>
    <row r="1522" spans="2:9" x14ac:dyDescent="0.25">
      <c r="B1522" s="1">
        <v>37397</v>
      </c>
      <c r="C1522" s="2">
        <v>1049.2</v>
      </c>
      <c r="D1522" s="2">
        <v>1074.75</v>
      </c>
      <c r="E1522" s="2">
        <v>1074.8499999999999</v>
      </c>
      <c r="F1522" s="2">
        <v>1028.25</v>
      </c>
      <c r="G1522" s="3">
        <f t="shared" si="71"/>
        <v>-2.3409503420672828E-2</v>
      </c>
      <c r="H1522" s="2">
        <f t="shared" si="69"/>
        <v>46.599999999999909</v>
      </c>
      <c r="I1522" s="3">
        <f t="shared" si="70"/>
        <v>4.3358920679227642E-2</v>
      </c>
    </row>
    <row r="1523" spans="2:9" x14ac:dyDescent="0.25">
      <c r="B1523" s="1">
        <v>37398</v>
      </c>
      <c r="C1523" s="2">
        <v>1045.3</v>
      </c>
      <c r="D1523" s="2">
        <v>1049.5</v>
      </c>
      <c r="E1523" s="2">
        <v>1050.9000000000001</v>
      </c>
      <c r="F1523" s="2">
        <v>1035.5</v>
      </c>
      <c r="G1523" s="3">
        <f t="shared" si="71"/>
        <v>-3.71711780404127E-3</v>
      </c>
      <c r="H1523" s="2">
        <f t="shared" si="69"/>
        <v>15.400000000000091</v>
      </c>
      <c r="I1523" s="3">
        <f t="shared" si="70"/>
        <v>1.4673654121010092E-2</v>
      </c>
    </row>
    <row r="1524" spans="2:9" x14ac:dyDescent="0.25">
      <c r="B1524" s="1">
        <v>37399</v>
      </c>
      <c r="C1524" s="2">
        <v>1026.75</v>
      </c>
      <c r="D1524" s="2">
        <v>1045.2</v>
      </c>
      <c r="E1524" s="2">
        <v>1045.3499999999999</v>
      </c>
      <c r="F1524" s="2">
        <v>1024.3</v>
      </c>
      <c r="G1524" s="3">
        <f t="shared" si="71"/>
        <v>-1.7746101597627462E-2</v>
      </c>
      <c r="H1524" s="2">
        <f t="shared" si="69"/>
        <v>21.049999999999955</v>
      </c>
      <c r="I1524" s="3">
        <f t="shared" si="70"/>
        <v>2.0139686184462258E-2</v>
      </c>
    </row>
    <row r="1525" spans="2:9" x14ac:dyDescent="0.25">
      <c r="B1525" s="1">
        <v>37400</v>
      </c>
      <c r="C1525" s="2">
        <v>1067</v>
      </c>
      <c r="D1525" s="2">
        <v>1026.9000000000001</v>
      </c>
      <c r="E1525" s="2">
        <v>1069.2</v>
      </c>
      <c r="F1525" s="2">
        <v>1026.9000000000001</v>
      </c>
      <c r="G1525" s="3">
        <f t="shared" si="71"/>
        <v>3.9201363525687816E-2</v>
      </c>
      <c r="H1525" s="2">
        <f t="shared" si="69"/>
        <v>42.299999999999955</v>
      </c>
      <c r="I1525" s="3">
        <f t="shared" si="70"/>
        <v>4.1191936897458321E-2</v>
      </c>
    </row>
    <row r="1526" spans="2:9" x14ac:dyDescent="0.25">
      <c r="B1526" s="1">
        <v>37403</v>
      </c>
      <c r="C1526" s="2">
        <v>1062.7</v>
      </c>
      <c r="D1526" s="2">
        <v>1067</v>
      </c>
      <c r="E1526" s="2">
        <v>1071.5</v>
      </c>
      <c r="F1526" s="2">
        <v>1054.0999999999999</v>
      </c>
      <c r="G1526" s="3">
        <f t="shared" si="71"/>
        <v>-4.0299906279287478E-3</v>
      </c>
      <c r="H1526" s="2">
        <f t="shared" si="69"/>
        <v>17.400000000000091</v>
      </c>
      <c r="I1526" s="3">
        <f t="shared" si="70"/>
        <v>1.6307403936270001E-2</v>
      </c>
    </row>
    <row r="1527" spans="2:9" x14ac:dyDescent="0.25">
      <c r="B1527" s="1">
        <v>37404</v>
      </c>
      <c r="C1527" s="2">
        <v>1038.2</v>
      </c>
      <c r="D1527" s="2">
        <v>1061.9000000000001</v>
      </c>
      <c r="E1527" s="2">
        <v>1062.3</v>
      </c>
      <c r="F1527" s="2">
        <v>1034.0999999999999</v>
      </c>
      <c r="G1527" s="3">
        <f t="shared" si="71"/>
        <v>-2.3054483861861264E-2</v>
      </c>
      <c r="H1527" s="2">
        <f t="shared" si="69"/>
        <v>28.200000000000045</v>
      </c>
      <c r="I1527" s="3">
        <f t="shared" si="70"/>
        <v>2.6556172897636354E-2</v>
      </c>
    </row>
    <row r="1528" spans="2:9" x14ac:dyDescent="0.25">
      <c r="B1528" s="1">
        <v>37405</v>
      </c>
      <c r="C1528" s="2">
        <v>1041.6500000000001</v>
      </c>
      <c r="D1528" s="2">
        <v>1038.2</v>
      </c>
      <c r="E1528" s="2">
        <v>1047.95</v>
      </c>
      <c r="F1528" s="2">
        <v>1026.5</v>
      </c>
      <c r="G1528" s="3">
        <f t="shared" si="71"/>
        <v>3.32305914082065E-3</v>
      </c>
      <c r="H1528" s="2">
        <f t="shared" si="69"/>
        <v>21.450000000000045</v>
      </c>
      <c r="I1528" s="3">
        <f t="shared" si="70"/>
        <v>2.0660759005971918E-2</v>
      </c>
    </row>
    <row r="1529" spans="2:9" x14ac:dyDescent="0.25">
      <c r="B1529" s="1">
        <v>37406</v>
      </c>
      <c r="C1529" s="2">
        <v>1032.1500000000001</v>
      </c>
      <c r="D1529" s="2">
        <v>1041.4000000000001</v>
      </c>
      <c r="E1529" s="2">
        <v>1049.95</v>
      </c>
      <c r="F1529" s="2">
        <v>1030.0999999999999</v>
      </c>
      <c r="G1529" s="3">
        <f t="shared" si="71"/>
        <v>-9.120145922334788E-3</v>
      </c>
      <c r="H1529" s="2">
        <f t="shared" si="69"/>
        <v>19.850000000000136</v>
      </c>
      <c r="I1529" s="3">
        <f t="shared" si="70"/>
        <v>1.9060879585173933E-2</v>
      </c>
    </row>
    <row r="1530" spans="2:9" x14ac:dyDescent="0.25">
      <c r="B1530" s="1">
        <v>37407</v>
      </c>
      <c r="C1530" s="2">
        <v>1028.8</v>
      </c>
      <c r="D1530" s="2">
        <v>1032.5</v>
      </c>
      <c r="E1530" s="2">
        <v>1037.7</v>
      </c>
      <c r="F1530" s="2">
        <v>1020.1</v>
      </c>
      <c r="G1530" s="3">
        <f t="shared" si="71"/>
        <v>-3.2456522792231324E-3</v>
      </c>
      <c r="H1530" s="2">
        <f t="shared" si="69"/>
        <v>17.600000000000023</v>
      </c>
      <c r="I1530" s="3">
        <f t="shared" si="70"/>
        <v>1.7046004842615033E-2</v>
      </c>
    </row>
    <row r="1531" spans="2:9" x14ac:dyDescent="0.25">
      <c r="B1531" s="1">
        <v>37410</v>
      </c>
      <c r="C1531" s="2">
        <v>1039.75</v>
      </c>
      <c r="D1531" s="2">
        <v>1029.25</v>
      </c>
      <c r="E1531" s="2">
        <v>1047.25</v>
      </c>
      <c r="F1531" s="2">
        <v>1029.25</v>
      </c>
      <c r="G1531" s="3">
        <f t="shared" si="71"/>
        <v>1.0643468118195942E-2</v>
      </c>
      <c r="H1531" s="2">
        <f t="shared" si="69"/>
        <v>18</v>
      </c>
      <c r="I1531" s="3">
        <f t="shared" si="70"/>
        <v>1.7488462472674278E-2</v>
      </c>
    </row>
    <row r="1532" spans="2:9" x14ac:dyDescent="0.25">
      <c r="B1532" s="1">
        <v>37411</v>
      </c>
      <c r="C1532" s="2">
        <v>1045.4000000000001</v>
      </c>
      <c r="D1532" s="2">
        <v>1040.1500000000001</v>
      </c>
      <c r="E1532" s="2">
        <v>1047.4000000000001</v>
      </c>
      <c r="F1532" s="2">
        <v>1036.55</v>
      </c>
      <c r="G1532" s="3">
        <f t="shared" si="71"/>
        <v>5.4339985573454985E-3</v>
      </c>
      <c r="H1532" s="2">
        <f t="shared" si="69"/>
        <v>10.850000000000136</v>
      </c>
      <c r="I1532" s="3">
        <f t="shared" si="70"/>
        <v>1.043118780945069E-2</v>
      </c>
    </row>
    <row r="1533" spans="2:9" x14ac:dyDescent="0.25">
      <c r="B1533" s="1">
        <v>37412</v>
      </c>
      <c r="C1533" s="2">
        <v>1064.2</v>
      </c>
      <c r="D1533" s="2">
        <v>1045.55</v>
      </c>
      <c r="E1533" s="2">
        <v>1067.5</v>
      </c>
      <c r="F1533" s="2">
        <v>1045</v>
      </c>
      <c r="G1533" s="3">
        <f t="shared" si="71"/>
        <v>1.7983546967667907E-2</v>
      </c>
      <c r="H1533" s="2">
        <f t="shared" si="69"/>
        <v>22.5</v>
      </c>
      <c r="I1533" s="3">
        <f t="shared" si="70"/>
        <v>2.1519774281478648E-2</v>
      </c>
    </row>
    <row r="1534" spans="2:9" x14ac:dyDescent="0.25">
      <c r="B1534" s="1">
        <v>37413</v>
      </c>
      <c r="C1534" s="2">
        <v>1064.3499999999999</v>
      </c>
      <c r="D1534" s="2">
        <v>1064.1500000000001</v>
      </c>
      <c r="E1534" s="2">
        <v>1072</v>
      </c>
      <c r="F1534" s="2">
        <v>1055.5</v>
      </c>
      <c r="G1534" s="3">
        <f t="shared" si="71"/>
        <v>1.4095094906951822E-4</v>
      </c>
      <c r="H1534" s="2">
        <f t="shared" si="69"/>
        <v>16.5</v>
      </c>
      <c r="I1534" s="3">
        <f t="shared" si="70"/>
        <v>1.5505332894798664E-2</v>
      </c>
    </row>
    <row r="1535" spans="2:9" x14ac:dyDescent="0.25">
      <c r="B1535" s="1">
        <v>37414</v>
      </c>
      <c r="C1535" s="2">
        <v>1048.8</v>
      </c>
      <c r="D1535" s="2">
        <v>1063.75</v>
      </c>
      <c r="E1535" s="2">
        <v>1063.75</v>
      </c>
      <c r="F1535" s="2">
        <v>1044.3499999999999</v>
      </c>
      <c r="G1535" s="3">
        <f t="shared" si="71"/>
        <v>-1.4609855780523318E-2</v>
      </c>
      <c r="H1535" s="2">
        <f t="shared" si="69"/>
        <v>19.400000000000091</v>
      </c>
      <c r="I1535" s="3">
        <f t="shared" si="70"/>
        <v>1.823736780258528E-2</v>
      </c>
    </row>
    <row r="1536" spans="2:9" x14ac:dyDescent="0.25">
      <c r="B1536" s="1">
        <v>37417</v>
      </c>
      <c r="C1536" s="2">
        <v>1069.9000000000001</v>
      </c>
      <c r="D1536" s="2">
        <v>1049.95</v>
      </c>
      <c r="E1536" s="2">
        <v>1072.5</v>
      </c>
      <c r="F1536" s="2">
        <v>1049.95</v>
      </c>
      <c r="G1536" s="3">
        <f t="shared" si="71"/>
        <v>2.0118230358505018E-2</v>
      </c>
      <c r="H1536" s="2">
        <f t="shared" si="69"/>
        <v>22.549999999999955</v>
      </c>
      <c r="I1536" s="3">
        <f t="shared" si="70"/>
        <v>2.1477213200628557E-2</v>
      </c>
    </row>
    <row r="1537" spans="2:9" x14ac:dyDescent="0.25">
      <c r="B1537" s="1">
        <v>37418</v>
      </c>
      <c r="C1537" s="2">
        <v>1097.05</v>
      </c>
      <c r="D1537" s="2">
        <v>1070.95</v>
      </c>
      <c r="E1537" s="2">
        <v>1099.5</v>
      </c>
      <c r="F1537" s="2">
        <v>1070.55</v>
      </c>
      <c r="G1537" s="3">
        <f t="shared" si="71"/>
        <v>2.5376203383493667E-2</v>
      </c>
      <c r="H1537" s="2">
        <f t="shared" si="69"/>
        <v>28.950000000000045</v>
      </c>
      <c r="I1537" s="3">
        <f t="shared" si="70"/>
        <v>2.7032074326532558E-2</v>
      </c>
    </row>
    <row r="1538" spans="2:9" x14ac:dyDescent="0.25">
      <c r="B1538" s="1">
        <v>37419</v>
      </c>
      <c r="C1538" s="2">
        <v>1092.8</v>
      </c>
      <c r="D1538" s="2">
        <v>1097.1500000000001</v>
      </c>
      <c r="E1538" s="2">
        <v>1100.45</v>
      </c>
      <c r="F1538" s="2">
        <v>1088.5</v>
      </c>
      <c r="G1538" s="3">
        <f t="shared" si="71"/>
        <v>-3.874025796454128E-3</v>
      </c>
      <c r="H1538" s="2">
        <f t="shared" si="69"/>
        <v>11.950000000000045</v>
      </c>
      <c r="I1538" s="3">
        <f t="shared" si="70"/>
        <v>1.0891856172811416E-2</v>
      </c>
    </row>
    <row r="1539" spans="2:9" x14ac:dyDescent="0.25">
      <c r="B1539" s="1">
        <v>37420</v>
      </c>
      <c r="C1539" s="2">
        <v>1082.8499999999999</v>
      </c>
      <c r="D1539" s="2">
        <v>1093</v>
      </c>
      <c r="E1539" s="2">
        <v>1102.05</v>
      </c>
      <c r="F1539" s="2">
        <v>1080.8</v>
      </c>
      <c r="G1539" s="3">
        <f t="shared" si="71"/>
        <v>-9.1050512445095544E-3</v>
      </c>
      <c r="H1539" s="2">
        <f t="shared" si="69"/>
        <v>21.25</v>
      </c>
      <c r="I1539" s="3">
        <f t="shared" si="70"/>
        <v>1.9441903019213176E-2</v>
      </c>
    </row>
    <row r="1540" spans="2:9" x14ac:dyDescent="0.25">
      <c r="B1540" s="1">
        <v>37421</v>
      </c>
      <c r="C1540" s="2">
        <v>1085.7</v>
      </c>
      <c r="D1540" s="2">
        <v>1081.75</v>
      </c>
      <c r="E1540" s="2">
        <v>1087.5999999999999</v>
      </c>
      <c r="F1540" s="2">
        <v>1079.45</v>
      </c>
      <c r="G1540" s="3">
        <f t="shared" si="71"/>
        <v>2.6319434824768617E-3</v>
      </c>
      <c r="H1540" s="2">
        <f t="shared" si="69"/>
        <v>8.1499999999998636</v>
      </c>
      <c r="I1540" s="3">
        <f t="shared" si="70"/>
        <v>7.5340882828748446E-3</v>
      </c>
    </row>
    <row r="1541" spans="2:9" x14ac:dyDescent="0.25">
      <c r="B1541" s="1">
        <v>37424</v>
      </c>
      <c r="C1541" s="2">
        <v>1088.9000000000001</v>
      </c>
      <c r="D1541" s="2">
        <v>1085.8</v>
      </c>
      <c r="E1541" s="2">
        <v>1097.55</v>
      </c>
      <c r="F1541" s="2">
        <v>1085.7</v>
      </c>
      <c r="G1541" s="3">
        <f t="shared" si="71"/>
        <v>2.9474072027264597E-3</v>
      </c>
      <c r="H1541" s="2">
        <f t="shared" ref="H1541:H1604" si="72">E1541-F1541</f>
        <v>11.849999999999909</v>
      </c>
      <c r="I1541" s="3">
        <f t="shared" si="70"/>
        <v>1.0913612083256502E-2</v>
      </c>
    </row>
    <row r="1542" spans="2:9" x14ac:dyDescent="0.25">
      <c r="B1542" s="1">
        <v>37425</v>
      </c>
      <c r="C1542" s="2">
        <v>1074.95</v>
      </c>
      <c r="D1542" s="2">
        <v>1088.9000000000001</v>
      </c>
      <c r="E1542" s="2">
        <v>1097.4000000000001</v>
      </c>
      <c r="F1542" s="2">
        <v>1073.75</v>
      </c>
      <c r="G1542" s="3">
        <f t="shared" si="71"/>
        <v>-1.2811093764349413E-2</v>
      </c>
      <c r="H1542" s="2">
        <f t="shared" si="72"/>
        <v>23.650000000000091</v>
      </c>
      <c r="I1542" s="3">
        <f t="shared" ref="I1542:I1605" si="73">H1542/D1542</f>
        <v>2.171916613095793E-2</v>
      </c>
    </row>
    <row r="1543" spans="2:9" x14ac:dyDescent="0.25">
      <c r="B1543" s="1">
        <v>37426</v>
      </c>
      <c r="C1543" s="2">
        <v>1062.9000000000001</v>
      </c>
      <c r="D1543" s="2">
        <v>1074.7</v>
      </c>
      <c r="E1543" s="2">
        <v>1079.2</v>
      </c>
      <c r="F1543" s="2">
        <v>1056.45</v>
      </c>
      <c r="G1543" s="3">
        <f t="shared" ref="G1543:G1606" si="74">C1543/C1542-1</f>
        <v>-1.1209823712730826E-2</v>
      </c>
      <c r="H1543" s="2">
        <f t="shared" si="72"/>
        <v>22.75</v>
      </c>
      <c r="I1543" s="3">
        <f t="shared" si="73"/>
        <v>2.1168698241369684E-2</v>
      </c>
    </row>
    <row r="1544" spans="2:9" x14ac:dyDescent="0.25">
      <c r="B1544" s="1">
        <v>37427</v>
      </c>
      <c r="C1544" s="2">
        <v>1070.05</v>
      </c>
      <c r="D1544" s="2">
        <v>1063.0999999999999</v>
      </c>
      <c r="E1544" s="2">
        <v>1074</v>
      </c>
      <c r="F1544" s="2">
        <v>1056.25</v>
      </c>
      <c r="G1544" s="3">
        <f t="shared" si="74"/>
        <v>6.7268792925014864E-3</v>
      </c>
      <c r="H1544" s="2">
        <f t="shared" si="72"/>
        <v>17.75</v>
      </c>
      <c r="I1544" s="3">
        <f t="shared" si="73"/>
        <v>1.6696453767284358E-2</v>
      </c>
    </row>
    <row r="1545" spans="2:9" x14ac:dyDescent="0.25">
      <c r="B1545" s="1">
        <v>37428</v>
      </c>
      <c r="C1545" s="2">
        <v>1062.55</v>
      </c>
      <c r="D1545" s="2">
        <v>1069.5</v>
      </c>
      <c r="E1545" s="2">
        <v>1069.8</v>
      </c>
      <c r="F1545" s="2">
        <v>1058.95</v>
      </c>
      <c r="G1545" s="3">
        <f t="shared" si="74"/>
        <v>-7.0090182701743053E-3</v>
      </c>
      <c r="H1545" s="2">
        <f t="shared" si="72"/>
        <v>10.849999999999909</v>
      </c>
      <c r="I1545" s="3">
        <f t="shared" si="73"/>
        <v>1.0144927536231798E-2</v>
      </c>
    </row>
    <row r="1546" spans="2:9" x14ac:dyDescent="0.25">
      <c r="B1546" s="1">
        <v>37431</v>
      </c>
      <c r="C1546" s="2">
        <v>1061.8499999999999</v>
      </c>
      <c r="D1546" s="2">
        <v>1065.5999999999999</v>
      </c>
      <c r="E1546" s="2">
        <v>1065.5999999999999</v>
      </c>
      <c r="F1546" s="2">
        <v>1054.45</v>
      </c>
      <c r="G1546" s="3">
        <f t="shared" si="74"/>
        <v>-6.587925274105233E-4</v>
      </c>
      <c r="H1546" s="2">
        <f t="shared" si="72"/>
        <v>11.149999999999864</v>
      </c>
      <c r="I1546" s="3">
        <f t="shared" si="73"/>
        <v>1.0463588588588462E-2</v>
      </c>
    </row>
    <row r="1547" spans="2:9" x14ac:dyDescent="0.25">
      <c r="B1547" s="1">
        <v>37432</v>
      </c>
      <c r="C1547" s="2">
        <v>1055.4000000000001</v>
      </c>
      <c r="D1547" s="2">
        <v>1061.9000000000001</v>
      </c>
      <c r="E1547" s="2">
        <v>1063.3</v>
      </c>
      <c r="F1547" s="2">
        <v>1048.55</v>
      </c>
      <c r="G1547" s="3">
        <f t="shared" si="74"/>
        <v>-6.0743042802654523E-3</v>
      </c>
      <c r="H1547" s="2">
        <f t="shared" si="72"/>
        <v>14.75</v>
      </c>
      <c r="I1547" s="3">
        <f t="shared" si="73"/>
        <v>1.3890196817026084E-2</v>
      </c>
    </row>
    <row r="1548" spans="2:9" x14ac:dyDescent="0.25">
      <c r="B1548" s="1">
        <v>37433</v>
      </c>
      <c r="C1548" s="2">
        <v>1044.2</v>
      </c>
      <c r="D1548" s="2">
        <v>1055.3499999999999</v>
      </c>
      <c r="E1548" s="2">
        <v>1061.05</v>
      </c>
      <c r="F1548" s="2">
        <v>1042.2</v>
      </c>
      <c r="G1548" s="3">
        <f t="shared" si="74"/>
        <v>-1.0612090202766766E-2</v>
      </c>
      <c r="H1548" s="2">
        <f t="shared" si="72"/>
        <v>18.849999999999909</v>
      </c>
      <c r="I1548" s="3">
        <f t="shared" si="73"/>
        <v>1.7861373004216526E-2</v>
      </c>
    </row>
    <row r="1549" spans="2:9" x14ac:dyDescent="0.25">
      <c r="B1549" s="1">
        <v>37434</v>
      </c>
      <c r="C1549" s="2">
        <v>1048.55</v>
      </c>
      <c r="D1549" s="2">
        <v>1044.5</v>
      </c>
      <c r="E1549" s="2">
        <v>1053.7</v>
      </c>
      <c r="F1549" s="2">
        <v>1044</v>
      </c>
      <c r="G1549" s="3">
        <f t="shared" si="74"/>
        <v>4.1658686075463081E-3</v>
      </c>
      <c r="H1549" s="2">
        <f t="shared" si="72"/>
        <v>9.7000000000000455</v>
      </c>
      <c r="I1549" s="3">
        <f t="shared" si="73"/>
        <v>9.2867400670177559E-3</v>
      </c>
    </row>
    <row r="1550" spans="2:9" x14ac:dyDescent="0.25">
      <c r="B1550" s="1">
        <v>37435</v>
      </c>
      <c r="C1550" s="2">
        <v>1057.8</v>
      </c>
      <c r="D1550" s="2">
        <v>1049.4000000000001</v>
      </c>
      <c r="E1550" s="2">
        <v>1068.9000000000001</v>
      </c>
      <c r="F1550" s="2">
        <v>1049.4000000000001</v>
      </c>
      <c r="G1550" s="3">
        <f t="shared" si="74"/>
        <v>8.8217061656572504E-3</v>
      </c>
      <c r="H1550" s="2">
        <f t="shared" si="72"/>
        <v>19.5</v>
      </c>
      <c r="I1550" s="3">
        <f t="shared" si="73"/>
        <v>1.8582046883933674E-2</v>
      </c>
    </row>
    <row r="1551" spans="2:9" x14ac:dyDescent="0.25">
      <c r="B1551" s="1">
        <v>37438</v>
      </c>
      <c r="C1551" s="2">
        <v>1068.95</v>
      </c>
      <c r="D1551" s="2">
        <v>1058</v>
      </c>
      <c r="E1551" s="2">
        <v>1070.1500000000001</v>
      </c>
      <c r="F1551" s="2">
        <v>1058</v>
      </c>
      <c r="G1551" s="3">
        <f t="shared" si="74"/>
        <v>1.0540744942333147E-2</v>
      </c>
      <c r="H1551" s="2">
        <f t="shared" si="72"/>
        <v>12.150000000000091</v>
      </c>
      <c r="I1551" s="3">
        <f t="shared" si="73"/>
        <v>1.1483931947070029E-2</v>
      </c>
    </row>
    <row r="1552" spans="2:9" x14ac:dyDescent="0.25">
      <c r="B1552" s="1">
        <v>37439</v>
      </c>
      <c r="C1552" s="2">
        <v>1068.05</v>
      </c>
      <c r="D1552" s="2">
        <v>1067.9000000000001</v>
      </c>
      <c r="E1552" s="2">
        <v>1071.7</v>
      </c>
      <c r="F1552" s="2">
        <v>1064.95</v>
      </c>
      <c r="G1552" s="3">
        <f t="shared" si="74"/>
        <v>-8.4194770569256949E-4</v>
      </c>
      <c r="H1552" s="2">
        <f t="shared" si="72"/>
        <v>6.75</v>
      </c>
      <c r="I1552" s="3">
        <f t="shared" si="73"/>
        <v>6.3208165558572898E-3</v>
      </c>
    </row>
    <row r="1553" spans="2:9" x14ac:dyDescent="0.25">
      <c r="B1553" s="1">
        <v>37440</v>
      </c>
      <c r="C1553" s="2">
        <v>1069.9000000000001</v>
      </c>
      <c r="D1553" s="2">
        <v>1067.8</v>
      </c>
      <c r="E1553" s="2">
        <v>1074</v>
      </c>
      <c r="F1553" s="2">
        <v>1065.55</v>
      </c>
      <c r="G1553" s="3">
        <f t="shared" si="74"/>
        <v>1.732128645662856E-3</v>
      </c>
      <c r="H1553" s="2">
        <f t="shared" si="72"/>
        <v>8.4500000000000455</v>
      </c>
      <c r="I1553" s="3">
        <f t="shared" si="73"/>
        <v>7.9134669413748315E-3</v>
      </c>
    </row>
    <row r="1554" spans="2:9" x14ac:dyDescent="0.25">
      <c r="B1554" s="1">
        <v>37441</v>
      </c>
      <c r="C1554" s="2">
        <v>1070.55</v>
      </c>
      <c r="D1554" s="2">
        <v>1069.95</v>
      </c>
      <c r="E1554" s="2">
        <v>1078.55</v>
      </c>
      <c r="F1554" s="2">
        <v>1068.4000000000001</v>
      </c>
      <c r="G1554" s="3">
        <f t="shared" si="74"/>
        <v>6.0753341433761321E-4</v>
      </c>
      <c r="H1554" s="2">
        <f t="shared" si="72"/>
        <v>10.149999999999864</v>
      </c>
      <c r="I1554" s="3">
        <f t="shared" si="73"/>
        <v>9.4864245992802125E-3</v>
      </c>
    </row>
    <row r="1555" spans="2:9" x14ac:dyDescent="0.25">
      <c r="B1555" s="1">
        <v>37442</v>
      </c>
      <c r="C1555" s="2">
        <v>1073.8</v>
      </c>
      <c r="D1555" s="2">
        <v>1071</v>
      </c>
      <c r="E1555" s="2">
        <v>1076.2</v>
      </c>
      <c r="F1555" s="2">
        <v>1067.45</v>
      </c>
      <c r="G1555" s="3">
        <f t="shared" si="74"/>
        <v>3.0358227079538835E-3</v>
      </c>
      <c r="H1555" s="2">
        <f t="shared" si="72"/>
        <v>8.75</v>
      </c>
      <c r="I1555" s="3">
        <f t="shared" si="73"/>
        <v>8.1699346405228763E-3</v>
      </c>
    </row>
    <row r="1556" spans="2:9" x14ac:dyDescent="0.25">
      <c r="B1556" s="1">
        <v>37445</v>
      </c>
      <c r="C1556" s="2">
        <v>1082.05</v>
      </c>
      <c r="D1556" s="2">
        <v>1074</v>
      </c>
      <c r="E1556" s="2">
        <v>1085.3</v>
      </c>
      <c r="F1556" s="2">
        <v>1072.9000000000001</v>
      </c>
      <c r="G1556" s="3">
        <f t="shared" si="74"/>
        <v>7.6829949711305634E-3</v>
      </c>
      <c r="H1556" s="2">
        <f t="shared" si="72"/>
        <v>12.399999999999864</v>
      </c>
      <c r="I1556" s="3">
        <f t="shared" si="73"/>
        <v>1.1545623836126503E-2</v>
      </c>
    </row>
    <row r="1557" spans="2:9" x14ac:dyDescent="0.25">
      <c r="B1557" s="1">
        <v>37446</v>
      </c>
      <c r="C1557" s="2">
        <v>1080.3</v>
      </c>
      <c r="D1557" s="2">
        <v>1081.9000000000001</v>
      </c>
      <c r="E1557" s="2">
        <v>1083.6500000000001</v>
      </c>
      <c r="F1557" s="2">
        <v>1077.55</v>
      </c>
      <c r="G1557" s="3">
        <f t="shared" si="74"/>
        <v>-1.6173004944318725E-3</v>
      </c>
      <c r="H1557" s="2">
        <f t="shared" si="72"/>
        <v>6.1000000000001364</v>
      </c>
      <c r="I1557" s="3">
        <f t="shared" si="73"/>
        <v>5.6382290415011886E-3</v>
      </c>
    </row>
    <row r="1558" spans="2:9" x14ac:dyDescent="0.25">
      <c r="B1558" s="1">
        <v>37447</v>
      </c>
      <c r="C1558" s="2">
        <v>1071.7</v>
      </c>
      <c r="D1558" s="2">
        <v>1081.55</v>
      </c>
      <c r="E1558" s="2">
        <v>1087.4000000000001</v>
      </c>
      <c r="F1558" s="2">
        <v>1069.45</v>
      </c>
      <c r="G1558" s="3">
        <f t="shared" si="74"/>
        <v>-7.9607516430619807E-3</v>
      </c>
      <c r="H1558" s="2">
        <f t="shared" si="72"/>
        <v>17.950000000000045</v>
      </c>
      <c r="I1558" s="3">
        <f t="shared" si="73"/>
        <v>1.6596551245897134E-2</v>
      </c>
    </row>
    <row r="1559" spans="2:9" x14ac:dyDescent="0.25">
      <c r="B1559" s="1">
        <v>37448</v>
      </c>
      <c r="C1559" s="2">
        <v>1056.5999999999999</v>
      </c>
      <c r="D1559" s="2">
        <v>1070.95</v>
      </c>
      <c r="E1559" s="2">
        <v>1070.95</v>
      </c>
      <c r="F1559" s="2">
        <v>1055.3</v>
      </c>
      <c r="G1559" s="3">
        <f t="shared" si="74"/>
        <v>-1.4089763926472099E-2</v>
      </c>
      <c r="H1559" s="2">
        <f t="shared" si="72"/>
        <v>15.650000000000091</v>
      </c>
      <c r="I1559" s="3">
        <f t="shared" si="73"/>
        <v>1.4613193893272413E-2</v>
      </c>
    </row>
    <row r="1560" spans="2:9" x14ac:dyDescent="0.25">
      <c r="B1560" s="1">
        <v>37449</v>
      </c>
      <c r="C1560" s="2">
        <v>1058.25</v>
      </c>
      <c r="D1560" s="2">
        <v>1057.0999999999999</v>
      </c>
      <c r="E1560" s="2">
        <v>1064.9000000000001</v>
      </c>
      <c r="F1560" s="2">
        <v>1054.9000000000001</v>
      </c>
      <c r="G1560" s="3">
        <f t="shared" si="74"/>
        <v>1.5616127200455132E-3</v>
      </c>
      <c r="H1560" s="2">
        <f t="shared" si="72"/>
        <v>10</v>
      </c>
      <c r="I1560" s="3">
        <f t="shared" si="73"/>
        <v>9.459842966606756E-3</v>
      </c>
    </row>
    <row r="1561" spans="2:9" x14ac:dyDescent="0.25">
      <c r="B1561" s="1">
        <v>37452</v>
      </c>
      <c r="C1561" s="2">
        <v>1048</v>
      </c>
      <c r="D1561" s="2">
        <v>1057.95</v>
      </c>
      <c r="E1561" s="2">
        <v>1058.45</v>
      </c>
      <c r="F1561" s="2">
        <v>1043.3</v>
      </c>
      <c r="G1561" s="3">
        <f t="shared" si="74"/>
        <v>-9.6858020316560323E-3</v>
      </c>
      <c r="H1561" s="2">
        <f t="shared" si="72"/>
        <v>15.150000000000091</v>
      </c>
      <c r="I1561" s="3">
        <f t="shared" si="73"/>
        <v>1.432014745498378E-2</v>
      </c>
    </row>
    <row r="1562" spans="2:9" x14ac:dyDescent="0.25">
      <c r="B1562" s="1">
        <v>37453</v>
      </c>
      <c r="C1562" s="2">
        <v>1035.95</v>
      </c>
      <c r="D1562" s="2">
        <v>1047.9000000000001</v>
      </c>
      <c r="E1562" s="2">
        <v>1051.8499999999999</v>
      </c>
      <c r="F1562" s="2">
        <v>1033.95</v>
      </c>
      <c r="G1562" s="3">
        <f t="shared" si="74"/>
        <v>-1.1498091603053373E-2</v>
      </c>
      <c r="H1562" s="2">
        <f t="shared" si="72"/>
        <v>17.899999999999864</v>
      </c>
      <c r="I1562" s="3">
        <f t="shared" si="73"/>
        <v>1.7081782612844605E-2</v>
      </c>
    </row>
    <row r="1563" spans="2:9" x14ac:dyDescent="0.25">
      <c r="B1563" s="1">
        <v>37454</v>
      </c>
      <c r="C1563" s="2">
        <v>1032.55</v>
      </c>
      <c r="D1563" s="2">
        <v>1035.95</v>
      </c>
      <c r="E1563" s="2">
        <v>1037.5</v>
      </c>
      <c r="F1563" s="2">
        <v>1025</v>
      </c>
      <c r="G1563" s="3">
        <f t="shared" si="74"/>
        <v>-3.2820116801004495E-3</v>
      </c>
      <c r="H1563" s="2">
        <f t="shared" si="72"/>
        <v>12.5</v>
      </c>
      <c r="I1563" s="3">
        <f t="shared" si="73"/>
        <v>1.206621941213379E-2</v>
      </c>
    </row>
    <row r="1564" spans="2:9" x14ac:dyDescent="0.25">
      <c r="B1564" s="1">
        <v>37455</v>
      </c>
      <c r="C1564" s="2">
        <v>1041.3</v>
      </c>
      <c r="D1564" s="2">
        <v>1032.55</v>
      </c>
      <c r="E1564" s="2">
        <v>1044</v>
      </c>
      <c r="F1564" s="2">
        <v>1032.55</v>
      </c>
      <c r="G1564" s="3">
        <f t="shared" si="74"/>
        <v>8.4741658999563096E-3</v>
      </c>
      <c r="H1564" s="2">
        <f t="shared" si="72"/>
        <v>11.450000000000045</v>
      </c>
      <c r="I1564" s="3">
        <f t="shared" si="73"/>
        <v>1.10890513776573E-2</v>
      </c>
    </row>
    <row r="1565" spans="2:9" x14ac:dyDescent="0.25">
      <c r="B1565" s="1">
        <v>37456</v>
      </c>
      <c r="C1565" s="2">
        <v>1035.9000000000001</v>
      </c>
      <c r="D1565" s="2">
        <v>1041.3499999999999</v>
      </c>
      <c r="E1565" s="2">
        <v>1041.5</v>
      </c>
      <c r="F1565" s="2">
        <v>1032.25</v>
      </c>
      <c r="G1565" s="3">
        <f t="shared" si="74"/>
        <v>-5.1858254105443535E-3</v>
      </c>
      <c r="H1565" s="2">
        <f t="shared" si="72"/>
        <v>9.25</v>
      </c>
      <c r="I1565" s="3">
        <f t="shared" si="73"/>
        <v>8.8827003409036355E-3</v>
      </c>
    </row>
    <row r="1566" spans="2:9" x14ac:dyDescent="0.25">
      <c r="B1566" s="1">
        <v>37459</v>
      </c>
      <c r="C1566" s="2">
        <v>1012</v>
      </c>
      <c r="D1566" s="2">
        <v>1035.2</v>
      </c>
      <c r="E1566" s="2">
        <v>1035.2</v>
      </c>
      <c r="F1566" s="2">
        <v>1009</v>
      </c>
      <c r="G1566" s="3">
        <f t="shared" si="74"/>
        <v>-2.3071725069987559E-2</v>
      </c>
      <c r="H1566" s="2">
        <f t="shared" si="72"/>
        <v>26.200000000000045</v>
      </c>
      <c r="I1566" s="3">
        <f t="shared" si="73"/>
        <v>2.5309119010819208E-2</v>
      </c>
    </row>
    <row r="1567" spans="2:9" x14ac:dyDescent="0.25">
      <c r="B1567" s="1">
        <v>37460</v>
      </c>
      <c r="C1567" s="2">
        <v>1021.9</v>
      </c>
      <c r="D1567" s="2">
        <v>1012.05</v>
      </c>
      <c r="E1567" s="2">
        <v>1023.65</v>
      </c>
      <c r="F1567" s="2">
        <v>1005.75</v>
      </c>
      <c r="G1567" s="3">
        <f t="shared" si="74"/>
        <v>9.7826086956520619E-3</v>
      </c>
      <c r="H1567" s="2">
        <f t="shared" si="72"/>
        <v>17.899999999999977</v>
      </c>
      <c r="I1567" s="3">
        <f t="shared" si="73"/>
        <v>1.7686873178202635E-2</v>
      </c>
    </row>
    <row r="1568" spans="2:9" x14ac:dyDescent="0.25">
      <c r="B1568" s="1">
        <v>37461</v>
      </c>
      <c r="C1568" s="2">
        <v>1004.05</v>
      </c>
      <c r="D1568" s="2">
        <v>1021.8</v>
      </c>
      <c r="E1568" s="2">
        <v>1022.2</v>
      </c>
      <c r="F1568" s="2">
        <v>1001.9</v>
      </c>
      <c r="G1568" s="3">
        <f t="shared" si="74"/>
        <v>-1.7467462569723091E-2</v>
      </c>
      <c r="H1568" s="2">
        <f t="shared" si="72"/>
        <v>20.300000000000068</v>
      </c>
      <c r="I1568" s="3">
        <f t="shared" si="73"/>
        <v>1.9866901546290928E-2</v>
      </c>
    </row>
    <row r="1569" spans="2:9" x14ac:dyDescent="0.25">
      <c r="B1569" s="1">
        <v>37462</v>
      </c>
      <c r="C1569" s="2">
        <v>1001.55</v>
      </c>
      <c r="D1569" s="2">
        <v>1004.2</v>
      </c>
      <c r="E1569" s="2">
        <v>1021.3</v>
      </c>
      <c r="F1569">
        <v>997.85</v>
      </c>
      <c r="G1569" s="3">
        <f t="shared" si="74"/>
        <v>-2.4899158408445698E-3</v>
      </c>
      <c r="H1569" s="2">
        <f t="shared" si="72"/>
        <v>23.449999999999932</v>
      </c>
      <c r="I1569" s="3">
        <f t="shared" si="73"/>
        <v>2.3351921927902738E-2</v>
      </c>
    </row>
    <row r="1570" spans="2:9" x14ac:dyDescent="0.25">
      <c r="B1570" s="1">
        <v>37463</v>
      </c>
      <c r="C1570">
        <v>973.5</v>
      </c>
      <c r="D1570" s="2">
        <v>1001.05</v>
      </c>
      <c r="E1570" s="2">
        <v>1001.05</v>
      </c>
      <c r="F1570">
        <v>972.55</v>
      </c>
      <c r="G1570" s="3">
        <f t="shared" si="74"/>
        <v>-2.8006589785831926E-2</v>
      </c>
      <c r="H1570" s="2">
        <f t="shared" si="72"/>
        <v>28.5</v>
      </c>
      <c r="I1570" s="3">
        <f t="shared" si="73"/>
        <v>2.8470106388292296E-2</v>
      </c>
    </row>
    <row r="1571" spans="2:9" x14ac:dyDescent="0.25">
      <c r="B1571" s="1">
        <v>37466</v>
      </c>
      <c r="C1571">
        <v>971.65</v>
      </c>
      <c r="D1571">
        <v>973</v>
      </c>
      <c r="E1571">
        <v>977.95</v>
      </c>
      <c r="F1571">
        <v>953.15</v>
      </c>
      <c r="G1571" s="3">
        <f t="shared" si="74"/>
        <v>-1.9003595274782459E-3</v>
      </c>
      <c r="H1571" s="2">
        <f t="shared" si="72"/>
        <v>24.800000000000068</v>
      </c>
      <c r="I1571" s="3">
        <f t="shared" si="73"/>
        <v>2.5488180883864408E-2</v>
      </c>
    </row>
    <row r="1572" spans="2:9" x14ac:dyDescent="0.25">
      <c r="B1572" s="1">
        <v>37467</v>
      </c>
      <c r="C1572">
        <v>960.65</v>
      </c>
      <c r="D1572">
        <v>973</v>
      </c>
      <c r="E1572">
        <v>987.5</v>
      </c>
      <c r="F1572">
        <v>956.8</v>
      </c>
      <c r="G1572" s="3">
        <f t="shared" si="74"/>
        <v>-1.1320948901353378E-2</v>
      </c>
      <c r="H1572" s="2">
        <f t="shared" si="72"/>
        <v>30.700000000000045</v>
      </c>
      <c r="I1572" s="3">
        <f t="shared" si="73"/>
        <v>3.1551901336074044E-2</v>
      </c>
    </row>
    <row r="1573" spans="2:9" x14ac:dyDescent="0.25">
      <c r="B1573" s="1">
        <v>37468</v>
      </c>
      <c r="C1573">
        <v>958.9</v>
      </c>
      <c r="D1573">
        <v>960.3</v>
      </c>
      <c r="E1573">
        <v>964.1</v>
      </c>
      <c r="F1573">
        <v>943.6</v>
      </c>
      <c r="G1573" s="3">
        <f t="shared" si="74"/>
        <v>-1.8216832353094015E-3</v>
      </c>
      <c r="H1573" s="2">
        <f t="shared" si="72"/>
        <v>20.5</v>
      </c>
      <c r="I1573" s="3">
        <f t="shared" si="73"/>
        <v>2.1347495574299699E-2</v>
      </c>
    </row>
    <row r="1574" spans="2:9" x14ac:dyDescent="0.25">
      <c r="B1574" s="1">
        <v>37469</v>
      </c>
      <c r="C1574">
        <v>957.7</v>
      </c>
      <c r="D1574">
        <v>959.2</v>
      </c>
      <c r="E1574">
        <v>972.05</v>
      </c>
      <c r="F1574">
        <v>954.15</v>
      </c>
      <c r="G1574" s="3">
        <f t="shared" si="74"/>
        <v>-1.251433934716828E-3</v>
      </c>
      <c r="H1574" s="2">
        <f t="shared" si="72"/>
        <v>17.899999999999977</v>
      </c>
      <c r="I1574" s="3">
        <f t="shared" si="73"/>
        <v>1.8661384487072535E-2</v>
      </c>
    </row>
    <row r="1575" spans="2:9" x14ac:dyDescent="0.25">
      <c r="B1575" s="1">
        <v>37470</v>
      </c>
      <c r="C1575">
        <v>954.75</v>
      </c>
      <c r="D1575">
        <v>957.55</v>
      </c>
      <c r="E1575">
        <v>957.55</v>
      </c>
      <c r="F1575">
        <v>935.55</v>
      </c>
      <c r="G1575" s="3">
        <f t="shared" si="74"/>
        <v>-3.0802965438029295E-3</v>
      </c>
      <c r="H1575" s="2">
        <f t="shared" si="72"/>
        <v>22</v>
      </c>
      <c r="I1575" s="3">
        <f t="shared" si="73"/>
        <v>2.2975301550832855E-2</v>
      </c>
    </row>
    <row r="1576" spans="2:9" x14ac:dyDescent="0.25">
      <c r="B1576" s="1">
        <v>37473</v>
      </c>
      <c r="C1576">
        <v>963.25</v>
      </c>
      <c r="D1576">
        <v>954.9</v>
      </c>
      <c r="E1576">
        <v>966.5</v>
      </c>
      <c r="F1576">
        <v>953.9</v>
      </c>
      <c r="G1576" s="3">
        <f t="shared" si="74"/>
        <v>8.9028541503011205E-3</v>
      </c>
      <c r="H1576" s="2">
        <f t="shared" si="72"/>
        <v>12.600000000000023</v>
      </c>
      <c r="I1576" s="3">
        <f t="shared" si="73"/>
        <v>1.3195098963242249E-2</v>
      </c>
    </row>
    <row r="1577" spans="2:9" x14ac:dyDescent="0.25">
      <c r="B1577" s="1">
        <v>37474</v>
      </c>
      <c r="C1577">
        <v>966.65</v>
      </c>
      <c r="D1577">
        <v>963.3</v>
      </c>
      <c r="E1577">
        <v>969.55</v>
      </c>
      <c r="F1577">
        <v>955.4</v>
      </c>
      <c r="G1577" s="3">
        <f t="shared" si="74"/>
        <v>3.5297171035555408E-3</v>
      </c>
      <c r="H1577" s="2">
        <f t="shared" si="72"/>
        <v>14.149999999999977</v>
      </c>
      <c r="I1577" s="3">
        <f t="shared" si="73"/>
        <v>1.4689089587874991E-2</v>
      </c>
    </row>
    <row r="1578" spans="2:9" x14ac:dyDescent="0.25">
      <c r="B1578" s="1">
        <v>37475</v>
      </c>
      <c r="C1578">
        <v>969.1</v>
      </c>
      <c r="D1578">
        <v>967.7</v>
      </c>
      <c r="E1578">
        <v>978.6</v>
      </c>
      <c r="F1578">
        <v>966.55</v>
      </c>
      <c r="G1578" s="3">
        <f t="shared" si="74"/>
        <v>2.5345264573528592E-3</v>
      </c>
      <c r="H1578" s="2">
        <f t="shared" si="72"/>
        <v>12.050000000000068</v>
      </c>
      <c r="I1578" s="3">
        <f t="shared" si="73"/>
        <v>1.2452206262271436E-2</v>
      </c>
    </row>
    <row r="1579" spans="2:9" x14ac:dyDescent="0.25">
      <c r="B1579" s="1">
        <v>37476</v>
      </c>
      <c r="C1579">
        <v>953.55</v>
      </c>
      <c r="D1579">
        <v>969.15</v>
      </c>
      <c r="E1579">
        <v>971.75</v>
      </c>
      <c r="F1579">
        <v>951.2</v>
      </c>
      <c r="G1579" s="3">
        <f t="shared" si="74"/>
        <v>-1.604581570529362E-2</v>
      </c>
      <c r="H1579" s="2">
        <f t="shared" si="72"/>
        <v>20.549999999999955</v>
      </c>
      <c r="I1579" s="3">
        <f t="shared" si="73"/>
        <v>2.12041479647113E-2</v>
      </c>
    </row>
    <row r="1580" spans="2:9" x14ac:dyDescent="0.25">
      <c r="B1580" s="1">
        <v>37477</v>
      </c>
      <c r="C1580">
        <v>961.95</v>
      </c>
      <c r="D1580">
        <v>953.8</v>
      </c>
      <c r="E1580">
        <v>963.85</v>
      </c>
      <c r="F1580">
        <v>948</v>
      </c>
      <c r="G1580" s="3">
        <f t="shared" si="74"/>
        <v>8.8091867232973353E-3</v>
      </c>
      <c r="H1580" s="2">
        <f t="shared" si="72"/>
        <v>15.850000000000023</v>
      </c>
      <c r="I1580" s="3">
        <f t="shared" si="73"/>
        <v>1.6617739568043639E-2</v>
      </c>
    </row>
    <row r="1581" spans="2:9" x14ac:dyDescent="0.25">
      <c r="B1581" s="1">
        <v>37480</v>
      </c>
      <c r="C1581">
        <v>969.85</v>
      </c>
      <c r="D1581">
        <v>961.15</v>
      </c>
      <c r="E1581">
        <v>971.55</v>
      </c>
      <c r="F1581">
        <v>961.15</v>
      </c>
      <c r="G1581" s="3">
        <f t="shared" si="74"/>
        <v>8.212485056395824E-3</v>
      </c>
      <c r="H1581" s="2">
        <f t="shared" si="72"/>
        <v>10.399999999999977</v>
      </c>
      <c r="I1581" s="3">
        <f t="shared" si="73"/>
        <v>1.0820371430057719E-2</v>
      </c>
    </row>
    <row r="1582" spans="2:9" x14ac:dyDescent="0.25">
      <c r="B1582" s="1">
        <v>37481</v>
      </c>
      <c r="C1582">
        <v>976.05</v>
      </c>
      <c r="D1582">
        <v>970.4</v>
      </c>
      <c r="E1582">
        <v>977.2</v>
      </c>
      <c r="F1582">
        <v>969.9</v>
      </c>
      <c r="G1582" s="3">
        <f t="shared" si="74"/>
        <v>6.3927411455380057E-3</v>
      </c>
      <c r="H1582" s="2">
        <f t="shared" si="72"/>
        <v>7.3000000000000682</v>
      </c>
      <c r="I1582" s="3">
        <f t="shared" si="73"/>
        <v>7.5226710634790483E-3</v>
      </c>
    </row>
    <row r="1583" spans="2:9" x14ac:dyDescent="0.25">
      <c r="B1583" s="1">
        <v>37482</v>
      </c>
      <c r="C1583">
        <v>969.65</v>
      </c>
      <c r="D1583">
        <v>976.05</v>
      </c>
      <c r="E1583">
        <v>976.25</v>
      </c>
      <c r="F1583">
        <v>967.25</v>
      </c>
      <c r="G1583" s="3">
        <f t="shared" si="74"/>
        <v>-6.5570411351877356E-3</v>
      </c>
      <c r="H1583" s="2">
        <f t="shared" si="72"/>
        <v>9</v>
      </c>
      <c r="I1583" s="3">
        <f t="shared" si="73"/>
        <v>9.2208390963577688E-3</v>
      </c>
    </row>
    <row r="1584" spans="2:9" x14ac:dyDescent="0.25">
      <c r="B1584" s="1">
        <v>37484</v>
      </c>
      <c r="C1584">
        <v>979.25</v>
      </c>
      <c r="D1584">
        <v>970.75</v>
      </c>
      <c r="E1584">
        <v>981.2</v>
      </c>
      <c r="F1584">
        <v>968.35</v>
      </c>
      <c r="G1584" s="3">
        <f t="shared" si="74"/>
        <v>9.9004795544783697E-3</v>
      </c>
      <c r="H1584" s="2">
        <f t="shared" si="72"/>
        <v>12.850000000000023</v>
      </c>
      <c r="I1584" s="3">
        <f t="shared" si="73"/>
        <v>1.3237187741437057E-2</v>
      </c>
    </row>
    <row r="1585" spans="2:9" x14ac:dyDescent="0.25">
      <c r="B1585" s="1">
        <v>37487</v>
      </c>
      <c r="C1585">
        <v>979.85</v>
      </c>
      <c r="D1585">
        <v>979.4</v>
      </c>
      <c r="E1585">
        <v>983.55</v>
      </c>
      <c r="F1585">
        <v>978.2</v>
      </c>
      <c r="G1585" s="3">
        <f t="shared" si="74"/>
        <v>6.1271381159055949E-4</v>
      </c>
      <c r="H1585" s="2">
        <f t="shared" si="72"/>
        <v>5.3499999999999091</v>
      </c>
      <c r="I1585" s="3">
        <f t="shared" si="73"/>
        <v>5.4625280784152633E-3</v>
      </c>
    </row>
    <row r="1586" spans="2:9" x14ac:dyDescent="0.25">
      <c r="B1586" s="1">
        <v>37488</v>
      </c>
      <c r="C1586">
        <v>988.55</v>
      </c>
      <c r="D1586">
        <v>979.75</v>
      </c>
      <c r="E1586">
        <v>990.85</v>
      </c>
      <c r="F1586">
        <v>979.05</v>
      </c>
      <c r="G1586" s="3">
        <f t="shared" si="74"/>
        <v>8.8789100372506091E-3</v>
      </c>
      <c r="H1586" s="2">
        <f t="shared" si="72"/>
        <v>11.800000000000068</v>
      </c>
      <c r="I1586" s="3">
        <f t="shared" si="73"/>
        <v>1.2043888747129439E-2</v>
      </c>
    </row>
    <row r="1587" spans="2:9" x14ac:dyDescent="0.25">
      <c r="B1587" s="1">
        <v>37489</v>
      </c>
      <c r="C1587">
        <v>988.45</v>
      </c>
      <c r="D1587">
        <v>988.6</v>
      </c>
      <c r="E1587">
        <v>994.25</v>
      </c>
      <c r="F1587">
        <v>984.35</v>
      </c>
      <c r="G1587" s="3">
        <f t="shared" si="74"/>
        <v>-1.0115826210099765E-4</v>
      </c>
      <c r="H1587" s="2">
        <f t="shared" si="72"/>
        <v>9.8999999999999773</v>
      </c>
      <c r="I1587" s="3">
        <f t="shared" si="73"/>
        <v>1.0014161440420773E-2</v>
      </c>
    </row>
    <row r="1588" spans="2:9" x14ac:dyDescent="0.25">
      <c r="B1588" s="1">
        <v>37490</v>
      </c>
      <c r="C1588">
        <v>985.7</v>
      </c>
      <c r="D1588">
        <v>988.55</v>
      </c>
      <c r="E1588">
        <v>995.3</v>
      </c>
      <c r="F1588">
        <v>983.45</v>
      </c>
      <c r="G1588" s="3">
        <f t="shared" si="74"/>
        <v>-2.7821336435833732E-3</v>
      </c>
      <c r="H1588" s="2">
        <f t="shared" si="72"/>
        <v>11.849999999999909</v>
      </c>
      <c r="I1588" s="3">
        <f t="shared" si="73"/>
        <v>1.1987254058975175E-2</v>
      </c>
    </row>
    <row r="1589" spans="2:9" x14ac:dyDescent="0.25">
      <c r="B1589" s="1">
        <v>37491</v>
      </c>
      <c r="C1589">
        <v>995.2</v>
      </c>
      <c r="D1589">
        <v>985.75</v>
      </c>
      <c r="E1589">
        <v>996.4</v>
      </c>
      <c r="F1589">
        <v>984.7</v>
      </c>
      <c r="G1589" s="3">
        <f t="shared" si="74"/>
        <v>9.6378208379832575E-3</v>
      </c>
      <c r="H1589" s="2">
        <f t="shared" si="72"/>
        <v>11.699999999999932</v>
      </c>
      <c r="I1589" s="3">
        <f t="shared" si="73"/>
        <v>1.1869135176261661E-2</v>
      </c>
    </row>
    <row r="1590" spans="2:9" x14ac:dyDescent="0.25">
      <c r="B1590" s="1">
        <v>37494</v>
      </c>
      <c r="C1590">
        <v>998.85</v>
      </c>
      <c r="D1590">
        <v>992.4</v>
      </c>
      <c r="E1590" s="2">
        <v>1001.45</v>
      </c>
      <c r="F1590">
        <v>986.15</v>
      </c>
      <c r="G1590" s="3">
        <f t="shared" si="74"/>
        <v>3.6676045016077463E-3</v>
      </c>
      <c r="H1590" s="2">
        <f t="shared" si="72"/>
        <v>15.300000000000068</v>
      </c>
      <c r="I1590" s="3">
        <f t="shared" si="73"/>
        <v>1.5417170495767905E-2</v>
      </c>
    </row>
    <row r="1591" spans="2:9" x14ac:dyDescent="0.25">
      <c r="B1591" s="1">
        <v>37495</v>
      </c>
      <c r="C1591">
        <v>987.7</v>
      </c>
      <c r="D1591">
        <v>998.85</v>
      </c>
      <c r="E1591" s="2">
        <v>1003.3</v>
      </c>
      <c r="F1591">
        <v>985.7</v>
      </c>
      <c r="G1591" s="3">
        <f t="shared" si="74"/>
        <v>-1.1162837262852277E-2</v>
      </c>
      <c r="H1591" s="2">
        <f t="shared" si="72"/>
        <v>17.599999999999909</v>
      </c>
      <c r="I1591" s="3">
        <f t="shared" si="73"/>
        <v>1.7620263302798127E-2</v>
      </c>
    </row>
    <row r="1592" spans="2:9" x14ac:dyDescent="0.25">
      <c r="B1592" s="1">
        <v>37496</v>
      </c>
      <c r="C1592">
        <v>985.7</v>
      </c>
      <c r="D1592">
        <v>987.35</v>
      </c>
      <c r="E1592">
        <v>988.1</v>
      </c>
      <c r="F1592">
        <v>981.1</v>
      </c>
      <c r="G1592" s="3">
        <f t="shared" si="74"/>
        <v>-2.02490634808139E-3</v>
      </c>
      <c r="H1592" s="2">
        <f t="shared" si="72"/>
        <v>7</v>
      </c>
      <c r="I1592" s="3">
        <f t="shared" si="73"/>
        <v>7.0896845090393477E-3</v>
      </c>
    </row>
    <row r="1593" spans="2:9" x14ac:dyDescent="0.25">
      <c r="B1593" s="1">
        <v>37497</v>
      </c>
      <c r="C1593">
        <v>987.25</v>
      </c>
      <c r="D1593">
        <v>985.85</v>
      </c>
      <c r="E1593">
        <v>989.4</v>
      </c>
      <c r="F1593">
        <v>981.45</v>
      </c>
      <c r="G1593" s="3">
        <f t="shared" si="74"/>
        <v>1.5724865577761982E-3</v>
      </c>
      <c r="H1593" s="2">
        <f t="shared" si="72"/>
        <v>7.9499999999999318</v>
      </c>
      <c r="I1593" s="3">
        <f t="shared" si="73"/>
        <v>8.0641071156869019E-3</v>
      </c>
    </row>
    <row r="1594" spans="2:9" x14ac:dyDescent="0.25">
      <c r="B1594" s="1">
        <v>37498</v>
      </c>
      <c r="C1594" s="2">
        <v>1010.6</v>
      </c>
      <c r="D1594">
        <v>987.65</v>
      </c>
      <c r="E1594" s="2">
        <v>1012.75</v>
      </c>
      <c r="F1594">
        <v>986.7</v>
      </c>
      <c r="G1594" s="3">
        <f t="shared" si="74"/>
        <v>2.3651557356292763E-2</v>
      </c>
      <c r="H1594" s="2">
        <f t="shared" si="72"/>
        <v>26.049999999999955</v>
      </c>
      <c r="I1594" s="3">
        <f t="shared" si="73"/>
        <v>2.6375740393864179E-2</v>
      </c>
    </row>
    <row r="1595" spans="2:9" x14ac:dyDescent="0.25">
      <c r="B1595" s="1">
        <v>37501</v>
      </c>
      <c r="C1595" s="2">
        <v>1013.5</v>
      </c>
      <c r="D1595" s="2">
        <v>1010.9</v>
      </c>
      <c r="E1595" s="2">
        <v>1024.6500000000001</v>
      </c>
      <c r="F1595" s="2">
        <v>1010.85</v>
      </c>
      <c r="G1595" s="3">
        <f t="shared" si="74"/>
        <v>2.8695824262814362E-3</v>
      </c>
      <c r="H1595" s="2">
        <f t="shared" si="72"/>
        <v>13.800000000000068</v>
      </c>
      <c r="I1595" s="3">
        <f t="shared" si="73"/>
        <v>1.3651201899297723E-2</v>
      </c>
    </row>
    <row r="1596" spans="2:9" x14ac:dyDescent="0.25">
      <c r="B1596" s="1">
        <v>37502</v>
      </c>
      <c r="C1596" s="2">
        <v>1001.1</v>
      </c>
      <c r="D1596" s="2">
        <v>1013.65</v>
      </c>
      <c r="E1596" s="2">
        <v>1014.8</v>
      </c>
      <c r="F1596">
        <v>999.4</v>
      </c>
      <c r="G1596" s="3">
        <f t="shared" si="74"/>
        <v>-1.2234829797730606E-2</v>
      </c>
      <c r="H1596" s="2">
        <f t="shared" si="72"/>
        <v>15.399999999999977</v>
      </c>
      <c r="I1596" s="3">
        <f t="shared" si="73"/>
        <v>1.5192620727075399E-2</v>
      </c>
    </row>
    <row r="1597" spans="2:9" x14ac:dyDescent="0.25">
      <c r="B1597" s="1">
        <v>37503</v>
      </c>
      <c r="C1597" s="2">
        <v>1006.95</v>
      </c>
      <c r="D1597" s="2">
        <v>1000.7</v>
      </c>
      <c r="E1597" s="2">
        <v>1008.8</v>
      </c>
      <c r="F1597">
        <v>990.85</v>
      </c>
      <c r="G1597" s="3">
        <f t="shared" si="74"/>
        <v>5.8435720707221694E-3</v>
      </c>
      <c r="H1597" s="2">
        <f t="shared" si="72"/>
        <v>17.949999999999932</v>
      </c>
      <c r="I1597" s="3">
        <f t="shared" si="73"/>
        <v>1.7937443789347387E-2</v>
      </c>
    </row>
    <row r="1598" spans="2:9" x14ac:dyDescent="0.25">
      <c r="B1598" s="1">
        <v>37504</v>
      </c>
      <c r="C1598" s="2">
        <v>1008.6</v>
      </c>
      <c r="D1598" s="2">
        <v>1006.9</v>
      </c>
      <c r="E1598" s="2">
        <v>1013.45</v>
      </c>
      <c r="F1598" s="2">
        <v>1004.2</v>
      </c>
      <c r="G1598" s="3">
        <f t="shared" si="74"/>
        <v>1.6386116490392233E-3</v>
      </c>
      <c r="H1598" s="2">
        <f t="shared" si="72"/>
        <v>9.25</v>
      </c>
      <c r="I1598" s="3">
        <f t="shared" si="73"/>
        <v>9.1866123746151551E-3</v>
      </c>
    </row>
    <row r="1599" spans="2:9" x14ac:dyDescent="0.25">
      <c r="B1599" s="1">
        <v>37505</v>
      </c>
      <c r="C1599">
        <v>995.2</v>
      </c>
      <c r="D1599" s="2">
        <v>1008.45</v>
      </c>
      <c r="E1599" s="2">
        <v>1008.45</v>
      </c>
      <c r="F1599">
        <v>992.7</v>
      </c>
      <c r="G1599" s="3">
        <f t="shared" si="74"/>
        <v>-1.3285742613523666E-2</v>
      </c>
      <c r="H1599" s="2">
        <f t="shared" si="72"/>
        <v>15.75</v>
      </c>
      <c r="I1599" s="3">
        <f t="shared" si="73"/>
        <v>1.5618027666220436E-2</v>
      </c>
    </row>
    <row r="1600" spans="2:9" x14ac:dyDescent="0.25">
      <c r="B1600" s="1">
        <v>37508</v>
      </c>
      <c r="C1600">
        <v>998.55</v>
      </c>
      <c r="D1600">
        <v>992.05</v>
      </c>
      <c r="E1600" s="2">
        <v>1005.85</v>
      </c>
      <c r="F1600">
        <v>985.25</v>
      </c>
      <c r="G1600" s="3">
        <f t="shared" si="74"/>
        <v>3.3661575562700108E-3</v>
      </c>
      <c r="H1600" s="2">
        <f t="shared" si="72"/>
        <v>20.600000000000023</v>
      </c>
      <c r="I1600" s="3">
        <f t="shared" si="73"/>
        <v>2.0765082405120733E-2</v>
      </c>
    </row>
    <row r="1601" spans="2:9" x14ac:dyDescent="0.25">
      <c r="B1601" s="1">
        <v>37510</v>
      </c>
      <c r="C1601">
        <v>998.85</v>
      </c>
      <c r="D1601">
        <v>998.6</v>
      </c>
      <c r="E1601" s="2">
        <v>1002.35</v>
      </c>
      <c r="F1601">
        <v>993.35</v>
      </c>
      <c r="G1601" s="3">
        <f t="shared" si="74"/>
        <v>3.0043563166604059E-4</v>
      </c>
      <c r="H1601" s="2">
        <f t="shared" si="72"/>
        <v>9</v>
      </c>
      <c r="I1601" s="3">
        <f t="shared" si="73"/>
        <v>9.0126176647306235E-3</v>
      </c>
    </row>
    <row r="1602" spans="2:9" x14ac:dyDescent="0.25">
      <c r="B1602" s="1">
        <v>37511</v>
      </c>
      <c r="C1602" s="2">
        <v>1001.65</v>
      </c>
      <c r="D1602">
        <v>998.95</v>
      </c>
      <c r="E1602" s="2">
        <v>1005.15</v>
      </c>
      <c r="F1602">
        <v>998.8</v>
      </c>
      <c r="G1602" s="3">
        <f t="shared" si="74"/>
        <v>2.8032237072632693E-3</v>
      </c>
      <c r="H1602" s="2">
        <f t="shared" si="72"/>
        <v>6.3500000000000227</v>
      </c>
      <c r="I1602" s="3">
        <f t="shared" si="73"/>
        <v>6.3566745082336675E-3</v>
      </c>
    </row>
    <row r="1603" spans="2:9" x14ac:dyDescent="0.25">
      <c r="B1603" s="1">
        <v>37512</v>
      </c>
      <c r="C1603">
        <v>992</v>
      </c>
      <c r="D1603" s="2">
        <v>1001.4</v>
      </c>
      <c r="E1603" s="2">
        <v>1001.4</v>
      </c>
      <c r="F1603">
        <v>989.85</v>
      </c>
      <c r="G1603" s="3">
        <f t="shared" si="74"/>
        <v>-9.6341037288474318E-3</v>
      </c>
      <c r="H1603" s="2">
        <f t="shared" si="72"/>
        <v>11.549999999999955</v>
      </c>
      <c r="I1603" s="3">
        <f t="shared" si="73"/>
        <v>1.1533852606351064E-2</v>
      </c>
    </row>
    <row r="1604" spans="2:9" x14ac:dyDescent="0.25">
      <c r="B1604" s="1">
        <v>37515</v>
      </c>
      <c r="C1604">
        <v>985.75</v>
      </c>
      <c r="D1604">
        <v>991.75</v>
      </c>
      <c r="E1604">
        <v>997</v>
      </c>
      <c r="F1604">
        <v>983.55</v>
      </c>
      <c r="G1604" s="3">
        <f t="shared" si="74"/>
        <v>-6.3004032258064946E-3</v>
      </c>
      <c r="H1604" s="2">
        <f t="shared" si="72"/>
        <v>13.450000000000045</v>
      </c>
      <c r="I1604" s="3">
        <f t="shared" si="73"/>
        <v>1.3561885555835689E-2</v>
      </c>
    </row>
    <row r="1605" spans="2:9" x14ac:dyDescent="0.25">
      <c r="B1605" s="1">
        <v>37516</v>
      </c>
      <c r="C1605">
        <v>994.9</v>
      </c>
      <c r="D1605">
        <v>985.75</v>
      </c>
      <c r="E1605">
        <v>996.8</v>
      </c>
      <c r="F1605">
        <v>985.75</v>
      </c>
      <c r="G1605" s="3">
        <f t="shared" si="74"/>
        <v>9.2822723814354191E-3</v>
      </c>
      <c r="H1605" s="2">
        <f t="shared" ref="H1605:H1668" si="75">E1605-F1605</f>
        <v>11.049999999999955</v>
      </c>
      <c r="I1605" s="3">
        <f t="shared" si="73"/>
        <v>1.1209738777580476E-2</v>
      </c>
    </row>
    <row r="1606" spans="2:9" x14ac:dyDescent="0.25">
      <c r="B1606" s="1">
        <v>37517</v>
      </c>
      <c r="C1606">
        <v>983.6</v>
      </c>
      <c r="D1606">
        <v>994.15</v>
      </c>
      <c r="E1606">
        <v>994.15</v>
      </c>
      <c r="F1606">
        <v>981.6</v>
      </c>
      <c r="G1606" s="3">
        <f t="shared" si="74"/>
        <v>-1.1357925419640091E-2</v>
      </c>
      <c r="H1606" s="2">
        <f t="shared" si="75"/>
        <v>12.549999999999955</v>
      </c>
      <c r="I1606" s="3">
        <f t="shared" ref="I1606:I1669" si="76">H1606/D1606</f>
        <v>1.2623849519690143E-2</v>
      </c>
    </row>
    <row r="1607" spans="2:9" x14ac:dyDescent="0.25">
      <c r="B1607" s="1">
        <v>37518</v>
      </c>
      <c r="C1607">
        <v>976.05</v>
      </c>
      <c r="D1607">
        <v>983.45</v>
      </c>
      <c r="E1607">
        <v>985.25</v>
      </c>
      <c r="F1607">
        <v>970.8</v>
      </c>
      <c r="G1607" s="3">
        <f t="shared" ref="G1607:G1670" si="77">C1607/C1606-1</f>
        <v>-7.6758845058967351E-3</v>
      </c>
      <c r="H1607" s="2">
        <f t="shared" si="75"/>
        <v>14.450000000000045</v>
      </c>
      <c r="I1607" s="3">
        <f t="shared" si="76"/>
        <v>1.4693171996542829E-2</v>
      </c>
    </row>
    <row r="1608" spans="2:9" x14ac:dyDescent="0.25">
      <c r="B1608" s="1">
        <v>37519</v>
      </c>
      <c r="C1608">
        <v>969.6</v>
      </c>
      <c r="D1608">
        <v>975.6</v>
      </c>
      <c r="E1608">
        <v>975.6</v>
      </c>
      <c r="F1608">
        <v>960.7</v>
      </c>
      <c r="G1608" s="3">
        <f t="shared" si="77"/>
        <v>-6.6082680190563403E-3</v>
      </c>
      <c r="H1608" s="2">
        <f t="shared" si="75"/>
        <v>14.899999999999977</v>
      </c>
      <c r="I1608" s="3">
        <f t="shared" si="76"/>
        <v>1.5272652726527242E-2</v>
      </c>
    </row>
    <row r="1609" spans="2:9" x14ac:dyDescent="0.25">
      <c r="B1609" s="1">
        <v>37522</v>
      </c>
      <c r="C1609">
        <v>970.3</v>
      </c>
      <c r="D1609">
        <v>969.85</v>
      </c>
      <c r="E1609">
        <v>974.75</v>
      </c>
      <c r="F1609">
        <v>967.35</v>
      </c>
      <c r="G1609" s="3">
        <f t="shared" si="77"/>
        <v>7.219471947192968E-4</v>
      </c>
      <c r="H1609" s="2">
        <f t="shared" si="75"/>
        <v>7.3999999999999773</v>
      </c>
      <c r="I1609" s="3">
        <f t="shared" si="76"/>
        <v>7.6300458833840051E-3</v>
      </c>
    </row>
    <row r="1610" spans="2:9" x14ac:dyDescent="0.25">
      <c r="B1610" s="1">
        <v>37523</v>
      </c>
      <c r="C1610">
        <v>966.2</v>
      </c>
      <c r="D1610">
        <v>969.95</v>
      </c>
      <c r="E1610">
        <v>969.95</v>
      </c>
      <c r="F1610">
        <v>960.2</v>
      </c>
      <c r="G1610" s="3">
        <f t="shared" si="77"/>
        <v>-4.2254972688857695E-3</v>
      </c>
      <c r="H1610" s="2">
        <f t="shared" si="75"/>
        <v>9.75</v>
      </c>
      <c r="I1610" s="3">
        <f t="shared" si="76"/>
        <v>1.0052064539409248E-2</v>
      </c>
    </row>
    <row r="1611" spans="2:9" x14ac:dyDescent="0.25">
      <c r="B1611" s="1">
        <v>37524</v>
      </c>
      <c r="C1611">
        <v>970.05</v>
      </c>
      <c r="D1611">
        <v>964.65</v>
      </c>
      <c r="E1611">
        <v>971.85</v>
      </c>
      <c r="F1611">
        <v>960.5</v>
      </c>
      <c r="G1611" s="3">
        <f t="shared" si="77"/>
        <v>3.9846822604014953E-3</v>
      </c>
      <c r="H1611" s="2">
        <f t="shared" si="75"/>
        <v>11.350000000000023</v>
      </c>
      <c r="I1611" s="3">
        <f t="shared" si="76"/>
        <v>1.1765925465194654E-2</v>
      </c>
    </row>
    <row r="1612" spans="2:9" x14ac:dyDescent="0.25">
      <c r="B1612" s="1">
        <v>37525</v>
      </c>
      <c r="C1612">
        <v>969.9</v>
      </c>
      <c r="D1612">
        <v>970.1</v>
      </c>
      <c r="E1612">
        <v>976.25</v>
      </c>
      <c r="F1612">
        <v>968.25</v>
      </c>
      <c r="G1612" s="3">
        <f t="shared" si="77"/>
        <v>-1.5463120457703816E-4</v>
      </c>
      <c r="H1612" s="2">
        <f t="shared" si="75"/>
        <v>8</v>
      </c>
      <c r="I1612" s="3">
        <f t="shared" si="76"/>
        <v>8.246572518297083E-3</v>
      </c>
    </row>
    <row r="1613" spans="2:9" x14ac:dyDescent="0.25">
      <c r="B1613" s="1">
        <v>37526</v>
      </c>
      <c r="C1613">
        <v>976.45</v>
      </c>
      <c r="D1613">
        <v>969.95</v>
      </c>
      <c r="E1613">
        <v>978</v>
      </c>
      <c r="F1613">
        <v>969.25</v>
      </c>
      <c r="G1613" s="3">
        <f t="shared" si="77"/>
        <v>6.7532735333539762E-3</v>
      </c>
      <c r="H1613" s="2">
        <f t="shared" si="75"/>
        <v>8.75</v>
      </c>
      <c r="I1613" s="3">
        <f t="shared" si="76"/>
        <v>9.0210835610082998E-3</v>
      </c>
    </row>
    <row r="1614" spans="2:9" x14ac:dyDescent="0.25">
      <c r="B1614" s="1">
        <v>37529</v>
      </c>
      <c r="C1614">
        <v>963.15</v>
      </c>
      <c r="D1614">
        <v>976.15</v>
      </c>
      <c r="E1614">
        <v>976.15</v>
      </c>
      <c r="F1614">
        <v>961.55</v>
      </c>
      <c r="G1614" s="3">
        <f t="shared" si="77"/>
        <v>-1.3620769112601794E-2</v>
      </c>
      <c r="H1614" s="2">
        <f t="shared" si="75"/>
        <v>14.600000000000023</v>
      </c>
      <c r="I1614" s="3">
        <f t="shared" si="76"/>
        <v>1.4956717717563923E-2</v>
      </c>
    </row>
    <row r="1615" spans="2:9" x14ac:dyDescent="0.25">
      <c r="B1615" s="1">
        <v>37530</v>
      </c>
      <c r="C1615">
        <v>955.2</v>
      </c>
      <c r="D1615">
        <v>961.15</v>
      </c>
      <c r="E1615">
        <v>964.2</v>
      </c>
      <c r="F1615">
        <v>950.3</v>
      </c>
      <c r="G1615" s="3">
        <f t="shared" si="77"/>
        <v>-8.2541660177541942E-3</v>
      </c>
      <c r="H1615" s="2">
        <f t="shared" si="75"/>
        <v>13.900000000000091</v>
      </c>
      <c r="I1615" s="3">
        <f t="shared" si="76"/>
        <v>1.4461842584404194E-2</v>
      </c>
    </row>
    <row r="1616" spans="2:9" x14ac:dyDescent="0.25">
      <c r="B1616" s="1">
        <v>37532</v>
      </c>
      <c r="C1616">
        <v>948.2</v>
      </c>
      <c r="D1616">
        <v>955.35</v>
      </c>
      <c r="E1616">
        <v>957.9</v>
      </c>
      <c r="F1616">
        <v>945.8</v>
      </c>
      <c r="G1616" s="3">
        <f t="shared" si="77"/>
        <v>-7.3283082077052475E-3</v>
      </c>
      <c r="H1616" s="2">
        <f t="shared" si="75"/>
        <v>12.100000000000023</v>
      </c>
      <c r="I1616" s="3">
        <f t="shared" si="76"/>
        <v>1.2665515256188855E-2</v>
      </c>
    </row>
    <row r="1617" spans="2:9" x14ac:dyDescent="0.25">
      <c r="B1617" s="1">
        <v>37533</v>
      </c>
      <c r="C1617">
        <v>948.2</v>
      </c>
      <c r="D1617">
        <v>948.1</v>
      </c>
      <c r="E1617">
        <v>951.8</v>
      </c>
      <c r="F1617">
        <v>944.5</v>
      </c>
      <c r="G1617" s="3">
        <f t="shared" si="77"/>
        <v>0</v>
      </c>
      <c r="H1617" s="2">
        <f t="shared" si="75"/>
        <v>7.2999999999999545</v>
      </c>
      <c r="I1617" s="3">
        <f t="shared" si="76"/>
        <v>7.6996097458073565E-3</v>
      </c>
    </row>
    <row r="1618" spans="2:9" x14ac:dyDescent="0.25">
      <c r="B1618" s="1">
        <v>37536</v>
      </c>
      <c r="C1618">
        <v>954.75</v>
      </c>
      <c r="D1618">
        <v>947.8</v>
      </c>
      <c r="E1618">
        <v>956.35</v>
      </c>
      <c r="F1618">
        <v>946.25</v>
      </c>
      <c r="G1618" s="3">
        <f t="shared" si="77"/>
        <v>6.9078253533010336E-3</v>
      </c>
      <c r="H1618" s="2">
        <f t="shared" si="75"/>
        <v>10.100000000000023</v>
      </c>
      <c r="I1618" s="3">
        <f t="shared" si="76"/>
        <v>1.0656256594218214E-2</v>
      </c>
    </row>
    <row r="1619" spans="2:9" x14ac:dyDescent="0.25">
      <c r="B1619" s="1">
        <v>37537</v>
      </c>
      <c r="C1619">
        <v>960.8</v>
      </c>
      <c r="D1619">
        <v>954.8</v>
      </c>
      <c r="E1619">
        <v>963.15</v>
      </c>
      <c r="F1619">
        <v>952.5</v>
      </c>
      <c r="G1619" s="3">
        <f t="shared" si="77"/>
        <v>6.3367373658025361E-3</v>
      </c>
      <c r="H1619" s="2">
        <f t="shared" si="75"/>
        <v>10.649999999999977</v>
      </c>
      <c r="I1619" s="3">
        <f t="shared" si="76"/>
        <v>1.1154168412232905E-2</v>
      </c>
    </row>
    <row r="1620" spans="2:9" x14ac:dyDescent="0.25">
      <c r="B1620" s="1">
        <v>37538</v>
      </c>
      <c r="C1620">
        <v>954.75</v>
      </c>
      <c r="D1620">
        <v>960.85</v>
      </c>
      <c r="E1620">
        <v>968.75</v>
      </c>
      <c r="F1620">
        <v>952.95</v>
      </c>
      <c r="G1620" s="3">
        <f t="shared" si="77"/>
        <v>-6.2968359700249499E-3</v>
      </c>
      <c r="H1620" s="2">
        <f t="shared" si="75"/>
        <v>15.799999999999955</v>
      </c>
      <c r="I1620" s="3">
        <f t="shared" si="76"/>
        <v>1.6443773741999224E-2</v>
      </c>
    </row>
    <row r="1621" spans="2:9" x14ac:dyDescent="0.25">
      <c r="B1621" s="1">
        <v>37539</v>
      </c>
      <c r="C1621">
        <v>958.45</v>
      </c>
      <c r="D1621">
        <v>954.8</v>
      </c>
      <c r="E1621">
        <v>960.45</v>
      </c>
      <c r="F1621">
        <v>945</v>
      </c>
      <c r="G1621" s="3">
        <f t="shared" si="77"/>
        <v>3.8753600418959255E-3</v>
      </c>
      <c r="H1621" s="2">
        <f t="shared" si="75"/>
        <v>15.450000000000045</v>
      </c>
      <c r="I1621" s="3">
        <f t="shared" si="76"/>
        <v>1.6181399245915423E-2</v>
      </c>
    </row>
    <row r="1622" spans="2:9" x14ac:dyDescent="0.25">
      <c r="B1622" s="1">
        <v>37540</v>
      </c>
      <c r="C1622">
        <v>971.05</v>
      </c>
      <c r="D1622">
        <v>958.45</v>
      </c>
      <c r="E1622">
        <v>973.5</v>
      </c>
      <c r="F1622">
        <v>958.45</v>
      </c>
      <c r="G1622" s="3">
        <f t="shared" si="77"/>
        <v>1.3146225676873957E-2</v>
      </c>
      <c r="H1622" s="2">
        <f t="shared" si="75"/>
        <v>15.049999999999955</v>
      </c>
      <c r="I1622" s="3">
        <f t="shared" si="76"/>
        <v>1.5702436225155152E-2</v>
      </c>
    </row>
    <row r="1623" spans="2:9" x14ac:dyDescent="0.25">
      <c r="B1623" s="1">
        <v>37543</v>
      </c>
      <c r="C1623">
        <v>972.45</v>
      </c>
      <c r="D1623">
        <v>971.5</v>
      </c>
      <c r="E1623">
        <v>976.5</v>
      </c>
      <c r="F1623">
        <v>969</v>
      </c>
      <c r="G1623" s="3">
        <f t="shared" si="77"/>
        <v>1.441738324494235E-3</v>
      </c>
      <c r="H1623" s="2">
        <f t="shared" si="75"/>
        <v>7.5</v>
      </c>
      <c r="I1623" s="3">
        <f t="shared" si="76"/>
        <v>7.7200205867215647E-3</v>
      </c>
    </row>
    <row r="1624" spans="2:9" x14ac:dyDescent="0.25">
      <c r="B1624" s="1">
        <v>37545</v>
      </c>
      <c r="C1624">
        <v>973.6</v>
      </c>
      <c r="D1624">
        <v>972.9</v>
      </c>
      <c r="E1624">
        <v>983.6</v>
      </c>
      <c r="F1624">
        <v>971.7</v>
      </c>
      <c r="G1624" s="3">
        <f t="shared" si="77"/>
        <v>1.1825800812381715E-3</v>
      </c>
      <c r="H1624" s="2">
        <f t="shared" si="75"/>
        <v>11.899999999999977</v>
      </c>
      <c r="I1624" s="3">
        <f t="shared" si="76"/>
        <v>1.2231472916024234E-2</v>
      </c>
    </row>
    <row r="1625" spans="2:9" x14ac:dyDescent="0.25">
      <c r="B1625" s="1">
        <v>37546</v>
      </c>
      <c r="C1625">
        <v>973.3</v>
      </c>
      <c r="D1625">
        <v>973.7</v>
      </c>
      <c r="E1625">
        <v>976.05</v>
      </c>
      <c r="F1625">
        <v>966.55</v>
      </c>
      <c r="G1625" s="3">
        <f t="shared" si="77"/>
        <v>-3.0813475760071984E-4</v>
      </c>
      <c r="H1625" s="2">
        <f t="shared" si="75"/>
        <v>9.5</v>
      </c>
      <c r="I1625" s="3">
        <f t="shared" si="76"/>
        <v>9.7565985416452703E-3</v>
      </c>
    </row>
    <row r="1626" spans="2:9" x14ac:dyDescent="0.25">
      <c r="B1626" s="1">
        <v>37547</v>
      </c>
      <c r="C1626">
        <v>971.65</v>
      </c>
      <c r="D1626">
        <v>973.8</v>
      </c>
      <c r="E1626">
        <v>982.5</v>
      </c>
      <c r="F1626">
        <v>968.8</v>
      </c>
      <c r="G1626" s="3">
        <f t="shared" si="77"/>
        <v>-1.6952635364224644E-3</v>
      </c>
      <c r="H1626" s="2">
        <f t="shared" si="75"/>
        <v>13.700000000000045</v>
      </c>
      <c r="I1626" s="3">
        <f t="shared" si="76"/>
        <v>1.4068597247894893E-2</v>
      </c>
    </row>
    <row r="1627" spans="2:9" x14ac:dyDescent="0.25">
      <c r="B1627" s="1">
        <v>37550</v>
      </c>
      <c r="C1627">
        <v>967.35</v>
      </c>
      <c r="D1627">
        <v>971.75</v>
      </c>
      <c r="E1627">
        <v>976.2</v>
      </c>
      <c r="F1627">
        <v>965.65</v>
      </c>
      <c r="G1627" s="3">
        <f t="shared" si="77"/>
        <v>-4.4254618432563175E-3</v>
      </c>
      <c r="H1627" s="2">
        <f t="shared" si="75"/>
        <v>10.550000000000068</v>
      </c>
      <c r="I1627" s="3">
        <f t="shared" si="76"/>
        <v>1.0856701826601563E-2</v>
      </c>
    </row>
    <row r="1628" spans="2:9" x14ac:dyDescent="0.25">
      <c r="B1628" s="1">
        <v>37551</v>
      </c>
      <c r="C1628">
        <v>962.5</v>
      </c>
      <c r="D1628">
        <v>967.5</v>
      </c>
      <c r="E1628">
        <v>976.35</v>
      </c>
      <c r="F1628">
        <v>961.65</v>
      </c>
      <c r="G1628" s="3">
        <f t="shared" si="77"/>
        <v>-5.0136972140383262E-3</v>
      </c>
      <c r="H1628" s="2">
        <f t="shared" si="75"/>
        <v>14.700000000000045</v>
      </c>
      <c r="I1628" s="3">
        <f t="shared" si="76"/>
        <v>1.5193798449612449E-2</v>
      </c>
    </row>
    <row r="1629" spans="2:9" x14ac:dyDescent="0.25">
      <c r="B1629" s="1">
        <v>37552</v>
      </c>
      <c r="C1629">
        <v>957.35</v>
      </c>
      <c r="D1629">
        <v>962.9</v>
      </c>
      <c r="E1629">
        <v>963.75</v>
      </c>
      <c r="F1629">
        <v>955.45</v>
      </c>
      <c r="G1629" s="3">
        <f t="shared" si="77"/>
        <v>-5.350649350649328E-3</v>
      </c>
      <c r="H1629" s="2">
        <f t="shared" si="75"/>
        <v>8.2999999999999545</v>
      </c>
      <c r="I1629" s="3">
        <f t="shared" si="76"/>
        <v>8.6197943711703758E-3</v>
      </c>
    </row>
    <row r="1630" spans="2:9" x14ac:dyDescent="0.25">
      <c r="B1630" s="1">
        <v>37553</v>
      </c>
      <c r="C1630">
        <v>946.9</v>
      </c>
      <c r="D1630">
        <v>957.7</v>
      </c>
      <c r="E1630">
        <v>959.8</v>
      </c>
      <c r="F1630">
        <v>945</v>
      </c>
      <c r="G1630" s="3">
        <f t="shared" si="77"/>
        <v>-1.0915548127644059E-2</v>
      </c>
      <c r="H1630" s="2">
        <f t="shared" si="75"/>
        <v>14.799999999999955</v>
      </c>
      <c r="I1630" s="3">
        <f t="shared" si="76"/>
        <v>1.5453691135010916E-2</v>
      </c>
    </row>
    <row r="1631" spans="2:9" x14ac:dyDescent="0.25">
      <c r="B1631" s="1">
        <v>37554</v>
      </c>
      <c r="C1631">
        <v>932.2</v>
      </c>
      <c r="D1631">
        <v>946.8</v>
      </c>
      <c r="E1631">
        <v>946.8</v>
      </c>
      <c r="F1631">
        <v>929.25</v>
      </c>
      <c r="G1631" s="3">
        <f t="shared" si="77"/>
        <v>-1.5524342591614726E-2</v>
      </c>
      <c r="H1631" s="2">
        <f t="shared" si="75"/>
        <v>17.549999999999955</v>
      </c>
      <c r="I1631" s="3">
        <f t="shared" si="76"/>
        <v>1.8536121673003756E-2</v>
      </c>
    </row>
    <row r="1632" spans="2:9" x14ac:dyDescent="0.25">
      <c r="B1632" s="1">
        <v>37557</v>
      </c>
      <c r="C1632">
        <v>922.7</v>
      </c>
      <c r="D1632">
        <v>932.35</v>
      </c>
      <c r="E1632">
        <v>934.9</v>
      </c>
      <c r="F1632">
        <v>920.1</v>
      </c>
      <c r="G1632" s="3">
        <f t="shared" si="77"/>
        <v>-1.0190946148895041E-2</v>
      </c>
      <c r="H1632" s="2">
        <f t="shared" si="75"/>
        <v>14.799999999999955</v>
      </c>
      <c r="I1632" s="3">
        <f t="shared" si="76"/>
        <v>1.5873867109990836E-2</v>
      </c>
    </row>
    <row r="1633" spans="2:9" x14ac:dyDescent="0.25">
      <c r="B1633" s="1">
        <v>37558</v>
      </c>
      <c r="C1633">
        <v>936.9</v>
      </c>
      <c r="D1633">
        <v>922.55</v>
      </c>
      <c r="E1633">
        <v>939.7</v>
      </c>
      <c r="F1633">
        <v>921.65</v>
      </c>
      <c r="G1633" s="3">
        <f t="shared" si="77"/>
        <v>1.5389617427115976E-2</v>
      </c>
      <c r="H1633" s="2">
        <f t="shared" si="75"/>
        <v>18.050000000000068</v>
      </c>
      <c r="I1633" s="3">
        <f t="shared" si="76"/>
        <v>1.9565335212183697E-2</v>
      </c>
    </row>
    <row r="1634" spans="2:9" x14ac:dyDescent="0.25">
      <c r="B1634" s="1">
        <v>37559</v>
      </c>
      <c r="C1634">
        <v>937.75</v>
      </c>
      <c r="D1634">
        <v>936.15</v>
      </c>
      <c r="E1634">
        <v>944.35</v>
      </c>
      <c r="F1634">
        <v>935.9</v>
      </c>
      <c r="G1634" s="3">
        <f t="shared" si="77"/>
        <v>9.0724730494184946E-4</v>
      </c>
      <c r="H1634" s="2">
        <f t="shared" si="75"/>
        <v>8.4500000000000455</v>
      </c>
      <c r="I1634" s="3">
        <f t="shared" si="76"/>
        <v>9.0263312503338633E-3</v>
      </c>
    </row>
    <row r="1635" spans="2:9" x14ac:dyDescent="0.25">
      <c r="B1635" s="1">
        <v>37560</v>
      </c>
      <c r="C1635">
        <v>951.4</v>
      </c>
      <c r="D1635">
        <v>937.35</v>
      </c>
      <c r="E1635">
        <v>953.3</v>
      </c>
      <c r="F1635">
        <v>937.05</v>
      </c>
      <c r="G1635" s="3">
        <f t="shared" si="77"/>
        <v>1.4556118368435067E-2</v>
      </c>
      <c r="H1635" s="2">
        <f t="shared" si="75"/>
        <v>16.25</v>
      </c>
      <c r="I1635" s="3">
        <f t="shared" si="76"/>
        <v>1.7336107110471007E-2</v>
      </c>
    </row>
    <row r="1636" spans="2:9" x14ac:dyDescent="0.25">
      <c r="B1636" s="1">
        <v>37561</v>
      </c>
      <c r="C1636">
        <v>951.45</v>
      </c>
      <c r="D1636">
        <v>951.45</v>
      </c>
      <c r="E1636">
        <v>956.95</v>
      </c>
      <c r="F1636">
        <v>946.4</v>
      </c>
      <c r="G1636" s="3">
        <f t="shared" si="77"/>
        <v>5.2554130754778328E-5</v>
      </c>
      <c r="H1636" s="2">
        <f t="shared" si="75"/>
        <v>10.550000000000068</v>
      </c>
      <c r="I1636" s="3">
        <f t="shared" si="76"/>
        <v>1.1088338851227146E-2</v>
      </c>
    </row>
    <row r="1637" spans="2:9" x14ac:dyDescent="0.25">
      <c r="B1637" s="1">
        <v>37564</v>
      </c>
      <c r="C1637">
        <v>962.1</v>
      </c>
      <c r="D1637">
        <v>951.6</v>
      </c>
      <c r="E1637">
        <v>965.5</v>
      </c>
      <c r="F1637">
        <v>951.6</v>
      </c>
      <c r="G1637" s="3">
        <f t="shared" si="77"/>
        <v>1.1193441589153474E-2</v>
      </c>
      <c r="H1637" s="2">
        <f t="shared" si="75"/>
        <v>13.899999999999977</v>
      </c>
      <c r="I1637" s="3">
        <f t="shared" si="76"/>
        <v>1.4606977721731796E-2</v>
      </c>
    </row>
    <row r="1638" spans="2:9" x14ac:dyDescent="0.25">
      <c r="B1638" s="1">
        <v>37565</v>
      </c>
      <c r="C1638">
        <v>962.3</v>
      </c>
      <c r="D1638">
        <v>962.85</v>
      </c>
      <c r="E1638">
        <v>963.7</v>
      </c>
      <c r="F1638">
        <v>957.2</v>
      </c>
      <c r="G1638" s="3">
        <f t="shared" si="77"/>
        <v>2.0787859889814797E-4</v>
      </c>
      <c r="H1638" s="2">
        <f t="shared" si="75"/>
        <v>6.5</v>
      </c>
      <c r="I1638" s="3">
        <f t="shared" si="76"/>
        <v>6.7507919198213631E-3</v>
      </c>
    </row>
    <row r="1639" spans="2:9" x14ac:dyDescent="0.25">
      <c r="B1639" s="1">
        <v>37567</v>
      </c>
      <c r="C1639">
        <v>960.7</v>
      </c>
      <c r="D1639">
        <v>962.35</v>
      </c>
      <c r="E1639">
        <v>970.2</v>
      </c>
      <c r="F1639">
        <v>957.95</v>
      </c>
      <c r="G1639" s="3">
        <f t="shared" si="77"/>
        <v>-1.6626831549412247E-3</v>
      </c>
      <c r="H1639" s="2">
        <f t="shared" si="75"/>
        <v>12.25</v>
      </c>
      <c r="I1639" s="3">
        <f t="shared" si="76"/>
        <v>1.2729256507507664E-2</v>
      </c>
    </row>
    <row r="1640" spans="2:9" x14ac:dyDescent="0.25">
      <c r="B1640" s="1">
        <v>37568</v>
      </c>
      <c r="C1640">
        <v>956.95</v>
      </c>
      <c r="D1640">
        <v>960.5</v>
      </c>
      <c r="E1640">
        <v>960.95</v>
      </c>
      <c r="F1640">
        <v>954.35</v>
      </c>
      <c r="G1640" s="3">
        <f t="shared" si="77"/>
        <v>-3.9034037680857336E-3</v>
      </c>
      <c r="H1640" s="2">
        <f t="shared" si="75"/>
        <v>6.6000000000000227</v>
      </c>
      <c r="I1640" s="3">
        <f t="shared" si="76"/>
        <v>6.871421134825635E-3</v>
      </c>
    </row>
    <row r="1641" spans="2:9" x14ac:dyDescent="0.25">
      <c r="B1641" s="1">
        <v>37571</v>
      </c>
      <c r="C1641">
        <v>954.05</v>
      </c>
      <c r="D1641">
        <v>957.55</v>
      </c>
      <c r="E1641">
        <v>958.55</v>
      </c>
      <c r="F1641">
        <v>952.1</v>
      </c>
      <c r="G1641" s="3">
        <f t="shared" si="77"/>
        <v>-3.0304613616177756E-3</v>
      </c>
      <c r="H1641" s="2">
        <f t="shared" si="75"/>
        <v>6.4499999999999318</v>
      </c>
      <c r="I1641" s="3">
        <f t="shared" si="76"/>
        <v>6.7359406819486522E-3</v>
      </c>
    </row>
    <row r="1642" spans="2:9" x14ac:dyDescent="0.25">
      <c r="B1642" s="1">
        <v>37572</v>
      </c>
      <c r="C1642">
        <v>959.85</v>
      </c>
      <c r="D1642">
        <v>953.9</v>
      </c>
      <c r="E1642">
        <v>960.85</v>
      </c>
      <c r="F1642">
        <v>948.05</v>
      </c>
      <c r="G1642" s="3">
        <f t="shared" si="77"/>
        <v>6.0793459462293864E-3</v>
      </c>
      <c r="H1642" s="2">
        <f t="shared" si="75"/>
        <v>12.800000000000068</v>
      </c>
      <c r="I1642" s="3">
        <f t="shared" si="76"/>
        <v>1.3418597337247163E-2</v>
      </c>
    </row>
    <row r="1643" spans="2:9" x14ac:dyDescent="0.25">
      <c r="B1643" s="1">
        <v>37573</v>
      </c>
      <c r="C1643">
        <v>962.65</v>
      </c>
      <c r="D1643">
        <v>960.35</v>
      </c>
      <c r="E1643">
        <v>965.75</v>
      </c>
      <c r="F1643">
        <v>956.9</v>
      </c>
      <c r="G1643" s="3">
        <f t="shared" si="77"/>
        <v>2.9171224670521134E-3</v>
      </c>
      <c r="H1643" s="2">
        <f t="shared" si="75"/>
        <v>8.8500000000000227</v>
      </c>
      <c r="I1643" s="3">
        <f t="shared" si="76"/>
        <v>9.2153902223148041E-3</v>
      </c>
    </row>
    <row r="1644" spans="2:9" x14ac:dyDescent="0.25">
      <c r="B1644" s="1">
        <v>37574</v>
      </c>
      <c r="C1644">
        <v>971.9</v>
      </c>
      <c r="D1644">
        <v>964.15</v>
      </c>
      <c r="E1644">
        <v>974.1</v>
      </c>
      <c r="F1644">
        <v>963.5</v>
      </c>
      <c r="G1644" s="3">
        <f t="shared" si="77"/>
        <v>9.6088921207084788E-3</v>
      </c>
      <c r="H1644" s="2">
        <f t="shared" si="75"/>
        <v>10.600000000000023</v>
      </c>
      <c r="I1644" s="3">
        <f t="shared" si="76"/>
        <v>1.09941399159882E-2</v>
      </c>
    </row>
    <row r="1645" spans="2:9" x14ac:dyDescent="0.25">
      <c r="B1645" s="1">
        <v>37575</v>
      </c>
      <c r="C1645">
        <v>990.35</v>
      </c>
      <c r="D1645">
        <v>972.3</v>
      </c>
      <c r="E1645">
        <v>992.05</v>
      </c>
      <c r="F1645">
        <v>972.3</v>
      </c>
      <c r="G1645" s="3">
        <f t="shared" si="77"/>
        <v>1.8983434509723285E-2</v>
      </c>
      <c r="H1645" s="2">
        <f t="shared" si="75"/>
        <v>19.75</v>
      </c>
      <c r="I1645" s="3">
        <f t="shared" si="76"/>
        <v>2.0312660701429602E-2</v>
      </c>
    </row>
    <row r="1646" spans="2:9" x14ac:dyDescent="0.25">
      <c r="B1646" s="1">
        <v>37578</v>
      </c>
      <c r="C1646">
        <v>996.85</v>
      </c>
      <c r="D1646">
        <v>990.35</v>
      </c>
      <c r="E1646" s="2">
        <v>1000.3</v>
      </c>
      <c r="F1646">
        <v>989.05</v>
      </c>
      <c r="G1646" s="3">
        <f t="shared" si="77"/>
        <v>6.5633361942747381E-3</v>
      </c>
      <c r="H1646" s="2">
        <f t="shared" si="75"/>
        <v>11.25</v>
      </c>
      <c r="I1646" s="3">
        <f t="shared" si="76"/>
        <v>1.1359620336244762E-2</v>
      </c>
    </row>
    <row r="1647" spans="2:9" x14ac:dyDescent="0.25">
      <c r="B1647" s="1">
        <v>37580</v>
      </c>
      <c r="C1647" s="2">
        <v>1001.6</v>
      </c>
      <c r="D1647">
        <v>996.85</v>
      </c>
      <c r="E1647" s="2">
        <v>1007.2</v>
      </c>
      <c r="F1647">
        <v>992.3</v>
      </c>
      <c r="G1647" s="3">
        <f t="shared" si="77"/>
        <v>4.7650097808096259E-3</v>
      </c>
      <c r="H1647" s="2">
        <f t="shared" si="75"/>
        <v>14.900000000000091</v>
      </c>
      <c r="I1647" s="3">
        <f t="shared" si="76"/>
        <v>1.4947083312434259E-2</v>
      </c>
    </row>
    <row r="1648" spans="2:9" x14ac:dyDescent="0.25">
      <c r="B1648" s="1">
        <v>37581</v>
      </c>
      <c r="C1648" s="2">
        <v>1008.75</v>
      </c>
      <c r="D1648" s="2">
        <v>1001.8</v>
      </c>
      <c r="E1648" s="2">
        <v>1012.75</v>
      </c>
      <c r="F1648" s="2">
        <v>1001.8</v>
      </c>
      <c r="G1648" s="3">
        <f t="shared" si="77"/>
        <v>7.1385782747603876E-3</v>
      </c>
      <c r="H1648" s="2">
        <f t="shared" si="75"/>
        <v>10.950000000000045</v>
      </c>
      <c r="I1648" s="3">
        <f t="shared" si="76"/>
        <v>1.0930325414254389E-2</v>
      </c>
    </row>
    <row r="1649" spans="2:9" x14ac:dyDescent="0.25">
      <c r="B1649" s="1">
        <v>37582</v>
      </c>
      <c r="C1649" s="2">
        <v>1020.15</v>
      </c>
      <c r="D1649" s="2">
        <v>1009.5</v>
      </c>
      <c r="E1649" s="2">
        <v>1026</v>
      </c>
      <c r="F1649" s="2">
        <v>1009.5</v>
      </c>
      <c r="G1649" s="3">
        <f t="shared" si="77"/>
        <v>1.1301115241635573E-2</v>
      </c>
      <c r="H1649" s="2">
        <f t="shared" si="75"/>
        <v>16.5</v>
      </c>
      <c r="I1649" s="3">
        <f t="shared" si="76"/>
        <v>1.6344725111441308E-2</v>
      </c>
    </row>
    <row r="1650" spans="2:9" x14ac:dyDescent="0.25">
      <c r="B1650" s="1">
        <v>37585</v>
      </c>
      <c r="C1650" s="2">
        <v>1026.2</v>
      </c>
      <c r="D1650" s="2">
        <v>1020.9</v>
      </c>
      <c r="E1650" s="2">
        <v>1030.3499999999999</v>
      </c>
      <c r="F1650" s="2">
        <v>1017.5</v>
      </c>
      <c r="G1650" s="3">
        <f t="shared" si="77"/>
        <v>5.9305004166054776E-3</v>
      </c>
      <c r="H1650" s="2">
        <f t="shared" si="75"/>
        <v>12.849999999999909</v>
      </c>
      <c r="I1650" s="3">
        <f t="shared" si="76"/>
        <v>1.2586933098246557E-2</v>
      </c>
    </row>
    <row r="1651" spans="2:9" x14ac:dyDescent="0.25">
      <c r="B1651" s="1">
        <v>37586</v>
      </c>
      <c r="C1651" s="2">
        <v>1036.1500000000001</v>
      </c>
      <c r="D1651" s="2">
        <v>1026.4000000000001</v>
      </c>
      <c r="E1651" s="2">
        <v>1040.45</v>
      </c>
      <c r="F1651" s="2">
        <v>1026</v>
      </c>
      <c r="G1651" s="3">
        <f t="shared" si="77"/>
        <v>9.6959656986943532E-3</v>
      </c>
      <c r="H1651" s="2">
        <f t="shared" si="75"/>
        <v>14.450000000000045</v>
      </c>
      <c r="I1651" s="3">
        <f t="shared" si="76"/>
        <v>1.4078332034294665E-2</v>
      </c>
    </row>
    <row r="1652" spans="2:9" x14ac:dyDescent="0.25">
      <c r="B1652" s="1">
        <v>37587</v>
      </c>
      <c r="C1652" s="2">
        <v>1031.0999999999999</v>
      </c>
      <c r="D1652" s="2">
        <v>1036.3499999999999</v>
      </c>
      <c r="E1652" s="2">
        <v>1042.2</v>
      </c>
      <c r="F1652" s="2">
        <v>1027.7</v>
      </c>
      <c r="G1652" s="3">
        <f t="shared" si="77"/>
        <v>-4.8738117067993469E-3</v>
      </c>
      <c r="H1652" s="2">
        <f t="shared" si="75"/>
        <v>14.5</v>
      </c>
      <c r="I1652" s="3">
        <f t="shared" si="76"/>
        <v>1.3991412167703962E-2</v>
      </c>
    </row>
    <row r="1653" spans="2:9" x14ac:dyDescent="0.25">
      <c r="B1653" s="1">
        <v>37588</v>
      </c>
      <c r="C1653" s="2">
        <v>1049.7</v>
      </c>
      <c r="D1653" s="2">
        <v>1031.25</v>
      </c>
      <c r="E1653" s="2">
        <v>1051.75</v>
      </c>
      <c r="F1653" s="2">
        <v>1031.25</v>
      </c>
      <c r="G1653" s="3">
        <f t="shared" si="77"/>
        <v>1.8038987489089386E-2</v>
      </c>
      <c r="H1653" s="2">
        <f t="shared" si="75"/>
        <v>20.5</v>
      </c>
      <c r="I1653" s="3">
        <f t="shared" si="76"/>
        <v>1.9878787878787878E-2</v>
      </c>
    </row>
    <row r="1654" spans="2:9" x14ac:dyDescent="0.25">
      <c r="B1654" s="1">
        <v>37589</v>
      </c>
      <c r="C1654" s="2">
        <v>1050.1500000000001</v>
      </c>
      <c r="D1654" s="2">
        <v>1049.55</v>
      </c>
      <c r="E1654" s="2">
        <v>1057.45</v>
      </c>
      <c r="F1654" s="2">
        <v>1040.95</v>
      </c>
      <c r="G1654" s="3">
        <f t="shared" si="77"/>
        <v>4.2869391254640732E-4</v>
      </c>
      <c r="H1654" s="2">
        <f t="shared" si="75"/>
        <v>16.5</v>
      </c>
      <c r="I1654" s="3">
        <f t="shared" si="76"/>
        <v>1.5721023295698158E-2</v>
      </c>
    </row>
    <row r="1655" spans="2:9" x14ac:dyDescent="0.25">
      <c r="B1655" s="1">
        <v>37592</v>
      </c>
      <c r="C1655" s="2">
        <v>1067.9000000000001</v>
      </c>
      <c r="D1655" s="2">
        <v>1050.1500000000001</v>
      </c>
      <c r="E1655" s="2">
        <v>1070.1500000000001</v>
      </c>
      <c r="F1655" s="2">
        <v>1050.1500000000001</v>
      </c>
      <c r="G1655" s="3">
        <f t="shared" si="77"/>
        <v>1.6902347283721308E-2</v>
      </c>
      <c r="H1655" s="2">
        <f t="shared" si="75"/>
        <v>20</v>
      </c>
      <c r="I1655" s="3">
        <f t="shared" si="76"/>
        <v>1.9044898347855065E-2</v>
      </c>
    </row>
    <row r="1656" spans="2:9" x14ac:dyDescent="0.25">
      <c r="B1656" s="1">
        <v>37593</v>
      </c>
      <c r="C1656" s="2">
        <v>1055</v>
      </c>
      <c r="D1656" s="2">
        <v>1067.7</v>
      </c>
      <c r="E1656" s="2">
        <v>1075.75</v>
      </c>
      <c r="F1656" s="2">
        <v>1051.8</v>
      </c>
      <c r="G1656" s="3">
        <f t="shared" si="77"/>
        <v>-1.2079782751194035E-2</v>
      </c>
      <c r="H1656" s="2">
        <f t="shared" si="75"/>
        <v>23.950000000000045</v>
      </c>
      <c r="I1656" s="3">
        <f t="shared" si="76"/>
        <v>2.2431394586494374E-2</v>
      </c>
    </row>
    <row r="1657" spans="2:9" x14ac:dyDescent="0.25">
      <c r="B1657" s="1">
        <v>37594</v>
      </c>
      <c r="C1657" s="2">
        <v>1036.4000000000001</v>
      </c>
      <c r="D1657" s="2">
        <v>1055.75</v>
      </c>
      <c r="E1657" s="2">
        <v>1055.75</v>
      </c>
      <c r="F1657" s="2">
        <v>1034.0999999999999</v>
      </c>
      <c r="G1657" s="3">
        <f t="shared" si="77"/>
        <v>-1.763033175355444E-2</v>
      </c>
      <c r="H1657" s="2">
        <f t="shared" si="75"/>
        <v>21.650000000000091</v>
      </c>
      <c r="I1657" s="3">
        <f t="shared" si="76"/>
        <v>2.0506748756808042E-2</v>
      </c>
    </row>
    <row r="1658" spans="2:9" x14ac:dyDescent="0.25">
      <c r="B1658" s="1">
        <v>37595</v>
      </c>
      <c r="C1658" s="2">
        <v>1045.95</v>
      </c>
      <c r="D1658" s="2">
        <v>1036.75</v>
      </c>
      <c r="E1658" s="2">
        <v>1052.45</v>
      </c>
      <c r="F1658" s="2">
        <v>1036.75</v>
      </c>
      <c r="G1658" s="3">
        <f t="shared" si="77"/>
        <v>9.2145889617907262E-3</v>
      </c>
      <c r="H1658" s="2">
        <f t="shared" si="75"/>
        <v>15.700000000000045</v>
      </c>
      <c r="I1658" s="3">
        <f t="shared" si="76"/>
        <v>1.5143477212442774E-2</v>
      </c>
    </row>
    <row r="1659" spans="2:9" x14ac:dyDescent="0.25">
      <c r="B1659" s="1">
        <v>37596</v>
      </c>
      <c r="C1659" s="2">
        <v>1069.8</v>
      </c>
      <c r="D1659" s="2">
        <v>1047.55</v>
      </c>
      <c r="E1659" s="2">
        <v>1072.25</v>
      </c>
      <c r="F1659" s="2">
        <v>1047.55</v>
      </c>
      <c r="G1659" s="3">
        <f t="shared" si="77"/>
        <v>2.2802237200630904E-2</v>
      </c>
      <c r="H1659" s="2">
        <f t="shared" si="75"/>
        <v>24.700000000000045</v>
      </c>
      <c r="I1659" s="3">
        <f t="shared" si="76"/>
        <v>2.3578826786310961E-2</v>
      </c>
    </row>
    <row r="1660" spans="2:9" x14ac:dyDescent="0.25">
      <c r="B1660" s="1">
        <v>37599</v>
      </c>
      <c r="C1660" s="2">
        <v>1058.6500000000001</v>
      </c>
      <c r="D1660" s="2">
        <v>1070.5</v>
      </c>
      <c r="E1660" s="2">
        <v>1085.75</v>
      </c>
      <c r="F1660" s="2">
        <v>1054.95</v>
      </c>
      <c r="G1660" s="3">
        <f t="shared" si="77"/>
        <v>-1.0422508880164383E-2</v>
      </c>
      <c r="H1660" s="2">
        <f t="shared" si="75"/>
        <v>30.799999999999955</v>
      </c>
      <c r="I1660" s="3">
        <f t="shared" si="76"/>
        <v>2.8771602055114389E-2</v>
      </c>
    </row>
    <row r="1661" spans="2:9" x14ac:dyDescent="0.25">
      <c r="B1661" s="1">
        <v>37600</v>
      </c>
      <c r="C1661" s="2">
        <v>1063.7</v>
      </c>
      <c r="D1661" s="2">
        <v>1058.3499999999999</v>
      </c>
      <c r="E1661" s="2">
        <v>1066.0999999999999</v>
      </c>
      <c r="F1661" s="2">
        <v>1045.6500000000001</v>
      </c>
      <c r="G1661" s="3">
        <f t="shared" si="77"/>
        <v>4.7702262315212351E-3</v>
      </c>
      <c r="H1661" s="2">
        <f t="shared" si="75"/>
        <v>20.449999999999818</v>
      </c>
      <c r="I1661" s="3">
        <f t="shared" si="76"/>
        <v>1.9322530353852525E-2</v>
      </c>
    </row>
    <row r="1662" spans="2:9" x14ac:dyDescent="0.25">
      <c r="B1662" s="1">
        <v>37601</v>
      </c>
      <c r="C1662" s="2">
        <v>1069.75</v>
      </c>
      <c r="D1662" s="2">
        <v>1064.0999999999999</v>
      </c>
      <c r="E1662" s="2">
        <v>1076.95</v>
      </c>
      <c r="F1662" s="2">
        <v>1062.3</v>
      </c>
      <c r="G1662" s="3">
        <f t="shared" si="77"/>
        <v>5.6876938986556436E-3</v>
      </c>
      <c r="H1662" s="2">
        <f t="shared" si="75"/>
        <v>14.650000000000091</v>
      </c>
      <c r="I1662" s="3">
        <f t="shared" si="76"/>
        <v>1.3767503054224313E-2</v>
      </c>
    </row>
    <row r="1663" spans="2:9" x14ac:dyDescent="0.25">
      <c r="B1663" s="1">
        <v>37602</v>
      </c>
      <c r="C1663" s="2">
        <v>1077</v>
      </c>
      <c r="D1663" s="2">
        <v>1069.95</v>
      </c>
      <c r="E1663" s="2">
        <v>1078.8499999999999</v>
      </c>
      <c r="F1663" s="2">
        <v>1066.8</v>
      </c>
      <c r="G1663" s="3">
        <f t="shared" si="77"/>
        <v>6.7772844122457876E-3</v>
      </c>
      <c r="H1663" s="2">
        <f t="shared" si="75"/>
        <v>12.049999999999955</v>
      </c>
      <c r="I1663" s="3">
        <f t="shared" si="76"/>
        <v>1.1262208514416519E-2</v>
      </c>
    </row>
    <row r="1664" spans="2:9" x14ac:dyDescent="0.25">
      <c r="B1664" s="1">
        <v>37603</v>
      </c>
      <c r="C1664" s="2">
        <v>1086.2</v>
      </c>
      <c r="D1664" s="2">
        <v>1074.45</v>
      </c>
      <c r="E1664" s="2">
        <v>1087.3499999999999</v>
      </c>
      <c r="F1664" s="2">
        <v>1074.45</v>
      </c>
      <c r="G1664" s="3">
        <f t="shared" si="77"/>
        <v>8.5422469823583924E-3</v>
      </c>
      <c r="H1664" s="2">
        <f t="shared" si="75"/>
        <v>12.899999999999864</v>
      </c>
      <c r="I1664" s="3">
        <f t="shared" si="76"/>
        <v>1.2006142677648901E-2</v>
      </c>
    </row>
    <row r="1665" spans="2:9" x14ac:dyDescent="0.25">
      <c r="B1665" s="1">
        <v>37606</v>
      </c>
      <c r="C1665" s="2">
        <v>1078.45</v>
      </c>
      <c r="D1665" s="2">
        <v>1089</v>
      </c>
      <c r="E1665" s="2">
        <v>1100</v>
      </c>
      <c r="F1665" s="2">
        <v>1075.55</v>
      </c>
      <c r="G1665" s="3">
        <f t="shared" si="77"/>
        <v>-7.1349659362917039E-3</v>
      </c>
      <c r="H1665" s="2">
        <f t="shared" si="75"/>
        <v>24.450000000000045</v>
      </c>
      <c r="I1665" s="3">
        <f t="shared" si="76"/>
        <v>2.2451790633608856E-2</v>
      </c>
    </row>
    <row r="1666" spans="2:9" x14ac:dyDescent="0.25">
      <c r="B1666" s="1">
        <v>37607</v>
      </c>
      <c r="C1666" s="2">
        <v>1073.25</v>
      </c>
      <c r="D1666" s="2">
        <v>1078.7</v>
      </c>
      <c r="E1666" s="2">
        <v>1084.95</v>
      </c>
      <c r="F1666" s="2">
        <v>1069</v>
      </c>
      <c r="G1666" s="3">
        <f t="shared" si="77"/>
        <v>-4.8217348973063068E-3</v>
      </c>
      <c r="H1666" s="2">
        <f t="shared" si="75"/>
        <v>15.950000000000045</v>
      </c>
      <c r="I1666" s="3">
        <f t="shared" si="76"/>
        <v>1.4786316862890558E-2</v>
      </c>
    </row>
    <row r="1667" spans="2:9" x14ac:dyDescent="0.25">
      <c r="B1667" s="1">
        <v>37608</v>
      </c>
      <c r="C1667" s="2">
        <v>1077.95</v>
      </c>
      <c r="D1667" s="2">
        <v>1073.2</v>
      </c>
      <c r="E1667" s="2">
        <v>1083.6500000000001</v>
      </c>
      <c r="F1667" s="2">
        <v>1072.8499999999999</v>
      </c>
      <c r="G1667" s="3">
        <f t="shared" si="77"/>
        <v>4.3792219892848649E-3</v>
      </c>
      <c r="H1667" s="2">
        <f t="shared" si="75"/>
        <v>10.800000000000182</v>
      </c>
      <c r="I1667" s="3">
        <f t="shared" si="76"/>
        <v>1.0063361908311761E-2</v>
      </c>
    </row>
    <row r="1668" spans="2:9" x14ac:dyDescent="0.25">
      <c r="B1668" s="1">
        <v>37609</v>
      </c>
      <c r="C1668" s="2">
        <v>1076</v>
      </c>
      <c r="D1668" s="2">
        <v>1077.8499999999999</v>
      </c>
      <c r="E1668" s="2">
        <v>1079.9000000000001</v>
      </c>
      <c r="F1668" s="2">
        <v>1070.5</v>
      </c>
      <c r="G1668" s="3">
        <f t="shared" si="77"/>
        <v>-1.8089892852173328E-3</v>
      </c>
      <c r="H1668" s="2">
        <f t="shared" si="75"/>
        <v>9.4000000000000909</v>
      </c>
      <c r="I1668" s="3">
        <f t="shared" si="76"/>
        <v>8.7210650832677018E-3</v>
      </c>
    </row>
    <row r="1669" spans="2:9" x14ac:dyDescent="0.25">
      <c r="B1669" s="1">
        <v>37610</v>
      </c>
      <c r="C1669" s="2">
        <v>1079.3</v>
      </c>
      <c r="D1669" s="2">
        <v>1075.45</v>
      </c>
      <c r="E1669" s="2">
        <v>1084.95</v>
      </c>
      <c r="F1669" s="2">
        <v>1075.4000000000001</v>
      </c>
      <c r="G1669" s="3">
        <f t="shared" si="77"/>
        <v>3.0669144981412266E-3</v>
      </c>
      <c r="H1669" s="2">
        <f t="shared" ref="H1669:H1732" si="78">E1669-F1669</f>
        <v>9.5499999999999545</v>
      </c>
      <c r="I1669" s="3">
        <f t="shared" si="76"/>
        <v>8.8800037193732424E-3</v>
      </c>
    </row>
    <row r="1670" spans="2:9" x14ac:dyDescent="0.25">
      <c r="B1670" s="1">
        <v>37613</v>
      </c>
      <c r="C1670" s="2">
        <v>1076</v>
      </c>
      <c r="D1670" s="2">
        <v>1079.3</v>
      </c>
      <c r="E1670" s="2">
        <v>1082.5999999999999</v>
      </c>
      <c r="F1670" s="2">
        <v>1073.3499999999999</v>
      </c>
      <c r="G1670" s="3">
        <f t="shared" si="77"/>
        <v>-3.0575372926896494E-3</v>
      </c>
      <c r="H1670" s="2">
        <f t="shared" si="78"/>
        <v>9.25</v>
      </c>
      <c r="I1670" s="3">
        <f t="shared" ref="I1670:I1733" si="79">H1670/D1670</f>
        <v>8.5703696840544793E-3</v>
      </c>
    </row>
    <row r="1671" spans="2:9" x14ac:dyDescent="0.25">
      <c r="B1671" s="1">
        <v>37614</v>
      </c>
      <c r="C1671" s="2">
        <v>1085</v>
      </c>
      <c r="D1671" s="2">
        <v>1075.95</v>
      </c>
      <c r="E1671" s="2">
        <v>1087</v>
      </c>
      <c r="F1671" s="2">
        <v>1072.6500000000001</v>
      </c>
      <c r="G1671" s="3">
        <f t="shared" ref="G1671:G1734" si="80">C1671/C1670-1</f>
        <v>8.3643122676579917E-3</v>
      </c>
      <c r="H1671" s="2">
        <f t="shared" si="78"/>
        <v>14.349999999999909</v>
      </c>
      <c r="I1671" s="3">
        <f t="shared" si="79"/>
        <v>1.3337050978205221E-2</v>
      </c>
    </row>
    <row r="1672" spans="2:9" x14ac:dyDescent="0.25">
      <c r="B1672" s="1">
        <v>37616</v>
      </c>
      <c r="C1672" s="2">
        <v>1094.8</v>
      </c>
      <c r="D1672" s="2">
        <v>1085.05</v>
      </c>
      <c r="E1672" s="2">
        <v>1100.4000000000001</v>
      </c>
      <c r="F1672" s="2">
        <v>1085.05</v>
      </c>
      <c r="G1672" s="3">
        <f t="shared" si="80"/>
        <v>9.0322580645161299E-3</v>
      </c>
      <c r="H1672" s="2">
        <f t="shared" si="78"/>
        <v>15.350000000000136</v>
      </c>
      <c r="I1672" s="3">
        <f t="shared" si="79"/>
        <v>1.4146813510898242E-2</v>
      </c>
    </row>
    <row r="1673" spans="2:9" x14ac:dyDescent="0.25">
      <c r="B1673" s="1">
        <v>37617</v>
      </c>
      <c r="C1673" s="2">
        <v>1098.4000000000001</v>
      </c>
      <c r="D1673" s="2">
        <v>1095.6500000000001</v>
      </c>
      <c r="E1673" s="2">
        <v>1103.95</v>
      </c>
      <c r="F1673" s="2">
        <v>1095.5999999999999</v>
      </c>
      <c r="G1673" s="3">
        <f t="shared" si="80"/>
        <v>3.2882718304714231E-3</v>
      </c>
      <c r="H1673" s="2">
        <f t="shared" si="78"/>
        <v>8.3500000000001364</v>
      </c>
      <c r="I1673" s="3">
        <f t="shared" si="79"/>
        <v>7.6210468671566063E-3</v>
      </c>
    </row>
    <row r="1674" spans="2:9" x14ac:dyDescent="0.25">
      <c r="B1674" s="1">
        <v>37620</v>
      </c>
      <c r="C1674" s="2">
        <v>1091.95</v>
      </c>
      <c r="D1674" s="2">
        <v>1095.8</v>
      </c>
      <c r="E1674" s="2">
        <v>1095.8</v>
      </c>
      <c r="F1674" s="2">
        <v>1084.3499999999999</v>
      </c>
      <c r="G1674" s="3">
        <f t="shared" si="80"/>
        <v>-5.8721777130371633E-3</v>
      </c>
      <c r="H1674" s="2">
        <f t="shared" si="78"/>
        <v>11.450000000000045</v>
      </c>
      <c r="I1674" s="3">
        <f t="shared" si="79"/>
        <v>1.0448987041430959E-2</v>
      </c>
    </row>
    <row r="1675" spans="2:9" x14ac:dyDescent="0.25">
      <c r="B1675" s="1">
        <v>37621</v>
      </c>
      <c r="C1675" s="2">
        <v>1093.5</v>
      </c>
      <c r="D1675" s="2">
        <v>1091.8499999999999</v>
      </c>
      <c r="E1675" s="2">
        <v>1100.0999999999999</v>
      </c>
      <c r="F1675" s="2">
        <v>1091.7</v>
      </c>
      <c r="G1675" s="3">
        <f t="shared" si="80"/>
        <v>1.4194789138697317E-3</v>
      </c>
      <c r="H1675" s="2">
        <f t="shared" si="78"/>
        <v>8.3999999999998636</v>
      </c>
      <c r="I1675" s="3">
        <f t="shared" si="79"/>
        <v>7.6933644731417908E-3</v>
      </c>
    </row>
    <row r="1676" spans="2:9" x14ac:dyDescent="0.25">
      <c r="B1676" s="1">
        <v>37622</v>
      </c>
      <c r="C1676" s="2">
        <v>1100.1500000000001</v>
      </c>
      <c r="D1676" s="2">
        <v>1093.5999999999999</v>
      </c>
      <c r="E1676" s="2">
        <v>1102.0999999999999</v>
      </c>
      <c r="F1676" s="2">
        <v>1093.5999999999999</v>
      </c>
      <c r="G1676" s="3">
        <f t="shared" si="80"/>
        <v>6.0813900320073611E-3</v>
      </c>
      <c r="H1676" s="2">
        <f t="shared" si="78"/>
        <v>8.5</v>
      </c>
      <c r="I1676" s="3">
        <f t="shared" si="79"/>
        <v>7.7724945135332849E-3</v>
      </c>
    </row>
    <row r="1677" spans="2:9" x14ac:dyDescent="0.25">
      <c r="B1677" s="1">
        <v>37623</v>
      </c>
      <c r="C1677" s="2">
        <v>1093.05</v>
      </c>
      <c r="D1677" s="2">
        <v>1100.55</v>
      </c>
      <c r="E1677" s="2">
        <v>1105.5999999999999</v>
      </c>
      <c r="F1677" s="2">
        <v>1091.2</v>
      </c>
      <c r="G1677" s="3">
        <f t="shared" si="80"/>
        <v>-6.4536654092625101E-3</v>
      </c>
      <c r="H1677" s="2">
        <f t="shared" si="78"/>
        <v>14.399999999999864</v>
      </c>
      <c r="I1677" s="3">
        <f t="shared" si="79"/>
        <v>1.3084366907455239E-2</v>
      </c>
    </row>
    <row r="1678" spans="2:9" x14ac:dyDescent="0.25">
      <c r="B1678" s="1">
        <v>37624</v>
      </c>
      <c r="C1678" s="2">
        <v>1089.5999999999999</v>
      </c>
      <c r="D1678" s="2">
        <v>1094.45</v>
      </c>
      <c r="E1678" s="2">
        <v>1099.8499999999999</v>
      </c>
      <c r="F1678" s="2">
        <v>1087.3</v>
      </c>
      <c r="G1678" s="3">
        <f t="shared" si="80"/>
        <v>-3.1563057499657265E-3</v>
      </c>
      <c r="H1678" s="2">
        <f t="shared" si="78"/>
        <v>12.549999999999955</v>
      </c>
      <c r="I1678" s="3">
        <f t="shared" si="79"/>
        <v>1.1466946868289966E-2</v>
      </c>
    </row>
    <row r="1679" spans="2:9" x14ac:dyDescent="0.25">
      <c r="B1679" s="1">
        <v>37627</v>
      </c>
      <c r="C1679" s="2">
        <v>1084.3499999999999</v>
      </c>
      <c r="D1679" s="2">
        <v>1089.75</v>
      </c>
      <c r="E1679" s="2">
        <v>1093.05</v>
      </c>
      <c r="F1679" s="2">
        <v>1081.25</v>
      </c>
      <c r="G1679" s="3">
        <f t="shared" si="80"/>
        <v>-4.8182819383260078E-3</v>
      </c>
      <c r="H1679" s="2">
        <f t="shared" si="78"/>
        <v>11.799999999999955</v>
      </c>
      <c r="I1679" s="3">
        <f t="shared" si="79"/>
        <v>1.0828171598990553E-2</v>
      </c>
    </row>
    <row r="1680" spans="2:9" x14ac:dyDescent="0.25">
      <c r="B1680" s="1">
        <v>37628</v>
      </c>
      <c r="C1680" s="2">
        <v>1081.8</v>
      </c>
      <c r="D1680" s="2">
        <v>1084.4000000000001</v>
      </c>
      <c r="E1680" s="2">
        <v>1089.8499999999999</v>
      </c>
      <c r="F1680" s="2">
        <v>1078.95</v>
      </c>
      <c r="G1680" s="3">
        <f t="shared" si="80"/>
        <v>-2.3516392308755574E-3</v>
      </c>
      <c r="H1680" s="2">
        <f t="shared" si="78"/>
        <v>10.899999999999864</v>
      </c>
      <c r="I1680" s="3">
        <f t="shared" si="79"/>
        <v>1.0051641460715476E-2</v>
      </c>
    </row>
    <row r="1681" spans="2:9" x14ac:dyDescent="0.25">
      <c r="B1681" s="1">
        <v>37629</v>
      </c>
      <c r="C1681" s="2">
        <v>1089.3499999999999</v>
      </c>
      <c r="D1681" s="2">
        <v>1082.4000000000001</v>
      </c>
      <c r="E1681" s="2">
        <v>1091.45</v>
      </c>
      <c r="F1681" s="2">
        <v>1082.3</v>
      </c>
      <c r="G1681" s="3">
        <f t="shared" si="80"/>
        <v>6.9791088925863498E-3</v>
      </c>
      <c r="H1681" s="2">
        <f t="shared" si="78"/>
        <v>9.1500000000000909</v>
      </c>
      <c r="I1681" s="3">
        <f t="shared" si="79"/>
        <v>8.4534368070954269E-3</v>
      </c>
    </row>
    <row r="1682" spans="2:9" x14ac:dyDescent="0.25">
      <c r="B1682" s="1">
        <v>37630</v>
      </c>
      <c r="C1682" s="2">
        <v>1097.3499999999999</v>
      </c>
      <c r="D1682" s="2">
        <v>1089.75</v>
      </c>
      <c r="E1682" s="2">
        <v>1099.1500000000001</v>
      </c>
      <c r="F1682" s="2">
        <v>1087.75</v>
      </c>
      <c r="G1682" s="3">
        <f t="shared" si="80"/>
        <v>7.3438288887868186E-3</v>
      </c>
      <c r="H1682" s="2">
        <f t="shared" si="78"/>
        <v>11.400000000000091</v>
      </c>
      <c r="I1682" s="3">
        <f t="shared" si="79"/>
        <v>1.0461114934618114E-2</v>
      </c>
    </row>
    <row r="1683" spans="2:9" x14ac:dyDescent="0.25">
      <c r="B1683" s="1">
        <v>37631</v>
      </c>
      <c r="C1683" s="2">
        <v>1080.25</v>
      </c>
      <c r="D1683" s="2">
        <v>1097.5999999999999</v>
      </c>
      <c r="E1683" s="2">
        <v>1103.25</v>
      </c>
      <c r="F1683" s="2">
        <v>1077.4000000000001</v>
      </c>
      <c r="G1683" s="3">
        <f t="shared" si="80"/>
        <v>-1.5582995398004229E-2</v>
      </c>
      <c r="H1683" s="2">
        <f t="shared" si="78"/>
        <v>25.849999999999909</v>
      </c>
      <c r="I1683" s="3">
        <f t="shared" si="79"/>
        <v>2.3551384839650066E-2</v>
      </c>
    </row>
    <row r="1684" spans="2:9" x14ac:dyDescent="0.25">
      <c r="B1684" s="1">
        <v>37634</v>
      </c>
      <c r="C1684" s="2">
        <v>1073.75</v>
      </c>
      <c r="D1684" s="2">
        <v>1080.25</v>
      </c>
      <c r="E1684" s="2">
        <v>1080.4000000000001</v>
      </c>
      <c r="F1684" s="2">
        <v>1070.75</v>
      </c>
      <c r="G1684" s="3">
        <f t="shared" si="80"/>
        <v>-6.0171256653552829E-3</v>
      </c>
      <c r="H1684" s="2">
        <f t="shared" si="78"/>
        <v>9.6500000000000909</v>
      </c>
      <c r="I1684" s="3">
        <f t="shared" si="79"/>
        <v>8.933117333950559E-3</v>
      </c>
    </row>
    <row r="1685" spans="2:9" x14ac:dyDescent="0.25">
      <c r="B1685" s="1">
        <v>37635</v>
      </c>
      <c r="C1685" s="2">
        <v>1078.95</v>
      </c>
      <c r="D1685" s="2">
        <v>1072.7</v>
      </c>
      <c r="E1685" s="2">
        <v>1080.8</v>
      </c>
      <c r="F1685" s="2">
        <v>1070.3</v>
      </c>
      <c r="G1685" s="3">
        <f t="shared" si="80"/>
        <v>4.8428405122236118E-3</v>
      </c>
      <c r="H1685" s="2">
        <f t="shared" si="78"/>
        <v>10.5</v>
      </c>
      <c r="I1685" s="3">
        <f t="shared" si="79"/>
        <v>9.7883844504521294E-3</v>
      </c>
    </row>
    <row r="1686" spans="2:9" x14ac:dyDescent="0.25">
      <c r="B1686" s="1">
        <v>37636</v>
      </c>
      <c r="C1686" s="2">
        <v>1085</v>
      </c>
      <c r="D1686" s="2">
        <v>1077.9000000000001</v>
      </c>
      <c r="E1686" s="2">
        <v>1087.5</v>
      </c>
      <c r="F1686" s="2">
        <v>1077.8</v>
      </c>
      <c r="G1686" s="3">
        <f t="shared" si="80"/>
        <v>5.6073033968209174E-3</v>
      </c>
      <c r="H1686" s="2">
        <f t="shared" si="78"/>
        <v>9.7000000000000455</v>
      </c>
      <c r="I1686" s="3">
        <f t="shared" si="79"/>
        <v>8.9989794971704652E-3</v>
      </c>
    </row>
    <row r="1687" spans="2:9" x14ac:dyDescent="0.25">
      <c r="B1687" s="1">
        <v>37637</v>
      </c>
      <c r="C1687" s="2">
        <v>1088.3499999999999</v>
      </c>
      <c r="D1687" s="2">
        <v>1085.05</v>
      </c>
      <c r="E1687" s="2">
        <v>1091.3499999999999</v>
      </c>
      <c r="F1687" s="2">
        <v>1083.95</v>
      </c>
      <c r="G1687" s="3">
        <f t="shared" si="80"/>
        <v>3.0875576036866192E-3</v>
      </c>
      <c r="H1687" s="2">
        <f t="shared" si="78"/>
        <v>7.3999999999998636</v>
      </c>
      <c r="I1687" s="3">
        <f t="shared" si="79"/>
        <v>6.8199622137227441E-3</v>
      </c>
    </row>
    <row r="1688" spans="2:9" x14ac:dyDescent="0.25">
      <c r="B1688" s="1">
        <v>37638</v>
      </c>
      <c r="C1688" s="2">
        <v>1086.5</v>
      </c>
      <c r="D1688" s="2">
        <v>1089.3</v>
      </c>
      <c r="E1688" s="2">
        <v>1090.25</v>
      </c>
      <c r="F1688" s="2">
        <v>1083.2</v>
      </c>
      <c r="G1688" s="3">
        <f t="shared" si="80"/>
        <v>-1.6998208296962192E-3</v>
      </c>
      <c r="H1688" s="2">
        <f t="shared" si="78"/>
        <v>7.0499999999999545</v>
      </c>
      <c r="I1688" s="3">
        <f t="shared" si="79"/>
        <v>6.4720462682456206E-3</v>
      </c>
    </row>
    <row r="1689" spans="2:9" x14ac:dyDescent="0.25">
      <c r="B1689" s="1">
        <v>37641</v>
      </c>
      <c r="C1689" s="2">
        <v>1076.3499999999999</v>
      </c>
      <c r="D1689" s="2">
        <v>1086.25</v>
      </c>
      <c r="E1689" s="2">
        <v>1087</v>
      </c>
      <c r="F1689" s="2">
        <v>1074.2</v>
      </c>
      <c r="G1689" s="3">
        <f t="shared" si="80"/>
        <v>-9.3419236079154144E-3</v>
      </c>
      <c r="H1689" s="2">
        <f t="shared" si="78"/>
        <v>12.799999999999955</v>
      </c>
      <c r="I1689" s="3">
        <f t="shared" si="79"/>
        <v>1.1783659378596045E-2</v>
      </c>
    </row>
    <row r="1690" spans="2:9" x14ac:dyDescent="0.25">
      <c r="B1690" s="1">
        <v>37642</v>
      </c>
      <c r="C1690" s="2">
        <v>1077.9000000000001</v>
      </c>
      <c r="D1690" s="2">
        <v>1076.3</v>
      </c>
      <c r="E1690" s="2">
        <v>1080.5</v>
      </c>
      <c r="F1690" s="2">
        <v>1074.0999999999999</v>
      </c>
      <c r="G1690" s="3">
        <f t="shared" si="80"/>
        <v>1.4400520276862672E-3</v>
      </c>
      <c r="H1690" s="2">
        <f t="shared" si="78"/>
        <v>6.4000000000000909</v>
      </c>
      <c r="I1690" s="3">
        <f t="shared" si="79"/>
        <v>5.9462975006969168E-3</v>
      </c>
    </row>
    <row r="1691" spans="2:9" x14ac:dyDescent="0.25">
      <c r="B1691" s="1">
        <v>37643</v>
      </c>
      <c r="C1691" s="2">
        <v>1082.9000000000001</v>
      </c>
      <c r="D1691" s="2">
        <v>1078.45</v>
      </c>
      <c r="E1691" s="2">
        <v>1086.2</v>
      </c>
      <c r="F1691" s="2">
        <v>1073.5999999999999</v>
      </c>
      <c r="G1691" s="3">
        <f t="shared" si="80"/>
        <v>4.6386492253456257E-3</v>
      </c>
      <c r="H1691" s="2">
        <f t="shared" si="78"/>
        <v>12.600000000000136</v>
      </c>
      <c r="I1691" s="3">
        <f t="shared" si="79"/>
        <v>1.1683434558857746E-2</v>
      </c>
    </row>
    <row r="1692" spans="2:9" x14ac:dyDescent="0.25">
      <c r="B1692" s="1">
        <v>37644</v>
      </c>
      <c r="C1692" s="2">
        <v>1070.9000000000001</v>
      </c>
      <c r="D1692" s="2">
        <v>1081.4000000000001</v>
      </c>
      <c r="E1692" s="2">
        <v>1083.1500000000001</v>
      </c>
      <c r="F1692" s="2">
        <v>1069.05</v>
      </c>
      <c r="G1692" s="3">
        <f t="shared" si="80"/>
        <v>-1.1081355619170785E-2</v>
      </c>
      <c r="H1692" s="2">
        <f t="shared" si="78"/>
        <v>14.100000000000136</v>
      </c>
      <c r="I1692" s="3">
        <f t="shared" si="79"/>
        <v>1.3038653597188954E-2</v>
      </c>
    </row>
    <row r="1693" spans="2:9" x14ac:dyDescent="0.25">
      <c r="B1693" s="1">
        <v>37645</v>
      </c>
      <c r="C1693" s="2">
        <v>1056.05</v>
      </c>
      <c r="D1693" s="2">
        <v>1070.5999999999999</v>
      </c>
      <c r="E1693" s="2">
        <v>1075.2</v>
      </c>
      <c r="F1693" s="2">
        <v>1053.4000000000001</v>
      </c>
      <c r="G1693" s="3">
        <f t="shared" si="80"/>
        <v>-1.3866840974881112E-2</v>
      </c>
      <c r="H1693" s="2">
        <f t="shared" si="78"/>
        <v>21.799999999999955</v>
      </c>
      <c r="I1693" s="3">
        <f t="shared" si="79"/>
        <v>2.0362413599850509E-2</v>
      </c>
    </row>
    <row r="1694" spans="2:9" x14ac:dyDescent="0.25">
      <c r="B1694" s="1">
        <v>37648</v>
      </c>
      <c r="C1694" s="2">
        <v>1037.6500000000001</v>
      </c>
      <c r="D1694" s="2">
        <v>1057.8</v>
      </c>
      <c r="E1694" s="2">
        <v>1059.3499999999999</v>
      </c>
      <c r="F1694" s="2">
        <v>1030.3499999999999</v>
      </c>
      <c r="G1694" s="3">
        <f t="shared" si="80"/>
        <v>-1.7423417451825074E-2</v>
      </c>
      <c r="H1694" s="2">
        <f t="shared" si="78"/>
        <v>29</v>
      </c>
      <c r="I1694" s="3">
        <f t="shared" si="79"/>
        <v>2.7415390432974099E-2</v>
      </c>
    </row>
    <row r="1695" spans="2:9" x14ac:dyDescent="0.25">
      <c r="B1695" s="1">
        <v>37649</v>
      </c>
      <c r="C1695" s="2">
        <v>1046.2</v>
      </c>
      <c r="D1695" s="2">
        <v>1036.3499999999999</v>
      </c>
      <c r="E1695" s="2">
        <v>1047.95</v>
      </c>
      <c r="F1695" s="2">
        <v>1026.75</v>
      </c>
      <c r="G1695" s="3">
        <f t="shared" si="80"/>
        <v>8.2397725630027896E-3</v>
      </c>
      <c r="H1695" s="2">
        <f t="shared" si="78"/>
        <v>21.200000000000045</v>
      </c>
      <c r="I1695" s="3">
        <f t="shared" si="79"/>
        <v>2.045640951416032E-2</v>
      </c>
    </row>
    <row r="1696" spans="2:9" x14ac:dyDescent="0.25">
      <c r="B1696" s="1">
        <v>37650</v>
      </c>
      <c r="C1696" s="2">
        <v>1037.2</v>
      </c>
      <c r="D1696" s="2">
        <v>1059.8</v>
      </c>
      <c r="E1696" s="2">
        <v>1059.8</v>
      </c>
      <c r="F1696" s="2">
        <v>1033.3</v>
      </c>
      <c r="G1696" s="3">
        <f t="shared" si="80"/>
        <v>-8.6025616516918202E-3</v>
      </c>
      <c r="H1696" s="2">
        <f t="shared" si="78"/>
        <v>26.5</v>
      </c>
      <c r="I1696" s="3">
        <f t="shared" si="79"/>
        <v>2.5004717871296472E-2</v>
      </c>
    </row>
    <row r="1697" spans="2:9" x14ac:dyDescent="0.25">
      <c r="B1697" s="1">
        <v>37651</v>
      </c>
      <c r="C1697" s="2">
        <v>1034.5999999999999</v>
      </c>
      <c r="D1697" s="2">
        <v>1037.1500000000001</v>
      </c>
      <c r="E1697" s="2">
        <v>1050.55</v>
      </c>
      <c r="F1697" s="2">
        <v>1031.3499999999999</v>
      </c>
      <c r="G1697" s="3">
        <f t="shared" si="80"/>
        <v>-2.5067489394524634E-3</v>
      </c>
      <c r="H1697" s="2">
        <f t="shared" si="78"/>
        <v>19.200000000000045</v>
      </c>
      <c r="I1697" s="3">
        <f t="shared" si="79"/>
        <v>1.8512269199247981E-2</v>
      </c>
    </row>
    <row r="1698" spans="2:9" x14ac:dyDescent="0.25">
      <c r="B1698" s="1">
        <v>37652</v>
      </c>
      <c r="C1698" s="2">
        <v>1041.8499999999999</v>
      </c>
      <c r="D1698" s="2">
        <v>1034.75</v>
      </c>
      <c r="E1698" s="2">
        <v>1044.25</v>
      </c>
      <c r="F1698" s="2">
        <v>1026.2</v>
      </c>
      <c r="G1698" s="3">
        <f t="shared" si="80"/>
        <v>7.0075391455635128E-3</v>
      </c>
      <c r="H1698" s="2">
        <f t="shared" si="78"/>
        <v>18.049999999999955</v>
      </c>
      <c r="I1698" s="3">
        <f t="shared" si="79"/>
        <v>1.7443827011355356E-2</v>
      </c>
    </row>
    <row r="1699" spans="2:9" x14ac:dyDescent="0.25">
      <c r="B1699" s="1">
        <v>37655</v>
      </c>
      <c r="C1699" s="2">
        <v>1055.3</v>
      </c>
      <c r="D1699" s="2">
        <v>1040.25</v>
      </c>
      <c r="E1699" s="2">
        <v>1056.5999999999999</v>
      </c>
      <c r="F1699" s="2">
        <v>1036.5</v>
      </c>
      <c r="G1699" s="3">
        <f t="shared" si="80"/>
        <v>1.2909727887891798E-2</v>
      </c>
      <c r="H1699" s="2">
        <f t="shared" si="78"/>
        <v>20.099999999999909</v>
      </c>
      <c r="I1699" s="3">
        <f t="shared" si="79"/>
        <v>1.9322278298485852E-2</v>
      </c>
    </row>
    <row r="1700" spans="2:9" x14ac:dyDescent="0.25">
      <c r="B1700" s="1">
        <v>37656</v>
      </c>
      <c r="C1700" s="2">
        <v>1054.8</v>
      </c>
      <c r="D1700" s="2">
        <v>1056.55</v>
      </c>
      <c r="E1700" s="2">
        <v>1063.7</v>
      </c>
      <c r="F1700" s="2">
        <v>1050.45</v>
      </c>
      <c r="G1700" s="3">
        <f t="shared" si="80"/>
        <v>-4.7379891973842181E-4</v>
      </c>
      <c r="H1700" s="2">
        <f t="shared" si="78"/>
        <v>13.25</v>
      </c>
      <c r="I1700" s="3">
        <f t="shared" si="79"/>
        <v>1.2540816809426909E-2</v>
      </c>
    </row>
    <row r="1701" spans="2:9" x14ac:dyDescent="0.25">
      <c r="B1701" s="1">
        <v>37657</v>
      </c>
      <c r="C1701" s="2">
        <v>1047.4000000000001</v>
      </c>
      <c r="D1701" s="2">
        <v>1054.3</v>
      </c>
      <c r="E1701" s="2">
        <v>1054.6500000000001</v>
      </c>
      <c r="F1701" s="2">
        <v>1041.75</v>
      </c>
      <c r="G1701" s="3">
        <f t="shared" si="80"/>
        <v>-7.0155479711792035E-3</v>
      </c>
      <c r="H1701" s="2">
        <f t="shared" si="78"/>
        <v>12.900000000000091</v>
      </c>
      <c r="I1701" s="3">
        <f t="shared" si="79"/>
        <v>1.2235606563596787E-2</v>
      </c>
    </row>
    <row r="1702" spans="2:9" x14ac:dyDescent="0.25">
      <c r="B1702" s="1">
        <v>37658</v>
      </c>
      <c r="C1702" s="2">
        <v>1063.5999999999999</v>
      </c>
      <c r="D1702" s="2">
        <v>1047.25</v>
      </c>
      <c r="E1702" s="2">
        <v>1065.95</v>
      </c>
      <c r="F1702" s="2">
        <v>1043.7</v>
      </c>
      <c r="G1702" s="3">
        <f t="shared" si="80"/>
        <v>1.5466870345617556E-2</v>
      </c>
      <c r="H1702" s="2">
        <f t="shared" si="78"/>
        <v>22.25</v>
      </c>
      <c r="I1702" s="3">
        <f t="shared" si="79"/>
        <v>2.124612079255192E-2</v>
      </c>
    </row>
    <row r="1703" spans="2:9" x14ac:dyDescent="0.25">
      <c r="B1703" s="1">
        <v>37659</v>
      </c>
      <c r="C1703" s="2">
        <v>1057.5</v>
      </c>
      <c r="D1703" s="2">
        <v>1063.75</v>
      </c>
      <c r="E1703" s="2">
        <v>1065.8</v>
      </c>
      <c r="F1703" s="2">
        <v>1055.5</v>
      </c>
      <c r="G1703" s="3">
        <f t="shared" si="80"/>
        <v>-5.7352388115832209E-3</v>
      </c>
      <c r="H1703" s="2">
        <f t="shared" si="78"/>
        <v>10.299999999999955</v>
      </c>
      <c r="I1703" s="3">
        <f t="shared" si="79"/>
        <v>9.6827262044652928E-3</v>
      </c>
    </row>
    <row r="1704" spans="2:9" x14ac:dyDescent="0.25">
      <c r="B1704" s="1">
        <v>37662</v>
      </c>
      <c r="C1704" s="2">
        <v>1048.5999999999999</v>
      </c>
      <c r="D1704" s="2">
        <v>1058.2</v>
      </c>
      <c r="E1704" s="2">
        <v>1058.75</v>
      </c>
      <c r="F1704" s="2">
        <v>1047.1500000000001</v>
      </c>
      <c r="G1704" s="3">
        <f t="shared" si="80"/>
        <v>-8.4160756501182599E-3</v>
      </c>
      <c r="H1704" s="2">
        <f t="shared" si="78"/>
        <v>11.599999999999909</v>
      </c>
      <c r="I1704" s="3">
        <f t="shared" si="79"/>
        <v>1.0962010962010875E-2</v>
      </c>
    </row>
    <row r="1705" spans="2:9" x14ac:dyDescent="0.25">
      <c r="B1705" s="1">
        <v>37663</v>
      </c>
      <c r="C1705" s="2">
        <v>1048</v>
      </c>
      <c r="D1705" s="2">
        <v>1048.5999999999999</v>
      </c>
      <c r="E1705" s="2">
        <v>1055.8</v>
      </c>
      <c r="F1705" s="2">
        <v>1044.55</v>
      </c>
      <c r="G1705" s="3">
        <f t="shared" si="80"/>
        <v>-5.7219149341969366E-4</v>
      </c>
      <c r="H1705" s="2">
        <f t="shared" si="78"/>
        <v>11.25</v>
      </c>
      <c r="I1705" s="3">
        <f t="shared" si="79"/>
        <v>1.072859050162121E-2</v>
      </c>
    </row>
    <row r="1706" spans="2:9" x14ac:dyDescent="0.25">
      <c r="B1706" s="1">
        <v>37664</v>
      </c>
      <c r="C1706" s="2">
        <v>1044.45</v>
      </c>
      <c r="D1706" s="2">
        <v>1048.1500000000001</v>
      </c>
      <c r="E1706" s="2">
        <v>1051</v>
      </c>
      <c r="F1706" s="2">
        <v>1040.4000000000001</v>
      </c>
      <c r="G1706" s="3">
        <f t="shared" si="80"/>
        <v>-3.3874045801526309E-3</v>
      </c>
      <c r="H1706" s="2">
        <f t="shared" si="78"/>
        <v>10.599999999999909</v>
      </c>
      <c r="I1706" s="3">
        <f t="shared" si="79"/>
        <v>1.0113056337356206E-2</v>
      </c>
    </row>
    <row r="1707" spans="2:9" x14ac:dyDescent="0.25">
      <c r="B1707" s="1">
        <v>37666</v>
      </c>
      <c r="C1707" s="2">
        <v>1036</v>
      </c>
      <c r="D1707" s="2">
        <v>1044.45</v>
      </c>
      <c r="E1707" s="2">
        <v>1047.05</v>
      </c>
      <c r="F1707" s="2">
        <v>1034.0999999999999</v>
      </c>
      <c r="G1707" s="3">
        <f t="shared" si="80"/>
        <v>-8.0903824979654537E-3</v>
      </c>
      <c r="H1707" s="2">
        <f t="shared" si="78"/>
        <v>12.950000000000045</v>
      </c>
      <c r="I1707" s="3">
        <f t="shared" si="79"/>
        <v>1.2398870218775475E-2</v>
      </c>
    </row>
    <row r="1708" spans="2:9" x14ac:dyDescent="0.25">
      <c r="B1708" s="1">
        <v>37669</v>
      </c>
      <c r="C1708" s="2">
        <v>1058.2</v>
      </c>
      <c r="D1708" s="2">
        <v>1036.2</v>
      </c>
      <c r="E1708" s="2">
        <v>1060.5</v>
      </c>
      <c r="F1708" s="2">
        <v>1036.2</v>
      </c>
      <c r="G1708" s="3">
        <f t="shared" si="80"/>
        <v>2.1428571428571574E-2</v>
      </c>
      <c r="H1708" s="2">
        <f t="shared" si="78"/>
        <v>24.299999999999955</v>
      </c>
      <c r="I1708" s="3">
        <f t="shared" si="79"/>
        <v>2.3451071221771813E-2</v>
      </c>
    </row>
    <row r="1709" spans="2:9" x14ac:dyDescent="0.25">
      <c r="B1709" s="1">
        <v>37670</v>
      </c>
      <c r="C1709" s="2">
        <v>1059.3</v>
      </c>
      <c r="D1709" s="2">
        <v>1058.95</v>
      </c>
      <c r="E1709" s="2">
        <v>1065.1500000000001</v>
      </c>
      <c r="F1709" s="2">
        <v>1057.5999999999999</v>
      </c>
      <c r="G1709" s="3">
        <f t="shared" si="80"/>
        <v>1.0395010395010118E-3</v>
      </c>
      <c r="H1709" s="2">
        <f t="shared" si="78"/>
        <v>7.5500000000001819</v>
      </c>
      <c r="I1709" s="3">
        <f t="shared" si="79"/>
        <v>7.1297039520281233E-3</v>
      </c>
    </row>
    <row r="1710" spans="2:9" x14ac:dyDescent="0.25">
      <c r="B1710" s="1">
        <v>37671</v>
      </c>
      <c r="C1710" s="2">
        <v>1064.3</v>
      </c>
      <c r="D1710" s="2">
        <v>1059.3</v>
      </c>
      <c r="E1710" s="2">
        <v>1068.8</v>
      </c>
      <c r="F1710" s="2">
        <v>1059.3</v>
      </c>
      <c r="G1710" s="3">
        <f t="shared" si="80"/>
        <v>4.720098178042198E-3</v>
      </c>
      <c r="H1710" s="2">
        <f t="shared" si="78"/>
        <v>9.5</v>
      </c>
      <c r="I1710" s="3">
        <f t="shared" si="79"/>
        <v>8.9681865382799965E-3</v>
      </c>
    </row>
    <row r="1711" spans="2:9" x14ac:dyDescent="0.25">
      <c r="B1711" s="1">
        <v>37672</v>
      </c>
      <c r="C1711" s="2">
        <v>1065.5999999999999</v>
      </c>
      <c r="D1711" s="2">
        <v>1064.1500000000001</v>
      </c>
      <c r="E1711" s="2">
        <v>1071.7</v>
      </c>
      <c r="F1711" s="2">
        <v>1058.3499999999999</v>
      </c>
      <c r="G1711" s="3">
        <f t="shared" si="80"/>
        <v>1.2214601146292026E-3</v>
      </c>
      <c r="H1711" s="2">
        <f t="shared" si="78"/>
        <v>13.350000000000136</v>
      </c>
      <c r="I1711" s="3">
        <f t="shared" si="79"/>
        <v>1.2545223887609957E-2</v>
      </c>
    </row>
    <row r="1712" spans="2:9" x14ac:dyDescent="0.25">
      <c r="B1712" s="1">
        <v>37673</v>
      </c>
      <c r="C1712" s="2">
        <v>1066.1500000000001</v>
      </c>
      <c r="D1712" s="2">
        <v>1065.5999999999999</v>
      </c>
      <c r="E1712" s="2">
        <v>1069.2</v>
      </c>
      <c r="F1712" s="2">
        <v>1061.0999999999999</v>
      </c>
      <c r="G1712" s="3">
        <f t="shared" si="80"/>
        <v>5.1614114114140186E-4</v>
      </c>
      <c r="H1712" s="2">
        <f t="shared" si="78"/>
        <v>8.1000000000001364</v>
      </c>
      <c r="I1712" s="3">
        <f t="shared" si="79"/>
        <v>7.6013513513514801E-3</v>
      </c>
    </row>
    <row r="1713" spans="2:9" x14ac:dyDescent="0.25">
      <c r="B1713" s="1">
        <v>37676</v>
      </c>
      <c r="C1713" s="2">
        <v>1070.1500000000001</v>
      </c>
      <c r="D1713" s="2">
        <v>1066.2</v>
      </c>
      <c r="E1713" s="2">
        <v>1075.5</v>
      </c>
      <c r="F1713" s="2">
        <v>1066.2</v>
      </c>
      <c r="G1713" s="3">
        <f t="shared" si="80"/>
        <v>3.7518172864980937E-3</v>
      </c>
      <c r="H1713" s="2">
        <f t="shared" si="78"/>
        <v>9.2999999999999545</v>
      </c>
      <c r="I1713" s="3">
        <f t="shared" si="79"/>
        <v>8.7225661226786287E-3</v>
      </c>
    </row>
    <row r="1714" spans="2:9" x14ac:dyDescent="0.25">
      <c r="B1714" s="1">
        <v>37677</v>
      </c>
      <c r="C1714" s="2">
        <v>1055.55</v>
      </c>
      <c r="D1714" s="2">
        <v>1070.0999999999999</v>
      </c>
      <c r="E1714" s="2">
        <v>1073.25</v>
      </c>
      <c r="F1714" s="2">
        <v>1054.9000000000001</v>
      </c>
      <c r="G1714" s="3">
        <f t="shared" si="80"/>
        <v>-1.3642947250385618E-2</v>
      </c>
      <c r="H1714" s="2">
        <f t="shared" si="78"/>
        <v>18.349999999999909</v>
      </c>
      <c r="I1714" s="3">
        <f t="shared" si="79"/>
        <v>1.714793009999057E-2</v>
      </c>
    </row>
    <row r="1715" spans="2:9" x14ac:dyDescent="0.25">
      <c r="B1715" s="1">
        <v>37678</v>
      </c>
      <c r="C1715" s="2">
        <v>1049.6500000000001</v>
      </c>
      <c r="D1715" s="2">
        <v>1055.5999999999999</v>
      </c>
      <c r="E1715" s="2">
        <v>1059.5999999999999</v>
      </c>
      <c r="F1715" s="2">
        <v>1048.2</v>
      </c>
      <c r="G1715" s="3">
        <f t="shared" si="80"/>
        <v>-5.5895031026478303E-3</v>
      </c>
      <c r="H1715" s="2">
        <f t="shared" si="78"/>
        <v>11.399999999999864</v>
      </c>
      <c r="I1715" s="3">
        <f t="shared" si="79"/>
        <v>1.0799545282303775E-2</v>
      </c>
    </row>
    <row r="1716" spans="2:9" x14ac:dyDescent="0.25">
      <c r="B1716" s="1">
        <v>37679</v>
      </c>
      <c r="C1716" s="2">
        <v>1052.95</v>
      </c>
      <c r="D1716" s="2">
        <v>1049.5999999999999</v>
      </c>
      <c r="E1716" s="2">
        <v>1057.45</v>
      </c>
      <c r="F1716" s="2">
        <v>1044.9000000000001</v>
      </c>
      <c r="G1716" s="3">
        <f t="shared" si="80"/>
        <v>3.1439051112274186E-3</v>
      </c>
      <c r="H1716" s="2">
        <f t="shared" si="78"/>
        <v>12.549999999999955</v>
      </c>
      <c r="I1716" s="3">
        <f t="shared" si="79"/>
        <v>1.1956935975609713E-2</v>
      </c>
    </row>
    <row r="1717" spans="2:9" x14ac:dyDescent="0.25">
      <c r="B1717" s="1">
        <v>37680</v>
      </c>
      <c r="C1717" s="2">
        <v>1063.4000000000001</v>
      </c>
      <c r="D1717" s="2">
        <v>1053.6500000000001</v>
      </c>
      <c r="E1717" s="2">
        <v>1068.6500000000001</v>
      </c>
      <c r="F1717" s="2">
        <v>1053.6500000000001</v>
      </c>
      <c r="G1717" s="3">
        <f t="shared" si="80"/>
        <v>9.9244978394035233E-3</v>
      </c>
      <c r="H1717" s="2">
        <f t="shared" si="78"/>
        <v>15</v>
      </c>
      <c r="I1717" s="3">
        <f t="shared" si="79"/>
        <v>1.4236226450908744E-2</v>
      </c>
    </row>
    <row r="1718" spans="2:9" x14ac:dyDescent="0.25">
      <c r="B1718" s="1">
        <v>37683</v>
      </c>
      <c r="C1718" s="2">
        <v>1058.8499999999999</v>
      </c>
      <c r="D1718" s="2">
        <v>1063.55</v>
      </c>
      <c r="E1718" s="2">
        <v>1070.8499999999999</v>
      </c>
      <c r="F1718" s="2">
        <v>1057.55</v>
      </c>
      <c r="G1718" s="3">
        <f t="shared" si="80"/>
        <v>-4.2787286063571406E-3</v>
      </c>
      <c r="H1718" s="2">
        <f t="shared" si="78"/>
        <v>13.299999999999955</v>
      </c>
      <c r="I1718" s="3">
        <f t="shared" si="79"/>
        <v>1.2505288890978286E-2</v>
      </c>
    </row>
    <row r="1719" spans="2:9" x14ac:dyDescent="0.25">
      <c r="B1719" s="1">
        <v>37684</v>
      </c>
      <c r="C1719" s="2">
        <v>1046.5999999999999</v>
      </c>
      <c r="D1719" s="2">
        <v>1058.7</v>
      </c>
      <c r="E1719" s="2">
        <v>1058.7</v>
      </c>
      <c r="F1719" s="2">
        <v>1045.2</v>
      </c>
      <c r="G1719" s="3">
        <f t="shared" si="80"/>
        <v>-1.1569155215564009E-2</v>
      </c>
      <c r="H1719" s="2">
        <f t="shared" si="78"/>
        <v>13.5</v>
      </c>
      <c r="I1719" s="3">
        <f t="shared" si="79"/>
        <v>1.2751487673561915E-2</v>
      </c>
    </row>
    <row r="1720" spans="2:9" x14ac:dyDescent="0.25">
      <c r="B1720" s="1">
        <v>37685</v>
      </c>
      <c r="C1720" s="2">
        <v>1040.7</v>
      </c>
      <c r="D1720" s="2">
        <v>1046.55</v>
      </c>
      <c r="E1720" s="2">
        <v>1046.55</v>
      </c>
      <c r="F1720" s="2">
        <v>1029.9000000000001</v>
      </c>
      <c r="G1720" s="3">
        <f t="shared" si="80"/>
        <v>-5.6373017389641511E-3</v>
      </c>
      <c r="H1720" s="2">
        <f t="shared" si="78"/>
        <v>16.649999999999864</v>
      </c>
      <c r="I1720" s="3">
        <f t="shared" si="79"/>
        <v>1.5909416654722529E-2</v>
      </c>
    </row>
    <row r="1721" spans="2:9" x14ac:dyDescent="0.25">
      <c r="B1721" s="1">
        <v>37686</v>
      </c>
      <c r="C1721" s="2">
        <v>1031.25</v>
      </c>
      <c r="D1721" s="2">
        <v>1040.3</v>
      </c>
      <c r="E1721" s="2">
        <v>1040.75</v>
      </c>
      <c r="F1721" s="2">
        <v>1029.55</v>
      </c>
      <c r="G1721" s="3">
        <f t="shared" si="80"/>
        <v>-9.0804266359181263E-3</v>
      </c>
      <c r="H1721" s="2">
        <f t="shared" si="78"/>
        <v>11.200000000000045</v>
      </c>
      <c r="I1721" s="3">
        <f t="shared" si="79"/>
        <v>1.0766125156204984E-2</v>
      </c>
    </row>
    <row r="1722" spans="2:9" x14ac:dyDescent="0.25">
      <c r="B1722" s="1">
        <v>37687</v>
      </c>
      <c r="C1722" s="2">
        <v>1017.1</v>
      </c>
      <c r="D1722" s="2">
        <v>1031.05</v>
      </c>
      <c r="E1722" s="2">
        <v>1031.05</v>
      </c>
      <c r="F1722" s="2">
        <v>1014.3</v>
      </c>
      <c r="G1722" s="3">
        <f t="shared" si="80"/>
        <v>-1.3721212121212134E-2</v>
      </c>
      <c r="H1722" s="2">
        <f t="shared" si="78"/>
        <v>16.75</v>
      </c>
      <c r="I1722" s="3">
        <f t="shared" si="79"/>
        <v>1.6245574899374424E-2</v>
      </c>
    </row>
    <row r="1723" spans="2:9" x14ac:dyDescent="0.25">
      <c r="B1723" s="1">
        <v>37690</v>
      </c>
      <c r="C1723" s="2">
        <v>1006.7</v>
      </c>
      <c r="D1723" s="2">
        <v>1017.1</v>
      </c>
      <c r="E1723" s="2">
        <v>1021.5</v>
      </c>
      <c r="F1723" s="2">
        <v>1004.35</v>
      </c>
      <c r="G1723" s="3">
        <f t="shared" si="80"/>
        <v>-1.0225149936092803E-2</v>
      </c>
      <c r="H1723" s="2">
        <f t="shared" si="78"/>
        <v>17.149999999999977</v>
      </c>
      <c r="I1723" s="3">
        <f t="shared" si="79"/>
        <v>1.6861665519614568E-2</v>
      </c>
    </row>
    <row r="1724" spans="2:9" x14ac:dyDescent="0.25">
      <c r="B1724" s="1">
        <v>37691</v>
      </c>
      <c r="C1724" s="2">
        <v>1014.55</v>
      </c>
      <c r="D1724" s="2">
        <v>1006.65</v>
      </c>
      <c r="E1724" s="2">
        <v>1016.7</v>
      </c>
      <c r="F1724">
        <v>998.95</v>
      </c>
      <c r="G1724" s="3">
        <f t="shared" si="80"/>
        <v>7.7977550412238195E-3</v>
      </c>
      <c r="H1724" s="2">
        <f t="shared" si="78"/>
        <v>17.75</v>
      </c>
      <c r="I1724" s="3">
        <f t="shared" si="79"/>
        <v>1.7632742263944769E-2</v>
      </c>
    </row>
    <row r="1725" spans="2:9" x14ac:dyDescent="0.25">
      <c r="B1725" s="1">
        <v>37692</v>
      </c>
      <c r="C1725" s="2">
        <v>1001.7</v>
      </c>
      <c r="D1725" s="2">
        <v>1014.25</v>
      </c>
      <c r="E1725" s="2">
        <v>1017.75</v>
      </c>
      <c r="F1725" s="2">
        <v>1000.05</v>
      </c>
      <c r="G1725" s="3">
        <f t="shared" si="80"/>
        <v>-1.2665713863289074E-2</v>
      </c>
      <c r="H1725" s="2">
        <f t="shared" si="78"/>
        <v>17.700000000000045</v>
      </c>
      <c r="I1725" s="3">
        <f t="shared" si="79"/>
        <v>1.7451318708405269E-2</v>
      </c>
    </row>
    <row r="1726" spans="2:9" x14ac:dyDescent="0.25">
      <c r="B1726" s="1">
        <v>37693</v>
      </c>
      <c r="C1726">
        <v>999.65</v>
      </c>
      <c r="D1726" s="2">
        <v>1001.5</v>
      </c>
      <c r="E1726" s="2">
        <v>1006.4</v>
      </c>
      <c r="F1726">
        <v>994.2</v>
      </c>
      <c r="G1726" s="3">
        <f t="shared" si="80"/>
        <v>-2.0465209144454599E-3</v>
      </c>
      <c r="H1726" s="2">
        <f t="shared" si="78"/>
        <v>12.199999999999932</v>
      </c>
      <c r="I1726" s="3">
        <f t="shared" si="79"/>
        <v>1.2181727408886601E-2</v>
      </c>
    </row>
    <row r="1727" spans="2:9" x14ac:dyDescent="0.25">
      <c r="B1727" s="1">
        <v>37697</v>
      </c>
      <c r="C1727">
        <v>993</v>
      </c>
      <c r="D1727">
        <v>999.7</v>
      </c>
      <c r="E1727" s="2">
        <v>1000.85</v>
      </c>
      <c r="F1727">
        <v>982.7</v>
      </c>
      <c r="G1727" s="3">
        <f t="shared" si="80"/>
        <v>-6.6523283149102497E-3</v>
      </c>
      <c r="H1727" s="2">
        <f t="shared" si="78"/>
        <v>18.149999999999977</v>
      </c>
      <c r="I1727" s="3">
        <f t="shared" si="79"/>
        <v>1.8155446633990175E-2</v>
      </c>
    </row>
    <row r="1728" spans="2:9" x14ac:dyDescent="0.25">
      <c r="B1728" s="1">
        <v>37699</v>
      </c>
      <c r="C1728" s="2">
        <v>1003.9</v>
      </c>
      <c r="D1728">
        <v>993.35</v>
      </c>
      <c r="E1728" s="2">
        <v>1011.45</v>
      </c>
      <c r="F1728">
        <v>992.9</v>
      </c>
      <c r="G1728" s="3">
        <f t="shared" si="80"/>
        <v>1.0976837865055433E-2</v>
      </c>
      <c r="H1728" s="2">
        <f t="shared" si="78"/>
        <v>18.550000000000068</v>
      </c>
      <c r="I1728" s="3">
        <f t="shared" si="79"/>
        <v>1.8674183319071894E-2</v>
      </c>
    </row>
    <row r="1729" spans="2:9" x14ac:dyDescent="0.25">
      <c r="B1729" s="1">
        <v>37700</v>
      </c>
      <c r="C1729" s="2">
        <v>1025.25</v>
      </c>
      <c r="D1729" s="2">
        <v>1003.45</v>
      </c>
      <c r="E1729" s="2">
        <v>1028.9000000000001</v>
      </c>
      <c r="F1729" s="2">
        <v>1001.75</v>
      </c>
      <c r="G1729" s="3">
        <f t="shared" si="80"/>
        <v>2.1267058471959421E-2</v>
      </c>
      <c r="H1729" s="2">
        <f t="shared" si="78"/>
        <v>27.150000000000091</v>
      </c>
      <c r="I1729" s="3">
        <f t="shared" si="79"/>
        <v>2.7056654541830774E-2</v>
      </c>
    </row>
    <row r="1730" spans="2:9" x14ac:dyDescent="0.25">
      <c r="B1730" s="1">
        <v>37701</v>
      </c>
      <c r="C1730" s="2">
        <v>1030.55</v>
      </c>
      <c r="D1730" s="2">
        <v>1025.55</v>
      </c>
      <c r="E1730" s="2">
        <v>1033.7</v>
      </c>
      <c r="F1730" s="2">
        <v>1022.05</v>
      </c>
      <c r="G1730" s="3">
        <f t="shared" si="80"/>
        <v>5.1694708607656903E-3</v>
      </c>
      <c r="H1730" s="2">
        <f t="shared" si="78"/>
        <v>11.650000000000091</v>
      </c>
      <c r="I1730" s="3">
        <f t="shared" si="79"/>
        <v>1.1359758178538435E-2</v>
      </c>
    </row>
    <row r="1731" spans="2:9" x14ac:dyDescent="0.25">
      <c r="B1731" s="1">
        <v>37702</v>
      </c>
      <c r="C1731" s="2">
        <v>1037.1500000000001</v>
      </c>
      <c r="D1731" s="2">
        <v>1030.5999999999999</v>
      </c>
      <c r="E1731" s="2">
        <v>1039.8</v>
      </c>
      <c r="F1731" s="2">
        <v>1030.5999999999999</v>
      </c>
      <c r="G1731" s="3">
        <f t="shared" si="80"/>
        <v>6.4043471932464513E-3</v>
      </c>
      <c r="H1731" s="2">
        <f t="shared" si="78"/>
        <v>9.2000000000000455</v>
      </c>
      <c r="I1731" s="3">
        <f t="shared" si="79"/>
        <v>8.9268387347176854E-3</v>
      </c>
    </row>
    <row r="1732" spans="2:9" x14ac:dyDescent="0.25">
      <c r="B1732" s="1">
        <v>37704</v>
      </c>
      <c r="C1732" s="2">
        <v>1013.9</v>
      </c>
      <c r="D1732" s="2">
        <v>1037.1500000000001</v>
      </c>
      <c r="E1732" s="2">
        <v>1038.55</v>
      </c>
      <c r="F1732" s="2">
        <v>1011.95</v>
      </c>
      <c r="G1732" s="3">
        <f t="shared" si="80"/>
        <v>-2.2417200983464447E-2</v>
      </c>
      <c r="H1732" s="2">
        <f t="shared" si="78"/>
        <v>26.599999999999909</v>
      </c>
      <c r="I1732" s="3">
        <f t="shared" si="79"/>
        <v>2.5647206286457992E-2</v>
      </c>
    </row>
    <row r="1733" spans="2:9" x14ac:dyDescent="0.25">
      <c r="B1733" s="1">
        <v>37705</v>
      </c>
      <c r="C1733" s="2">
        <v>1011.3</v>
      </c>
      <c r="D1733" s="2">
        <v>1013.5</v>
      </c>
      <c r="E1733" s="2">
        <v>1013.5</v>
      </c>
      <c r="F1733">
        <v>998.4</v>
      </c>
      <c r="G1733" s="3">
        <f t="shared" si="80"/>
        <v>-2.5643554591182616E-3</v>
      </c>
      <c r="H1733" s="2">
        <f t="shared" ref="H1733:H1796" si="81">E1733-F1733</f>
        <v>15.100000000000023</v>
      </c>
      <c r="I1733" s="3">
        <f t="shared" si="79"/>
        <v>1.4898865318204266E-2</v>
      </c>
    </row>
    <row r="1734" spans="2:9" x14ac:dyDescent="0.25">
      <c r="B1734" s="1">
        <v>37706</v>
      </c>
      <c r="C1734" s="2">
        <v>1013.85</v>
      </c>
      <c r="D1734" s="2">
        <v>1011.55</v>
      </c>
      <c r="E1734" s="2">
        <v>1019.9</v>
      </c>
      <c r="F1734" s="2">
        <v>1004.85</v>
      </c>
      <c r="G1734" s="3">
        <f t="shared" si="80"/>
        <v>2.5215069712252181E-3</v>
      </c>
      <c r="H1734" s="2">
        <f t="shared" si="81"/>
        <v>15.049999999999955</v>
      </c>
      <c r="I1734" s="3">
        <f t="shared" ref="I1734:I1797" si="82">H1734/D1734</f>
        <v>1.4878157283376952E-2</v>
      </c>
    </row>
    <row r="1735" spans="2:9" x14ac:dyDescent="0.25">
      <c r="B1735" s="1">
        <v>37707</v>
      </c>
      <c r="C1735" s="2">
        <v>1002.7</v>
      </c>
      <c r="D1735" s="2">
        <v>1013.9</v>
      </c>
      <c r="E1735" s="2">
        <v>1013.9</v>
      </c>
      <c r="F1735">
        <v>999.6</v>
      </c>
      <c r="G1735" s="3">
        <f t="shared" ref="G1735:G1798" si="83">C1735/C1734-1</f>
        <v>-1.0997682102875106E-2</v>
      </c>
      <c r="H1735" s="2">
        <f t="shared" si="81"/>
        <v>14.299999999999955</v>
      </c>
      <c r="I1735" s="3">
        <f t="shared" si="82"/>
        <v>1.4103955025150364E-2</v>
      </c>
    </row>
    <row r="1736" spans="2:9" x14ac:dyDescent="0.25">
      <c r="B1736" s="1">
        <v>37708</v>
      </c>
      <c r="C1736" s="2">
        <v>1000.6</v>
      </c>
      <c r="D1736" s="2">
        <v>1002.8</v>
      </c>
      <c r="E1736" s="2">
        <v>1006.3</v>
      </c>
      <c r="F1736">
        <v>996.75</v>
      </c>
      <c r="G1736" s="3">
        <f t="shared" si="83"/>
        <v>-2.0943452677770757E-3</v>
      </c>
      <c r="H1736" s="2">
        <f t="shared" si="81"/>
        <v>9.5499999999999545</v>
      </c>
      <c r="I1736" s="3">
        <f t="shared" si="82"/>
        <v>9.5233346629437117E-3</v>
      </c>
    </row>
    <row r="1737" spans="2:9" x14ac:dyDescent="0.25">
      <c r="B1737" s="1">
        <v>37711</v>
      </c>
      <c r="C1737">
        <v>978.2</v>
      </c>
      <c r="D1737" s="2">
        <v>1000.6</v>
      </c>
      <c r="E1737" s="2">
        <v>1000.6</v>
      </c>
      <c r="F1737">
        <v>974.1</v>
      </c>
      <c r="G1737" s="3">
        <f t="shared" si="83"/>
        <v>-2.2386568059164502E-2</v>
      </c>
      <c r="H1737" s="2">
        <f t="shared" si="81"/>
        <v>26.5</v>
      </c>
      <c r="I1737" s="3">
        <f t="shared" si="82"/>
        <v>2.6484109534279432E-2</v>
      </c>
    </row>
    <row r="1738" spans="2:9" x14ac:dyDescent="0.25">
      <c r="B1738" s="1">
        <v>37712</v>
      </c>
      <c r="C1738">
        <v>984.3</v>
      </c>
      <c r="D1738">
        <v>977.4</v>
      </c>
      <c r="E1738">
        <v>992.05</v>
      </c>
      <c r="F1738">
        <v>973.5</v>
      </c>
      <c r="G1738" s="3">
        <f t="shared" si="83"/>
        <v>6.2359435698220445E-3</v>
      </c>
      <c r="H1738" s="2">
        <f t="shared" si="81"/>
        <v>18.549999999999955</v>
      </c>
      <c r="I1738" s="3">
        <f t="shared" si="82"/>
        <v>1.8978923675056224E-2</v>
      </c>
    </row>
    <row r="1739" spans="2:9" x14ac:dyDescent="0.25">
      <c r="B1739" s="1">
        <v>37713</v>
      </c>
      <c r="C1739">
        <v>999.4</v>
      </c>
      <c r="D1739">
        <v>984.45</v>
      </c>
      <c r="E1739" s="2">
        <v>1002.1</v>
      </c>
      <c r="F1739">
        <v>984.45</v>
      </c>
      <c r="G1739" s="3">
        <f t="shared" si="83"/>
        <v>1.5340851366453245E-2</v>
      </c>
      <c r="H1739" s="2">
        <f t="shared" si="81"/>
        <v>17.649999999999977</v>
      </c>
      <c r="I1739" s="3">
        <f t="shared" si="82"/>
        <v>1.7928792726903325E-2</v>
      </c>
    </row>
    <row r="1740" spans="2:9" x14ac:dyDescent="0.25">
      <c r="B1740" s="1">
        <v>37714</v>
      </c>
      <c r="C1740" s="2">
        <v>1009.15</v>
      </c>
      <c r="D1740">
        <v>999.55</v>
      </c>
      <c r="E1740" s="2">
        <v>1010.75</v>
      </c>
      <c r="F1740">
        <v>999.55</v>
      </c>
      <c r="G1740" s="3">
        <f t="shared" si="83"/>
        <v>9.755853512107171E-3</v>
      </c>
      <c r="H1740" s="2">
        <f t="shared" si="81"/>
        <v>11.200000000000045</v>
      </c>
      <c r="I1740" s="3">
        <f t="shared" si="82"/>
        <v>1.1205042269021106E-2</v>
      </c>
    </row>
    <row r="1741" spans="2:9" x14ac:dyDescent="0.25">
      <c r="B1741" s="1">
        <v>37715</v>
      </c>
      <c r="C1741" s="2">
        <v>1016.95</v>
      </c>
      <c r="D1741" s="2">
        <v>1009.15</v>
      </c>
      <c r="E1741" s="2">
        <v>1018.25</v>
      </c>
      <c r="F1741" s="2">
        <v>1002.75</v>
      </c>
      <c r="G1741" s="3">
        <f t="shared" si="83"/>
        <v>7.729277114403299E-3</v>
      </c>
      <c r="H1741" s="2">
        <f t="shared" si="81"/>
        <v>15.5</v>
      </c>
      <c r="I1741" s="3">
        <f t="shared" si="82"/>
        <v>1.5359460932467919E-2</v>
      </c>
    </row>
    <row r="1742" spans="2:9" x14ac:dyDescent="0.25">
      <c r="B1742" s="1">
        <v>37718</v>
      </c>
      <c r="C1742" s="2">
        <v>1031.5</v>
      </c>
      <c r="D1742" s="2">
        <v>1017.05</v>
      </c>
      <c r="E1742" s="2">
        <v>1033.45</v>
      </c>
      <c r="F1742" s="2">
        <v>1017.05</v>
      </c>
      <c r="G1742" s="3">
        <f t="shared" si="83"/>
        <v>1.4307488077093256E-2</v>
      </c>
      <c r="H1742" s="2">
        <f t="shared" si="81"/>
        <v>16.400000000000091</v>
      </c>
      <c r="I1742" s="3">
        <f t="shared" si="82"/>
        <v>1.6125067597463343E-2</v>
      </c>
    </row>
    <row r="1743" spans="2:9" x14ac:dyDescent="0.25">
      <c r="B1743" s="1">
        <v>37719</v>
      </c>
      <c r="C1743" s="2">
        <v>1018.1</v>
      </c>
      <c r="D1743" s="2">
        <v>1032</v>
      </c>
      <c r="E1743" s="2">
        <v>1032</v>
      </c>
      <c r="F1743" s="2">
        <v>1016.6</v>
      </c>
      <c r="G1743" s="3">
        <f t="shared" si="83"/>
        <v>-1.2990790111488071E-2</v>
      </c>
      <c r="H1743" s="2">
        <f t="shared" si="81"/>
        <v>15.399999999999977</v>
      </c>
      <c r="I1743" s="3">
        <f t="shared" si="82"/>
        <v>1.4922480620155016E-2</v>
      </c>
    </row>
    <row r="1744" spans="2:9" x14ac:dyDescent="0.25">
      <c r="B1744" s="1">
        <v>37720</v>
      </c>
      <c r="C1744" s="2">
        <v>1004.85</v>
      </c>
      <c r="D1744" s="2">
        <v>1018</v>
      </c>
      <c r="E1744" s="2">
        <v>1018</v>
      </c>
      <c r="F1744" s="2">
        <v>1002.3</v>
      </c>
      <c r="G1744" s="3">
        <f t="shared" si="83"/>
        <v>-1.3014438660249539E-2</v>
      </c>
      <c r="H1744" s="2">
        <f t="shared" si="81"/>
        <v>15.700000000000045</v>
      </c>
      <c r="I1744" s="3">
        <f t="shared" si="82"/>
        <v>1.5422396856581578E-2</v>
      </c>
    </row>
    <row r="1745" spans="2:9" x14ac:dyDescent="0.25">
      <c r="B1745" s="1">
        <v>37721</v>
      </c>
      <c r="C1745">
        <v>962.2</v>
      </c>
      <c r="D1745" s="2">
        <v>1003.8</v>
      </c>
      <c r="E1745" s="2">
        <v>1003.8</v>
      </c>
      <c r="F1745">
        <v>958.2</v>
      </c>
      <c r="G1745" s="3">
        <f t="shared" si="83"/>
        <v>-4.2444145892421736E-2</v>
      </c>
      <c r="H1745" s="2">
        <f t="shared" si="81"/>
        <v>45.599999999999909</v>
      </c>
      <c r="I1745" s="3">
        <f t="shared" si="82"/>
        <v>4.5427375971308935E-2</v>
      </c>
    </row>
    <row r="1746" spans="2:9" x14ac:dyDescent="0.25">
      <c r="B1746" s="1">
        <v>37722</v>
      </c>
      <c r="C1746">
        <v>949.8</v>
      </c>
      <c r="D1746">
        <v>958.9</v>
      </c>
      <c r="E1746">
        <v>965.15</v>
      </c>
      <c r="F1746">
        <v>935.7</v>
      </c>
      <c r="G1746" s="3">
        <f t="shared" si="83"/>
        <v>-1.2887133652047522E-2</v>
      </c>
      <c r="H1746" s="2">
        <f t="shared" si="81"/>
        <v>29.449999999999932</v>
      </c>
      <c r="I1746" s="3">
        <f t="shared" si="82"/>
        <v>3.0712274481176277E-2</v>
      </c>
    </row>
    <row r="1747" spans="2:9" x14ac:dyDescent="0.25">
      <c r="B1747" s="1">
        <v>37726</v>
      </c>
      <c r="C1747">
        <v>951.2</v>
      </c>
      <c r="D1747">
        <v>951.8</v>
      </c>
      <c r="E1747">
        <v>964.2</v>
      </c>
      <c r="F1747">
        <v>938.8</v>
      </c>
      <c r="G1747" s="3">
        <f t="shared" si="83"/>
        <v>1.4739945251633912E-3</v>
      </c>
      <c r="H1747" s="2">
        <f t="shared" si="81"/>
        <v>25.400000000000091</v>
      </c>
      <c r="I1747" s="3">
        <f t="shared" si="82"/>
        <v>2.6686278629964377E-2</v>
      </c>
    </row>
    <row r="1748" spans="2:9" x14ac:dyDescent="0.25">
      <c r="B1748" s="1">
        <v>37727</v>
      </c>
      <c r="C1748">
        <v>958.65</v>
      </c>
      <c r="D1748">
        <v>950.65</v>
      </c>
      <c r="E1748">
        <v>961.75</v>
      </c>
      <c r="F1748">
        <v>949</v>
      </c>
      <c r="G1748" s="3">
        <f t="shared" si="83"/>
        <v>7.8322119428089199E-3</v>
      </c>
      <c r="H1748" s="2">
        <f t="shared" si="81"/>
        <v>12.75</v>
      </c>
      <c r="I1748" s="3">
        <f t="shared" si="82"/>
        <v>1.3411876084784096E-2</v>
      </c>
    </row>
    <row r="1749" spans="2:9" x14ac:dyDescent="0.25">
      <c r="B1749" s="1">
        <v>37728</v>
      </c>
      <c r="C1749">
        <v>940.7</v>
      </c>
      <c r="D1749">
        <v>958.65</v>
      </c>
      <c r="E1749">
        <v>958.65</v>
      </c>
      <c r="F1749">
        <v>936.7</v>
      </c>
      <c r="G1749" s="3">
        <f t="shared" si="83"/>
        <v>-1.8724247639910208E-2</v>
      </c>
      <c r="H1749" s="2">
        <f t="shared" si="81"/>
        <v>21.949999999999932</v>
      </c>
      <c r="I1749" s="3">
        <f t="shared" si="82"/>
        <v>2.2896781932926439E-2</v>
      </c>
    </row>
    <row r="1750" spans="2:9" x14ac:dyDescent="0.25">
      <c r="B1750" s="1">
        <v>37732</v>
      </c>
      <c r="C1750">
        <v>947.2</v>
      </c>
      <c r="D1750">
        <v>941.5</v>
      </c>
      <c r="E1750">
        <v>949.7</v>
      </c>
      <c r="F1750">
        <v>941.5</v>
      </c>
      <c r="G1750" s="3">
        <f t="shared" si="83"/>
        <v>6.9097480599553673E-3</v>
      </c>
      <c r="H1750" s="2">
        <f t="shared" si="81"/>
        <v>8.2000000000000455</v>
      </c>
      <c r="I1750" s="3">
        <f t="shared" si="82"/>
        <v>8.7095061072756715E-3</v>
      </c>
    </row>
    <row r="1751" spans="2:9" x14ac:dyDescent="0.25">
      <c r="B1751" s="1">
        <v>37733</v>
      </c>
      <c r="C1751">
        <v>943.5</v>
      </c>
      <c r="D1751">
        <v>947.1</v>
      </c>
      <c r="E1751">
        <v>951.4</v>
      </c>
      <c r="F1751">
        <v>937.85</v>
      </c>
      <c r="G1751" s="3">
        <f t="shared" si="83"/>
        <v>-3.90625E-3</v>
      </c>
      <c r="H1751" s="2">
        <f t="shared" si="81"/>
        <v>13.549999999999955</v>
      </c>
      <c r="I1751" s="3">
        <f t="shared" si="82"/>
        <v>1.4306831380002064E-2</v>
      </c>
    </row>
    <row r="1752" spans="2:9" x14ac:dyDescent="0.25">
      <c r="B1752" s="1">
        <v>37734</v>
      </c>
      <c r="C1752">
        <v>934.2</v>
      </c>
      <c r="D1752">
        <v>943.75</v>
      </c>
      <c r="E1752">
        <v>951.2</v>
      </c>
      <c r="F1752">
        <v>931.5</v>
      </c>
      <c r="G1752" s="3">
        <f t="shared" si="83"/>
        <v>-9.8569157392686124E-3</v>
      </c>
      <c r="H1752" s="2">
        <f t="shared" si="81"/>
        <v>19.700000000000045</v>
      </c>
      <c r="I1752" s="3">
        <f t="shared" si="82"/>
        <v>2.0874172185430511E-2</v>
      </c>
    </row>
    <row r="1753" spans="2:9" x14ac:dyDescent="0.25">
      <c r="B1753" s="1">
        <v>37735</v>
      </c>
      <c r="C1753">
        <v>929.7</v>
      </c>
      <c r="D1753">
        <v>934.2</v>
      </c>
      <c r="E1753">
        <v>943.15</v>
      </c>
      <c r="F1753">
        <v>927.8</v>
      </c>
      <c r="G1753" s="3">
        <f t="shared" si="83"/>
        <v>-4.816955684007751E-3</v>
      </c>
      <c r="H1753" s="2">
        <f t="shared" si="81"/>
        <v>15.350000000000023</v>
      </c>
      <c r="I1753" s="3">
        <f t="shared" si="82"/>
        <v>1.6431171055448536E-2</v>
      </c>
    </row>
    <row r="1754" spans="2:9" x14ac:dyDescent="0.25">
      <c r="B1754" s="1">
        <v>37736</v>
      </c>
      <c r="C1754">
        <v>924.3</v>
      </c>
      <c r="D1754">
        <v>929.45</v>
      </c>
      <c r="E1754">
        <v>931.35</v>
      </c>
      <c r="F1754">
        <v>921.1</v>
      </c>
      <c r="G1754" s="3">
        <f t="shared" si="83"/>
        <v>-5.8083252662149976E-3</v>
      </c>
      <c r="H1754" s="2">
        <f t="shared" si="81"/>
        <v>10.25</v>
      </c>
      <c r="I1754" s="3">
        <f t="shared" si="82"/>
        <v>1.1028027327989671E-2</v>
      </c>
    </row>
    <row r="1755" spans="2:9" x14ac:dyDescent="0.25">
      <c r="B1755" s="1">
        <v>37739</v>
      </c>
      <c r="C1755">
        <v>929.5</v>
      </c>
      <c r="D1755">
        <v>922.85</v>
      </c>
      <c r="E1755">
        <v>931.05</v>
      </c>
      <c r="F1755">
        <v>920</v>
      </c>
      <c r="G1755" s="3">
        <f t="shared" si="83"/>
        <v>5.6258790436005679E-3</v>
      </c>
      <c r="H1755" s="2">
        <f t="shared" si="81"/>
        <v>11.049999999999955</v>
      </c>
      <c r="I1755" s="3">
        <f t="shared" si="82"/>
        <v>1.197377688681796E-2</v>
      </c>
    </row>
    <row r="1756" spans="2:9" x14ac:dyDescent="0.25">
      <c r="B1756" s="1">
        <v>37740</v>
      </c>
      <c r="C1756">
        <v>932.3</v>
      </c>
      <c r="D1756">
        <v>929.75</v>
      </c>
      <c r="E1756">
        <v>936.9</v>
      </c>
      <c r="F1756">
        <v>929.75</v>
      </c>
      <c r="G1756" s="3">
        <f t="shared" si="83"/>
        <v>3.0123722431414368E-3</v>
      </c>
      <c r="H1756" s="2">
        <f t="shared" si="81"/>
        <v>7.1499999999999773</v>
      </c>
      <c r="I1756" s="3">
        <f t="shared" si="82"/>
        <v>7.6902393116428901E-3</v>
      </c>
    </row>
    <row r="1757" spans="2:9" x14ac:dyDescent="0.25">
      <c r="B1757" s="1">
        <v>37741</v>
      </c>
      <c r="C1757">
        <v>934.05</v>
      </c>
      <c r="D1757">
        <v>935.25</v>
      </c>
      <c r="E1757">
        <v>935.55</v>
      </c>
      <c r="F1757">
        <v>929.85</v>
      </c>
      <c r="G1757" s="3">
        <f t="shared" si="83"/>
        <v>1.8770781937145209E-3</v>
      </c>
      <c r="H1757" s="2">
        <f t="shared" si="81"/>
        <v>5.6999999999999318</v>
      </c>
      <c r="I1757" s="3">
        <f t="shared" si="82"/>
        <v>6.0946271050520522E-3</v>
      </c>
    </row>
    <row r="1758" spans="2:9" x14ac:dyDescent="0.25">
      <c r="B1758" s="1">
        <v>37743</v>
      </c>
      <c r="C1758">
        <v>938.3</v>
      </c>
      <c r="D1758">
        <v>930.9</v>
      </c>
      <c r="E1758">
        <v>940.2</v>
      </c>
      <c r="F1758">
        <v>930.8</v>
      </c>
      <c r="G1758" s="3">
        <f t="shared" si="83"/>
        <v>4.5500776189710823E-3</v>
      </c>
      <c r="H1758" s="2">
        <f t="shared" si="81"/>
        <v>9.4000000000000909</v>
      </c>
      <c r="I1758" s="3">
        <f t="shared" si="82"/>
        <v>1.0097754860887412E-2</v>
      </c>
    </row>
    <row r="1759" spans="2:9" x14ac:dyDescent="0.25">
      <c r="B1759" s="1">
        <v>37746</v>
      </c>
      <c r="C1759">
        <v>945.4</v>
      </c>
      <c r="D1759">
        <v>937.45</v>
      </c>
      <c r="E1759">
        <v>948.95</v>
      </c>
      <c r="F1759">
        <v>936.65</v>
      </c>
      <c r="G1759" s="3">
        <f t="shared" si="83"/>
        <v>7.5668762655867194E-3</v>
      </c>
      <c r="H1759" s="2">
        <f t="shared" si="81"/>
        <v>12.300000000000068</v>
      </c>
      <c r="I1759" s="3">
        <f t="shared" si="82"/>
        <v>1.3120699770654507E-2</v>
      </c>
    </row>
    <row r="1760" spans="2:9" x14ac:dyDescent="0.25">
      <c r="B1760" s="1">
        <v>37747</v>
      </c>
      <c r="C1760">
        <v>951.85</v>
      </c>
      <c r="D1760">
        <v>945.85</v>
      </c>
      <c r="E1760">
        <v>955</v>
      </c>
      <c r="F1760">
        <v>943.2</v>
      </c>
      <c r="G1760" s="3">
        <f t="shared" si="83"/>
        <v>6.8225089909033088E-3</v>
      </c>
      <c r="H1760" s="2">
        <f t="shared" si="81"/>
        <v>11.799999999999955</v>
      </c>
      <c r="I1760" s="3">
        <f t="shared" si="82"/>
        <v>1.2475551091610672E-2</v>
      </c>
    </row>
    <row r="1761" spans="2:9" x14ac:dyDescent="0.25">
      <c r="B1761" s="1">
        <v>37748</v>
      </c>
      <c r="C1761">
        <v>950.15</v>
      </c>
      <c r="D1761">
        <v>950.4</v>
      </c>
      <c r="E1761">
        <v>956.65</v>
      </c>
      <c r="F1761">
        <v>948.9</v>
      </c>
      <c r="G1761" s="3">
        <f t="shared" si="83"/>
        <v>-1.7859956925986298E-3</v>
      </c>
      <c r="H1761" s="2">
        <f t="shared" si="81"/>
        <v>7.75</v>
      </c>
      <c r="I1761" s="3">
        <f t="shared" si="82"/>
        <v>8.1544612794612805E-3</v>
      </c>
    </row>
    <row r="1762" spans="2:9" x14ac:dyDescent="0.25">
      <c r="B1762" s="1">
        <v>37749</v>
      </c>
      <c r="C1762">
        <v>941.55</v>
      </c>
      <c r="D1762">
        <v>950.15</v>
      </c>
      <c r="E1762">
        <v>951.3</v>
      </c>
      <c r="F1762">
        <v>938.7</v>
      </c>
      <c r="G1762" s="3">
        <f t="shared" si="83"/>
        <v>-9.0512024417197523E-3</v>
      </c>
      <c r="H1762" s="2">
        <f t="shared" si="81"/>
        <v>12.599999999999909</v>
      </c>
      <c r="I1762" s="3">
        <f t="shared" si="82"/>
        <v>1.3261064042519507E-2</v>
      </c>
    </row>
    <row r="1763" spans="2:9" x14ac:dyDescent="0.25">
      <c r="B1763" s="1">
        <v>37750</v>
      </c>
      <c r="C1763">
        <v>937.85</v>
      </c>
      <c r="D1763">
        <v>941.6</v>
      </c>
      <c r="E1763">
        <v>941.65</v>
      </c>
      <c r="F1763">
        <v>935.8</v>
      </c>
      <c r="G1763" s="3">
        <f t="shared" si="83"/>
        <v>-3.9296904041208336E-3</v>
      </c>
      <c r="H1763" s="2">
        <f t="shared" si="81"/>
        <v>5.8500000000000227</v>
      </c>
      <c r="I1763" s="3">
        <f t="shared" si="82"/>
        <v>6.2128292268479428E-3</v>
      </c>
    </row>
    <row r="1764" spans="2:9" x14ac:dyDescent="0.25">
      <c r="B1764" s="1">
        <v>37753</v>
      </c>
      <c r="C1764">
        <v>936</v>
      </c>
      <c r="D1764">
        <v>938.5</v>
      </c>
      <c r="E1764">
        <v>944.45</v>
      </c>
      <c r="F1764">
        <v>934</v>
      </c>
      <c r="G1764" s="3">
        <f t="shared" si="83"/>
        <v>-1.9725968971584518E-3</v>
      </c>
      <c r="H1764" s="2">
        <f t="shared" si="81"/>
        <v>10.450000000000045</v>
      </c>
      <c r="I1764" s="3">
        <f t="shared" si="82"/>
        <v>1.1134789557805056E-2</v>
      </c>
    </row>
    <row r="1765" spans="2:9" x14ac:dyDescent="0.25">
      <c r="B1765" s="1">
        <v>37754</v>
      </c>
      <c r="C1765">
        <v>944.2</v>
      </c>
      <c r="D1765">
        <v>936.9</v>
      </c>
      <c r="E1765">
        <v>945.8</v>
      </c>
      <c r="F1765">
        <v>936.7</v>
      </c>
      <c r="G1765" s="3">
        <f t="shared" si="83"/>
        <v>8.7606837606837296E-3</v>
      </c>
      <c r="H1765" s="2">
        <f t="shared" si="81"/>
        <v>9.0999999999999091</v>
      </c>
      <c r="I1765" s="3">
        <f t="shared" si="82"/>
        <v>9.7128829117300777E-3</v>
      </c>
    </row>
    <row r="1766" spans="2:9" x14ac:dyDescent="0.25">
      <c r="B1766" s="1">
        <v>37755</v>
      </c>
      <c r="C1766">
        <v>952.15</v>
      </c>
      <c r="D1766">
        <v>944.2</v>
      </c>
      <c r="E1766">
        <v>953.45</v>
      </c>
      <c r="F1766">
        <v>943.15</v>
      </c>
      <c r="G1766" s="3">
        <f t="shared" si="83"/>
        <v>8.4198263079855451E-3</v>
      </c>
      <c r="H1766" s="2">
        <f t="shared" si="81"/>
        <v>10.300000000000068</v>
      </c>
      <c r="I1766" s="3">
        <f t="shared" si="82"/>
        <v>1.0908705782673235E-2</v>
      </c>
    </row>
    <row r="1767" spans="2:9" x14ac:dyDescent="0.25">
      <c r="B1767" s="1">
        <v>37756</v>
      </c>
      <c r="C1767">
        <v>959.85</v>
      </c>
      <c r="D1767">
        <v>952.15</v>
      </c>
      <c r="E1767">
        <v>961.6</v>
      </c>
      <c r="F1767">
        <v>951.15</v>
      </c>
      <c r="G1767" s="3">
        <f t="shared" si="83"/>
        <v>8.0869610880638376E-3</v>
      </c>
      <c r="H1767" s="2">
        <f t="shared" si="81"/>
        <v>10.450000000000045</v>
      </c>
      <c r="I1767" s="3">
        <f t="shared" si="82"/>
        <v>1.0975161476658137E-2</v>
      </c>
    </row>
    <row r="1768" spans="2:9" x14ac:dyDescent="0.25">
      <c r="B1768" s="1">
        <v>37757</v>
      </c>
      <c r="C1768">
        <v>973.1</v>
      </c>
      <c r="D1768">
        <v>959.85</v>
      </c>
      <c r="E1768">
        <v>974.4</v>
      </c>
      <c r="F1768">
        <v>959.85</v>
      </c>
      <c r="G1768" s="3">
        <f t="shared" si="83"/>
        <v>1.3804240245871791E-2</v>
      </c>
      <c r="H1768" s="2">
        <f t="shared" si="81"/>
        <v>14.549999999999955</v>
      </c>
      <c r="I1768" s="3">
        <f t="shared" si="82"/>
        <v>1.5158618534145912E-2</v>
      </c>
    </row>
    <row r="1769" spans="2:9" x14ac:dyDescent="0.25">
      <c r="B1769" s="1">
        <v>37760</v>
      </c>
      <c r="C1769">
        <v>966.55</v>
      </c>
      <c r="D1769">
        <v>973.7</v>
      </c>
      <c r="E1769">
        <v>979.85</v>
      </c>
      <c r="F1769">
        <v>964.6</v>
      </c>
      <c r="G1769" s="3">
        <f t="shared" si="83"/>
        <v>-6.7310656664270052E-3</v>
      </c>
      <c r="H1769" s="2">
        <f t="shared" si="81"/>
        <v>15.25</v>
      </c>
      <c r="I1769" s="3">
        <f t="shared" si="82"/>
        <v>1.5661908185272671E-2</v>
      </c>
    </row>
    <row r="1770" spans="2:9" x14ac:dyDescent="0.25">
      <c r="B1770" s="1">
        <v>37761</v>
      </c>
      <c r="C1770">
        <v>971.55</v>
      </c>
      <c r="D1770">
        <v>964.65</v>
      </c>
      <c r="E1770">
        <v>974.05</v>
      </c>
      <c r="F1770">
        <v>959.8</v>
      </c>
      <c r="G1770" s="3">
        <f t="shared" si="83"/>
        <v>5.1730381252910185E-3</v>
      </c>
      <c r="H1770" s="2">
        <f t="shared" si="81"/>
        <v>14.25</v>
      </c>
      <c r="I1770" s="3">
        <f t="shared" si="82"/>
        <v>1.4772197169958015E-2</v>
      </c>
    </row>
    <row r="1771" spans="2:9" x14ac:dyDescent="0.25">
      <c r="B1771" s="1">
        <v>37762</v>
      </c>
      <c r="C1771">
        <v>968</v>
      </c>
      <c r="D1771">
        <v>972.05</v>
      </c>
      <c r="E1771">
        <v>980.75</v>
      </c>
      <c r="F1771">
        <v>965.55</v>
      </c>
      <c r="G1771" s="3">
        <f t="shared" si="83"/>
        <v>-3.6539550203282811E-3</v>
      </c>
      <c r="H1771" s="2">
        <f t="shared" si="81"/>
        <v>15.200000000000045</v>
      </c>
      <c r="I1771" s="3">
        <f t="shared" si="82"/>
        <v>1.5637055707011002E-2</v>
      </c>
    </row>
    <row r="1772" spans="2:9" x14ac:dyDescent="0.25">
      <c r="B1772" s="1">
        <v>37763</v>
      </c>
      <c r="C1772">
        <v>963.25</v>
      </c>
      <c r="D1772">
        <v>967.95</v>
      </c>
      <c r="E1772">
        <v>972.4</v>
      </c>
      <c r="F1772">
        <v>960.05</v>
      </c>
      <c r="G1772" s="3">
        <f t="shared" si="83"/>
        <v>-4.9070247933884481E-3</v>
      </c>
      <c r="H1772" s="2">
        <f t="shared" si="81"/>
        <v>12.350000000000023</v>
      </c>
      <c r="I1772" s="3">
        <f t="shared" si="82"/>
        <v>1.2758923498114595E-2</v>
      </c>
    </row>
    <row r="1773" spans="2:9" x14ac:dyDescent="0.25">
      <c r="B1773" s="1">
        <v>37764</v>
      </c>
      <c r="C1773">
        <v>967.9</v>
      </c>
      <c r="D1773">
        <v>963.5</v>
      </c>
      <c r="E1773">
        <v>972.9</v>
      </c>
      <c r="F1773">
        <v>962.4</v>
      </c>
      <c r="G1773" s="3">
        <f t="shared" si="83"/>
        <v>4.8274072151570646E-3</v>
      </c>
      <c r="H1773" s="2">
        <f t="shared" si="81"/>
        <v>10.5</v>
      </c>
      <c r="I1773" s="3">
        <f t="shared" si="82"/>
        <v>1.0897768552153606E-2</v>
      </c>
    </row>
    <row r="1774" spans="2:9" x14ac:dyDescent="0.25">
      <c r="B1774" s="1">
        <v>37767</v>
      </c>
      <c r="C1774">
        <v>982.45</v>
      </c>
      <c r="D1774">
        <v>967.85</v>
      </c>
      <c r="E1774">
        <v>983.9</v>
      </c>
      <c r="F1774">
        <v>967.1</v>
      </c>
      <c r="G1774" s="3">
        <f t="shared" si="83"/>
        <v>1.503254468436821E-2</v>
      </c>
      <c r="H1774" s="2">
        <f t="shared" si="81"/>
        <v>16.799999999999955</v>
      </c>
      <c r="I1774" s="3">
        <f t="shared" si="82"/>
        <v>1.7358061683112005E-2</v>
      </c>
    </row>
    <row r="1775" spans="2:9" x14ac:dyDescent="0.25">
      <c r="B1775" s="1">
        <v>37768</v>
      </c>
      <c r="C1775">
        <v>976.85</v>
      </c>
      <c r="D1775">
        <v>982.35</v>
      </c>
      <c r="E1775">
        <v>990</v>
      </c>
      <c r="F1775">
        <v>974.25</v>
      </c>
      <c r="G1775" s="3">
        <f t="shared" si="83"/>
        <v>-5.7000356252226991E-3</v>
      </c>
      <c r="H1775" s="2">
        <f t="shared" si="81"/>
        <v>15.75</v>
      </c>
      <c r="I1775" s="3">
        <f t="shared" si="82"/>
        <v>1.6032982134677048E-2</v>
      </c>
    </row>
    <row r="1776" spans="2:9" x14ac:dyDescent="0.25">
      <c r="B1776" s="1">
        <v>37769</v>
      </c>
      <c r="C1776">
        <v>990.8</v>
      </c>
      <c r="D1776">
        <v>977.65</v>
      </c>
      <c r="E1776">
        <v>992.25</v>
      </c>
      <c r="F1776">
        <v>977.55</v>
      </c>
      <c r="G1776" s="3">
        <f t="shared" si="83"/>
        <v>1.428059579259866E-2</v>
      </c>
      <c r="H1776" s="2">
        <f t="shared" si="81"/>
        <v>14.700000000000045</v>
      </c>
      <c r="I1776" s="3">
        <f t="shared" si="82"/>
        <v>1.5036055848207483E-2</v>
      </c>
    </row>
    <row r="1777" spans="2:9" x14ac:dyDescent="0.25">
      <c r="B1777" s="1">
        <v>37770</v>
      </c>
      <c r="C1777" s="2">
        <v>1002.6</v>
      </c>
      <c r="D1777">
        <v>990.8</v>
      </c>
      <c r="E1777" s="2">
        <v>1004.85</v>
      </c>
      <c r="F1777">
        <v>989.5</v>
      </c>
      <c r="G1777" s="3">
        <f t="shared" si="83"/>
        <v>1.1909568025837869E-2</v>
      </c>
      <c r="H1777" s="2">
        <f t="shared" si="81"/>
        <v>15.350000000000023</v>
      </c>
      <c r="I1777" s="3">
        <f t="shared" si="82"/>
        <v>1.5492531287848227E-2</v>
      </c>
    </row>
    <row r="1778" spans="2:9" x14ac:dyDescent="0.25">
      <c r="B1778" s="1">
        <v>37771</v>
      </c>
      <c r="C1778" s="2">
        <v>1006.8</v>
      </c>
      <c r="D1778" s="2">
        <v>1000.05</v>
      </c>
      <c r="E1778" s="2">
        <v>1013.85</v>
      </c>
      <c r="F1778">
        <v>994.65</v>
      </c>
      <c r="G1778" s="3">
        <f t="shared" si="83"/>
        <v>4.1891083183722699E-3</v>
      </c>
      <c r="H1778" s="2">
        <f t="shared" si="81"/>
        <v>19.200000000000045</v>
      </c>
      <c r="I1778" s="3">
        <f t="shared" si="82"/>
        <v>1.9199040047997648E-2</v>
      </c>
    </row>
    <row r="1779" spans="2:9" x14ac:dyDescent="0.25">
      <c r="B1779" s="1">
        <v>37774</v>
      </c>
      <c r="C1779" s="2">
        <v>1015.15</v>
      </c>
      <c r="D1779" s="2">
        <v>1006.85</v>
      </c>
      <c r="E1779" s="2">
        <v>1020.5</v>
      </c>
      <c r="F1779" s="2">
        <v>1004.7</v>
      </c>
      <c r="G1779" s="3">
        <f t="shared" si="83"/>
        <v>8.2936034962257654E-3</v>
      </c>
      <c r="H1779" s="2">
        <f t="shared" si="81"/>
        <v>15.799999999999955</v>
      </c>
      <c r="I1779" s="3">
        <f t="shared" si="82"/>
        <v>1.56925063316283E-2</v>
      </c>
    </row>
    <row r="1780" spans="2:9" x14ac:dyDescent="0.25">
      <c r="B1780" s="1">
        <v>37775</v>
      </c>
      <c r="C1780" s="2">
        <v>1010.65</v>
      </c>
      <c r="D1780" s="2">
        <v>1015.9</v>
      </c>
      <c r="E1780" s="2">
        <v>1016.9</v>
      </c>
      <c r="F1780" s="2">
        <v>1007.65</v>
      </c>
      <c r="G1780" s="3">
        <f t="shared" si="83"/>
        <v>-4.4328424370783104E-3</v>
      </c>
      <c r="H1780" s="2">
        <f t="shared" si="81"/>
        <v>9.25</v>
      </c>
      <c r="I1780" s="3">
        <f t="shared" si="82"/>
        <v>9.1052268924106707E-3</v>
      </c>
    </row>
    <row r="1781" spans="2:9" x14ac:dyDescent="0.25">
      <c r="B1781" s="1">
        <v>37776</v>
      </c>
      <c r="C1781" s="2">
        <v>1021.05</v>
      </c>
      <c r="D1781" s="2">
        <v>1010.7</v>
      </c>
      <c r="E1781" s="2">
        <v>1022.75</v>
      </c>
      <c r="F1781" s="2">
        <v>1010.1</v>
      </c>
      <c r="G1781" s="3">
        <f t="shared" si="83"/>
        <v>1.0290407163706439E-2</v>
      </c>
      <c r="H1781" s="2">
        <f t="shared" si="81"/>
        <v>12.649999999999977</v>
      </c>
      <c r="I1781" s="3">
        <f t="shared" si="82"/>
        <v>1.2516077965766278E-2</v>
      </c>
    </row>
    <row r="1782" spans="2:9" x14ac:dyDescent="0.25">
      <c r="B1782" s="1">
        <v>37777</v>
      </c>
      <c r="C1782" s="2">
        <v>1035.05</v>
      </c>
      <c r="D1782" s="2">
        <v>1021.1</v>
      </c>
      <c r="E1782" s="2">
        <v>1038.3</v>
      </c>
      <c r="F1782" s="2">
        <v>1021.1</v>
      </c>
      <c r="G1782" s="3">
        <f t="shared" si="83"/>
        <v>1.3711375544782411E-2</v>
      </c>
      <c r="H1782" s="2">
        <f t="shared" si="81"/>
        <v>17.199999999999932</v>
      </c>
      <c r="I1782" s="3">
        <f t="shared" si="82"/>
        <v>1.684457937518356E-2</v>
      </c>
    </row>
    <row r="1783" spans="2:9" x14ac:dyDescent="0.25">
      <c r="B1783" s="1">
        <v>37778</v>
      </c>
      <c r="C1783" s="2">
        <v>1046.4000000000001</v>
      </c>
      <c r="D1783" s="2">
        <v>1036.2</v>
      </c>
      <c r="E1783" s="2">
        <v>1048.8499999999999</v>
      </c>
      <c r="F1783" s="2">
        <v>1035.95</v>
      </c>
      <c r="G1783" s="3">
        <f t="shared" si="83"/>
        <v>1.0965653833148181E-2</v>
      </c>
      <c r="H1783" s="2">
        <f t="shared" si="81"/>
        <v>12.899999999999864</v>
      </c>
      <c r="I1783" s="3">
        <f t="shared" si="82"/>
        <v>1.2449334105384929E-2</v>
      </c>
    </row>
    <row r="1784" spans="2:9" x14ac:dyDescent="0.25">
      <c r="B1784" s="1">
        <v>37781</v>
      </c>
      <c r="C1784" s="2">
        <v>1052.0999999999999</v>
      </c>
      <c r="D1784" s="2">
        <v>1046</v>
      </c>
      <c r="E1784" s="2">
        <v>1057.05</v>
      </c>
      <c r="F1784" s="2">
        <v>1039.8499999999999</v>
      </c>
      <c r="G1784" s="3">
        <f t="shared" si="83"/>
        <v>5.4472477064217983E-3</v>
      </c>
      <c r="H1784" s="2">
        <f t="shared" si="81"/>
        <v>17.200000000000045</v>
      </c>
      <c r="I1784" s="3">
        <f t="shared" si="82"/>
        <v>1.6443594646271553E-2</v>
      </c>
    </row>
    <row r="1785" spans="2:9" x14ac:dyDescent="0.25">
      <c r="B1785" s="1">
        <v>37782</v>
      </c>
      <c r="C1785" s="2">
        <v>1037.8</v>
      </c>
      <c r="D1785" s="2">
        <v>1052</v>
      </c>
      <c r="E1785" s="2">
        <v>1056.55</v>
      </c>
      <c r="F1785" s="2">
        <v>1033.95</v>
      </c>
      <c r="G1785" s="3">
        <f t="shared" si="83"/>
        <v>-1.3591863891265099E-2</v>
      </c>
      <c r="H1785" s="2">
        <f t="shared" si="81"/>
        <v>22.599999999999909</v>
      </c>
      <c r="I1785" s="3">
        <f t="shared" si="82"/>
        <v>2.1482889733840219E-2</v>
      </c>
    </row>
    <row r="1786" spans="2:9" x14ac:dyDescent="0.25">
      <c r="B1786" s="1">
        <v>37783</v>
      </c>
      <c r="C1786" s="2">
        <v>1044.0999999999999</v>
      </c>
      <c r="D1786" s="2">
        <v>1038</v>
      </c>
      <c r="E1786" s="2">
        <v>1048.25</v>
      </c>
      <c r="F1786" s="2">
        <v>1035</v>
      </c>
      <c r="G1786" s="3">
        <f t="shared" si="83"/>
        <v>6.0705338215454319E-3</v>
      </c>
      <c r="H1786" s="2">
        <f t="shared" si="81"/>
        <v>13.25</v>
      </c>
      <c r="I1786" s="3">
        <f t="shared" si="82"/>
        <v>1.2764932562620424E-2</v>
      </c>
    </row>
    <row r="1787" spans="2:9" x14ac:dyDescent="0.25">
      <c r="B1787" s="1">
        <v>37784</v>
      </c>
      <c r="C1787" s="2">
        <v>1051.3</v>
      </c>
      <c r="D1787" s="2">
        <v>1044.2</v>
      </c>
      <c r="E1787" s="2">
        <v>1052.5999999999999</v>
      </c>
      <c r="F1787" s="2">
        <v>1043.0999999999999</v>
      </c>
      <c r="G1787" s="3">
        <f t="shared" si="83"/>
        <v>6.8958911981611415E-3</v>
      </c>
      <c r="H1787" s="2">
        <f t="shared" si="81"/>
        <v>9.5</v>
      </c>
      <c r="I1787" s="3">
        <f t="shared" si="82"/>
        <v>9.097873970503734E-3</v>
      </c>
    </row>
    <row r="1788" spans="2:9" x14ac:dyDescent="0.25">
      <c r="B1788" s="1">
        <v>37785</v>
      </c>
      <c r="C1788" s="2">
        <v>1056.2</v>
      </c>
      <c r="D1788" s="2">
        <v>1050.95</v>
      </c>
      <c r="E1788" s="2">
        <v>1059.45</v>
      </c>
      <c r="F1788" s="2">
        <v>1050.95</v>
      </c>
      <c r="G1788" s="3">
        <f t="shared" si="83"/>
        <v>4.660896033482409E-3</v>
      </c>
      <c r="H1788" s="2">
        <f t="shared" si="81"/>
        <v>8.5</v>
      </c>
      <c r="I1788" s="3">
        <f t="shared" si="82"/>
        <v>8.0879204529235443E-3</v>
      </c>
    </row>
    <row r="1789" spans="2:9" x14ac:dyDescent="0.25">
      <c r="B1789" s="1">
        <v>37788</v>
      </c>
      <c r="C1789" s="2">
        <v>1051.8</v>
      </c>
      <c r="D1789" s="2">
        <v>1056.5</v>
      </c>
      <c r="E1789" s="2">
        <v>1059.8</v>
      </c>
      <c r="F1789" s="2">
        <v>1045.55</v>
      </c>
      <c r="G1789" s="3">
        <f t="shared" si="83"/>
        <v>-4.1658776746829052E-3</v>
      </c>
      <c r="H1789" s="2">
        <f t="shared" si="81"/>
        <v>14.25</v>
      </c>
      <c r="I1789" s="3">
        <f t="shared" si="82"/>
        <v>1.3487931850449598E-2</v>
      </c>
    </row>
    <row r="1790" spans="2:9" x14ac:dyDescent="0.25">
      <c r="B1790" s="1">
        <v>37789</v>
      </c>
      <c r="C1790" s="2">
        <v>1081.95</v>
      </c>
      <c r="D1790" s="2">
        <v>1052.3</v>
      </c>
      <c r="E1790" s="2">
        <v>1083.2</v>
      </c>
      <c r="F1790" s="2">
        <v>1052.3</v>
      </c>
      <c r="G1790" s="3">
        <f t="shared" si="83"/>
        <v>2.8665145464917385E-2</v>
      </c>
      <c r="H1790" s="2">
        <f t="shared" si="81"/>
        <v>30.900000000000091</v>
      </c>
      <c r="I1790" s="3">
        <f t="shared" si="82"/>
        <v>2.9364249738667768E-2</v>
      </c>
    </row>
    <row r="1791" spans="2:9" x14ac:dyDescent="0.25">
      <c r="B1791" s="1">
        <v>37790</v>
      </c>
      <c r="C1791" s="2">
        <v>1086.75</v>
      </c>
      <c r="D1791" s="2">
        <v>1082.8</v>
      </c>
      <c r="E1791" s="2">
        <v>1093.2</v>
      </c>
      <c r="F1791" s="2">
        <v>1080.9000000000001</v>
      </c>
      <c r="G1791" s="3">
        <f t="shared" si="83"/>
        <v>4.436434215998819E-3</v>
      </c>
      <c r="H1791" s="2">
        <f t="shared" si="81"/>
        <v>12.299999999999955</v>
      </c>
      <c r="I1791" s="3">
        <f t="shared" si="82"/>
        <v>1.1359438492796413E-2</v>
      </c>
    </row>
    <row r="1792" spans="2:9" x14ac:dyDescent="0.25">
      <c r="B1792" s="1">
        <v>37791</v>
      </c>
      <c r="C1792" s="2">
        <v>1092.55</v>
      </c>
      <c r="D1792" s="2">
        <v>1085.95</v>
      </c>
      <c r="E1792" s="2">
        <v>1097</v>
      </c>
      <c r="F1792" s="2">
        <v>1078.9000000000001</v>
      </c>
      <c r="G1792" s="3">
        <f t="shared" si="83"/>
        <v>5.3370140326660653E-3</v>
      </c>
      <c r="H1792" s="2">
        <f t="shared" si="81"/>
        <v>18.099999999999909</v>
      </c>
      <c r="I1792" s="3">
        <f t="shared" si="82"/>
        <v>1.6667434043924591E-2</v>
      </c>
    </row>
    <row r="1793" spans="2:9" x14ac:dyDescent="0.25">
      <c r="B1793" s="1">
        <v>37792</v>
      </c>
      <c r="C1793" s="2">
        <v>1100.25</v>
      </c>
      <c r="D1793" s="2">
        <v>1092.6500000000001</v>
      </c>
      <c r="E1793" s="2">
        <v>1101.5999999999999</v>
      </c>
      <c r="F1793" s="2">
        <v>1081.3499999999999</v>
      </c>
      <c r="G1793" s="3">
        <f t="shared" si="83"/>
        <v>7.0477323692279548E-3</v>
      </c>
      <c r="H1793" s="2">
        <f t="shared" si="81"/>
        <v>20.25</v>
      </c>
      <c r="I1793" s="3">
        <f t="shared" si="82"/>
        <v>1.8532924541252917E-2</v>
      </c>
    </row>
    <row r="1794" spans="2:9" x14ac:dyDescent="0.25">
      <c r="B1794" s="1">
        <v>37795</v>
      </c>
      <c r="C1794" s="2">
        <v>1089.2</v>
      </c>
      <c r="D1794" s="2">
        <v>1100.5999999999999</v>
      </c>
      <c r="E1794" s="2">
        <v>1106.1500000000001</v>
      </c>
      <c r="F1794" s="2">
        <v>1087.6500000000001</v>
      </c>
      <c r="G1794" s="3">
        <f t="shared" si="83"/>
        <v>-1.0043172006362178E-2</v>
      </c>
      <c r="H1794" s="2">
        <f t="shared" si="81"/>
        <v>18.5</v>
      </c>
      <c r="I1794" s="3">
        <f t="shared" si="82"/>
        <v>1.680901326549155E-2</v>
      </c>
    </row>
    <row r="1795" spans="2:9" x14ac:dyDescent="0.25">
      <c r="B1795" s="1">
        <v>37796</v>
      </c>
      <c r="C1795" s="2">
        <v>1085.3499999999999</v>
      </c>
      <c r="D1795" s="2">
        <v>1089.2</v>
      </c>
      <c r="E1795" s="2">
        <v>1092.6500000000001</v>
      </c>
      <c r="F1795" s="2">
        <v>1079.0999999999999</v>
      </c>
      <c r="G1795" s="3">
        <f t="shared" si="83"/>
        <v>-3.5347043701801084E-3</v>
      </c>
      <c r="H1795" s="2">
        <f t="shared" si="81"/>
        <v>13.550000000000182</v>
      </c>
      <c r="I1795" s="3">
        <f t="shared" si="82"/>
        <v>1.2440323172971154E-2</v>
      </c>
    </row>
    <row r="1796" spans="2:9" x14ac:dyDescent="0.25">
      <c r="B1796" s="1">
        <v>37797</v>
      </c>
      <c r="C1796" s="2">
        <v>1106.6500000000001</v>
      </c>
      <c r="D1796" s="2">
        <v>1085.6500000000001</v>
      </c>
      <c r="E1796" s="2">
        <v>1109.75</v>
      </c>
      <c r="F1796" s="2">
        <v>1084.3499999999999</v>
      </c>
      <c r="G1796" s="3">
        <f t="shared" si="83"/>
        <v>1.9625005758511227E-2</v>
      </c>
      <c r="H1796" s="2">
        <f t="shared" si="81"/>
        <v>25.400000000000091</v>
      </c>
      <c r="I1796" s="3">
        <f t="shared" si="82"/>
        <v>2.3396122138810933E-2</v>
      </c>
    </row>
    <row r="1797" spans="2:9" x14ac:dyDescent="0.25">
      <c r="B1797" s="1">
        <v>37798</v>
      </c>
      <c r="C1797" s="2">
        <v>1116.3499999999999</v>
      </c>
      <c r="D1797" s="2">
        <v>1106.8</v>
      </c>
      <c r="E1797" s="2">
        <v>1118.9000000000001</v>
      </c>
      <c r="F1797" s="2">
        <v>1106.8</v>
      </c>
      <c r="G1797" s="3">
        <f t="shared" si="83"/>
        <v>8.7651922468710008E-3</v>
      </c>
      <c r="H1797" s="2">
        <f t="shared" ref="H1797:H1860" si="84">E1797-F1797</f>
        <v>12.100000000000136</v>
      </c>
      <c r="I1797" s="3">
        <f t="shared" si="82"/>
        <v>1.0932417780990366E-2</v>
      </c>
    </row>
    <row r="1798" spans="2:9" x14ac:dyDescent="0.25">
      <c r="B1798" s="1">
        <v>37799</v>
      </c>
      <c r="C1798" s="2">
        <v>1125.55</v>
      </c>
      <c r="D1798" s="2">
        <v>1117.45</v>
      </c>
      <c r="E1798" s="2">
        <v>1126.8</v>
      </c>
      <c r="F1798" s="2">
        <v>1109.3499999999999</v>
      </c>
      <c r="G1798" s="3">
        <f t="shared" si="83"/>
        <v>8.2411430107045547E-3</v>
      </c>
      <c r="H1798" s="2">
        <f t="shared" si="84"/>
        <v>17.450000000000045</v>
      </c>
      <c r="I1798" s="3">
        <f t="shared" ref="I1798:I1861" si="85">H1798/D1798</f>
        <v>1.5615911226453125E-2</v>
      </c>
    </row>
    <row r="1799" spans="2:9" x14ac:dyDescent="0.25">
      <c r="B1799" s="1">
        <v>37802</v>
      </c>
      <c r="C1799" s="2">
        <v>1134.1500000000001</v>
      </c>
      <c r="D1799" s="2">
        <v>1125.5999999999999</v>
      </c>
      <c r="E1799" s="2">
        <v>1141.3</v>
      </c>
      <c r="F1799" s="2">
        <v>1125.5</v>
      </c>
      <c r="G1799" s="3">
        <f t="shared" ref="G1799:G1862" si="86">C1799/C1798-1</f>
        <v>7.6407089867176481E-3</v>
      </c>
      <c r="H1799" s="2">
        <f t="shared" si="84"/>
        <v>15.799999999999955</v>
      </c>
      <c r="I1799" s="3">
        <f t="shared" si="85"/>
        <v>1.4036958066808774E-2</v>
      </c>
    </row>
    <row r="1800" spans="2:9" x14ac:dyDescent="0.25">
      <c r="B1800" s="1">
        <v>37803</v>
      </c>
      <c r="C1800" s="2">
        <v>1130.7</v>
      </c>
      <c r="D1800" s="2">
        <v>1133.95</v>
      </c>
      <c r="E1800" s="2">
        <v>1139</v>
      </c>
      <c r="F1800" s="2">
        <v>1125.75</v>
      </c>
      <c r="G1800" s="3">
        <f t="shared" si="86"/>
        <v>-3.0419256712075349E-3</v>
      </c>
      <c r="H1800" s="2">
        <f t="shared" si="84"/>
        <v>13.25</v>
      </c>
      <c r="I1800" s="3">
        <f t="shared" si="85"/>
        <v>1.1684818554609991E-2</v>
      </c>
    </row>
    <row r="1801" spans="2:9" x14ac:dyDescent="0.25">
      <c r="B1801" s="1">
        <v>37804</v>
      </c>
      <c r="C1801" s="2">
        <v>1133.8</v>
      </c>
      <c r="D1801" s="2">
        <v>1131.55</v>
      </c>
      <c r="E1801" s="2">
        <v>1145.4000000000001</v>
      </c>
      <c r="F1801" s="2">
        <v>1130.2</v>
      </c>
      <c r="G1801" s="3">
        <f t="shared" si="86"/>
        <v>2.7416644556468306E-3</v>
      </c>
      <c r="H1801" s="2">
        <f t="shared" si="84"/>
        <v>15.200000000000045</v>
      </c>
      <c r="I1801" s="3">
        <f t="shared" si="85"/>
        <v>1.3432901771905833E-2</v>
      </c>
    </row>
    <row r="1802" spans="2:9" x14ac:dyDescent="0.25">
      <c r="B1802" s="1">
        <v>37805</v>
      </c>
      <c r="C1802" s="2">
        <v>1144.6500000000001</v>
      </c>
      <c r="D1802" s="2">
        <v>1133.8</v>
      </c>
      <c r="E1802" s="2">
        <v>1150.75</v>
      </c>
      <c r="F1802" s="2">
        <v>1126.3499999999999</v>
      </c>
      <c r="G1802" s="3">
        <f t="shared" si="86"/>
        <v>9.5695889927678301E-3</v>
      </c>
      <c r="H1802" s="2">
        <f t="shared" si="84"/>
        <v>24.400000000000091</v>
      </c>
      <c r="I1802" s="3">
        <f t="shared" si="85"/>
        <v>2.1520550361615886E-2</v>
      </c>
    </row>
    <row r="1803" spans="2:9" x14ac:dyDescent="0.25">
      <c r="B1803" s="1">
        <v>37806</v>
      </c>
      <c r="C1803" s="2">
        <v>1138.45</v>
      </c>
      <c r="D1803" s="2">
        <v>1145.5999999999999</v>
      </c>
      <c r="E1803" s="2">
        <v>1148.8499999999999</v>
      </c>
      <c r="F1803" s="2">
        <v>1134</v>
      </c>
      <c r="G1803" s="3">
        <f t="shared" si="86"/>
        <v>-5.4165028611365962E-3</v>
      </c>
      <c r="H1803" s="2">
        <f t="shared" si="84"/>
        <v>14.849999999999909</v>
      </c>
      <c r="I1803" s="3">
        <f t="shared" si="85"/>
        <v>1.296263966480439E-2</v>
      </c>
    </row>
    <row r="1804" spans="2:9" x14ac:dyDescent="0.25">
      <c r="B1804" s="1">
        <v>37809</v>
      </c>
      <c r="C1804" s="2">
        <v>1140.55</v>
      </c>
      <c r="D1804" s="2">
        <v>1138.9000000000001</v>
      </c>
      <c r="E1804" s="2">
        <v>1145.75</v>
      </c>
      <c r="F1804" s="2">
        <v>1134.5999999999999</v>
      </c>
      <c r="G1804" s="3">
        <f t="shared" si="86"/>
        <v>1.8446132899994083E-3</v>
      </c>
      <c r="H1804" s="2">
        <f t="shared" si="84"/>
        <v>11.150000000000091</v>
      </c>
      <c r="I1804" s="3">
        <f t="shared" si="85"/>
        <v>9.7901483887962854E-3</v>
      </c>
    </row>
    <row r="1805" spans="2:9" x14ac:dyDescent="0.25">
      <c r="B1805" s="1">
        <v>37810</v>
      </c>
      <c r="C1805" s="2">
        <v>1145.9000000000001</v>
      </c>
      <c r="D1805" s="2">
        <v>1141.45</v>
      </c>
      <c r="E1805" s="2">
        <v>1153.1500000000001</v>
      </c>
      <c r="F1805" s="2">
        <v>1141.3</v>
      </c>
      <c r="G1805" s="3">
        <f t="shared" si="86"/>
        <v>4.6907193897682831E-3</v>
      </c>
      <c r="H1805" s="2">
        <f t="shared" si="84"/>
        <v>11.850000000000136</v>
      </c>
      <c r="I1805" s="3">
        <f t="shared" si="85"/>
        <v>1.038153226159721E-2</v>
      </c>
    </row>
    <row r="1806" spans="2:9" x14ac:dyDescent="0.25">
      <c r="B1806" s="1">
        <v>37811</v>
      </c>
      <c r="C1806" s="2">
        <v>1141.05</v>
      </c>
      <c r="D1806" s="2">
        <v>1146.3499999999999</v>
      </c>
      <c r="E1806" s="2">
        <v>1155.3</v>
      </c>
      <c r="F1806" s="2">
        <v>1137.1500000000001</v>
      </c>
      <c r="G1806" s="3">
        <f t="shared" si="86"/>
        <v>-4.2324810192863049E-3</v>
      </c>
      <c r="H1806" s="2">
        <f t="shared" si="84"/>
        <v>18.149999999999864</v>
      </c>
      <c r="I1806" s="3">
        <f t="shared" si="85"/>
        <v>1.5832860819121441E-2</v>
      </c>
    </row>
    <row r="1807" spans="2:9" x14ac:dyDescent="0.25">
      <c r="B1807" s="1">
        <v>37812</v>
      </c>
      <c r="C1807" s="2">
        <v>1162.3499999999999</v>
      </c>
      <c r="D1807" s="2">
        <v>1146</v>
      </c>
      <c r="E1807" s="2">
        <v>1163.5999999999999</v>
      </c>
      <c r="F1807" s="2">
        <v>1146</v>
      </c>
      <c r="G1807" s="3">
        <f t="shared" si="86"/>
        <v>1.8667017220980631E-2</v>
      </c>
      <c r="H1807" s="2">
        <f t="shared" si="84"/>
        <v>17.599999999999909</v>
      </c>
      <c r="I1807" s="3">
        <f t="shared" si="85"/>
        <v>1.5357766143106378E-2</v>
      </c>
    </row>
    <row r="1808" spans="2:9" x14ac:dyDescent="0.25">
      <c r="B1808" s="1">
        <v>37813</v>
      </c>
      <c r="C1808" s="2">
        <v>1161.6500000000001</v>
      </c>
      <c r="D1808" s="2">
        <v>1162.3</v>
      </c>
      <c r="E1808" s="2">
        <v>1170.75</v>
      </c>
      <c r="F1808" s="2">
        <v>1157.45</v>
      </c>
      <c r="G1808" s="3">
        <f t="shared" si="86"/>
        <v>-6.0222824450451018E-4</v>
      </c>
      <c r="H1808" s="2">
        <f t="shared" si="84"/>
        <v>13.299999999999955</v>
      </c>
      <c r="I1808" s="3">
        <f t="shared" si="85"/>
        <v>1.1442828873784698E-2</v>
      </c>
    </row>
    <row r="1809" spans="2:9" x14ac:dyDescent="0.25">
      <c r="B1809" s="1">
        <v>37816</v>
      </c>
      <c r="C1809" s="2">
        <v>1171.5</v>
      </c>
      <c r="D1809" s="2">
        <v>1161.2</v>
      </c>
      <c r="E1809" s="2">
        <v>1173.95</v>
      </c>
      <c r="F1809" s="2">
        <v>1161.2</v>
      </c>
      <c r="G1809" s="3">
        <f t="shared" si="86"/>
        <v>8.4793182111650989E-3</v>
      </c>
      <c r="H1809" s="2">
        <f t="shared" si="84"/>
        <v>12.75</v>
      </c>
      <c r="I1809" s="3">
        <f t="shared" si="85"/>
        <v>1.0980020668274198E-2</v>
      </c>
    </row>
    <row r="1810" spans="2:9" x14ac:dyDescent="0.25">
      <c r="B1810" s="1">
        <v>37817</v>
      </c>
      <c r="C1810" s="2">
        <v>1159.8499999999999</v>
      </c>
      <c r="D1810" s="2">
        <v>1171.5</v>
      </c>
      <c r="E1810" s="2">
        <v>1175.55</v>
      </c>
      <c r="F1810" s="2">
        <v>1148.8</v>
      </c>
      <c r="G1810" s="3">
        <f t="shared" si="86"/>
        <v>-9.9445155783184358E-3</v>
      </c>
      <c r="H1810" s="2">
        <f t="shared" si="84"/>
        <v>26.75</v>
      </c>
      <c r="I1810" s="3">
        <f t="shared" si="85"/>
        <v>2.2833973538198889E-2</v>
      </c>
    </row>
    <row r="1811" spans="2:9" x14ac:dyDescent="0.25">
      <c r="B1811" s="1">
        <v>37818</v>
      </c>
      <c r="C1811" s="2">
        <v>1168.75</v>
      </c>
      <c r="D1811" s="2">
        <v>1158.7</v>
      </c>
      <c r="E1811" s="2">
        <v>1170.45</v>
      </c>
      <c r="F1811" s="2">
        <v>1148.5999999999999</v>
      </c>
      <c r="G1811" s="3">
        <f t="shared" si="86"/>
        <v>7.6734060438850005E-3</v>
      </c>
      <c r="H1811" s="2">
        <f t="shared" si="84"/>
        <v>21.850000000000136</v>
      </c>
      <c r="I1811" s="3">
        <f t="shared" si="85"/>
        <v>1.8857340122551251E-2</v>
      </c>
    </row>
    <row r="1812" spans="2:9" x14ac:dyDescent="0.25">
      <c r="B1812" s="1">
        <v>37819</v>
      </c>
      <c r="C1812" s="2">
        <v>1152</v>
      </c>
      <c r="D1812" s="2">
        <v>1168.8499999999999</v>
      </c>
      <c r="E1812" s="2">
        <v>1175.95</v>
      </c>
      <c r="F1812" s="2">
        <v>1145.6500000000001</v>
      </c>
      <c r="G1812" s="3">
        <f t="shared" si="86"/>
        <v>-1.4331550802138993E-2</v>
      </c>
      <c r="H1812" s="2">
        <f t="shared" si="84"/>
        <v>30.299999999999955</v>
      </c>
      <c r="I1812" s="3">
        <f t="shared" si="85"/>
        <v>2.592291568635835E-2</v>
      </c>
    </row>
    <row r="1813" spans="2:9" x14ac:dyDescent="0.25">
      <c r="B1813" s="1">
        <v>37820</v>
      </c>
      <c r="C1813" s="2">
        <v>1140</v>
      </c>
      <c r="D1813" s="2">
        <v>1151.8499999999999</v>
      </c>
      <c r="E1813" s="2">
        <v>1162.5999999999999</v>
      </c>
      <c r="F1813" s="2">
        <v>1130.45</v>
      </c>
      <c r="G1813" s="3">
        <f t="shared" si="86"/>
        <v>-1.041666666666663E-2</v>
      </c>
      <c r="H1813" s="2">
        <f t="shared" si="84"/>
        <v>32.149999999999864</v>
      </c>
      <c r="I1813" s="3">
        <f t="shared" si="85"/>
        <v>2.791162043668869E-2</v>
      </c>
    </row>
    <row r="1814" spans="2:9" x14ac:dyDescent="0.25">
      <c r="B1814" s="1">
        <v>37823</v>
      </c>
      <c r="C1814" s="2">
        <v>1115.8</v>
      </c>
      <c r="D1814" s="2">
        <v>1140</v>
      </c>
      <c r="E1814" s="2">
        <v>1146.4000000000001</v>
      </c>
      <c r="F1814" s="2">
        <v>1112.55</v>
      </c>
      <c r="G1814" s="3">
        <f t="shared" si="86"/>
        <v>-2.1228070175438596E-2</v>
      </c>
      <c r="H1814" s="2">
        <f t="shared" si="84"/>
        <v>33.850000000000136</v>
      </c>
      <c r="I1814" s="3">
        <f t="shared" si="85"/>
        <v>2.9692982456140469E-2</v>
      </c>
    </row>
    <row r="1815" spans="2:9" x14ac:dyDescent="0.25">
      <c r="B1815" s="1">
        <v>37824</v>
      </c>
      <c r="C1815" s="2">
        <v>1109.2</v>
      </c>
      <c r="D1815" s="2">
        <v>1115.3499999999999</v>
      </c>
      <c r="E1815" s="2">
        <v>1118.25</v>
      </c>
      <c r="F1815" s="2">
        <v>1089.3</v>
      </c>
      <c r="G1815" s="3">
        <f t="shared" si="86"/>
        <v>-5.9150385373721859E-3</v>
      </c>
      <c r="H1815" s="2">
        <f t="shared" si="84"/>
        <v>28.950000000000045</v>
      </c>
      <c r="I1815" s="3">
        <f t="shared" si="85"/>
        <v>2.5955977944143137E-2</v>
      </c>
    </row>
    <row r="1816" spans="2:9" x14ac:dyDescent="0.25">
      <c r="B1816" s="1">
        <v>37825</v>
      </c>
      <c r="C1816" s="2">
        <v>1119.05</v>
      </c>
      <c r="D1816" s="2">
        <v>1109.5999999999999</v>
      </c>
      <c r="E1816" s="2">
        <v>1124.7</v>
      </c>
      <c r="F1816" s="2">
        <v>1109.5999999999999</v>
      </c>
      <c r="G1816" s="3">
        <f t="shared" si="86"/>
        <v>8.8802740714026829E-3</v>
      </c>
      <c r="H1816" s="2">
        <f t="shared" si="84"/>
        <v>15.100000000000136</v>
      </c>
      <c r="I1816" s="3">
        <f t="shared" si="85"/>
        <v>1.3608507570295726E-2</v>
      </c>
    </row>
    <row r="1817" spans="2:9" x14ac:dyDescent="0.25">
      <c r="B1817" s="1">
        <v>37826</v>
      </c>
      <c r="C1817" s="2">
        <v>1139.45</v>
      </c>
      <c r="D1817" s="2">
        <v>1119.95</v>
      </c>
      <c r="E1817" s="2">
        <v>1144.3499999999999</v>
      </c>
      <c r="F1817" s="2">
        <v>1118.55</v>
      </c>
      <c r="G1817" s="3">
        <f t="shared" si="86"/>
        <v>1.8229748447343708E-2</v>
      </c>
      <c r="H1817" s="2">
        <f t="shared" si="84"/>
        <v>25.799999999999955</v>
      </c>
      <c r="I1817" s="3">
        <f t="shared" si="85"/>
        <v>2.3036742711728161E-2</v>
      </c>
    </row>
    <row r="1818" spans="2:9" x14ac:dyDescent="0.25">
      <c r="B1818" s="1">
        <v>37827</v>
      </c>
      <c r="C1818" s="2">
        <v>1162.75</v>
      </c>
      <c r="D1818" s="2">
        <v>1135.5</v>
      </c>
      <c r="E1818" s="2">
        <v>1164.7</v>
      </c>
      <c r="F1818" s="2">
        <v>1135.05</v>
      </c>
      <c r="G1818" s="3">
        <f t="shared" si="86"/>
        <v>2.0448461977269794E-2</v>
      </c>
      <c r="H1818" s="2">
        <f t="shared" si="84"/>
        <v>29.650000000000091</v>
      </c>
      <c r="I1818" s="3">
        <f t="shared" si="85"/>
        <v>2.6111845002201754E-2</v>
      </c>
    </row>
    <row r="1819" spans="2:9" x14ac:dyDescent="0.25">
      <c r="B1819" s="1">
        <v>37830</v>
      </c>
      <c r="C1819" s="2">
        <v>1169.2</v>
      </c>
      <c r="D1819" s="2">
        <v>1163.25</v>
      </c>
      <c r="E1819" s="2">
        <v>1180.5999999999999</v>
      </c>
      <c r="F1819" s="2">
        <v>1163.25</v>
      </c>
      <c r="G1819" s="3">
        <f t="shared" si="86"/>
        <v>5.5471941517952761E-3</v>
      </c>
      <c r="H1819" s="2">
        <f t="shared" si="84"/>
        <v>17.349999999999909</v>
      </c>
      <c r="I1819" s="3">
        <f t="shared" si="85"/>
        <v>1.4915108532129731E-2</v>
      </c>
    </row>
    <row r="1820" spans="2:9" x14ac:dyDescent="0.25">
      <c r="B1820" s="1">
        <v>37831</v>
      </c>
      <c r="C1820" s="2">
        <v>1174.75</v>
      </c>
      <c r="D1820" s="2">
        <v>1169.25</v>
      </c>
      <c r="E1820" s="2">
        <v>1177.25</v>
      </c>
      <c r="F1820" s="2">
        <v>1154.8</v>
      </c>
      <c r="G1820" s="3">
        <f t="shared" si="86"/>
        <v>4.746835443038E-3</v>
      </c>
      <c r="H1820" s="2">
        <f t="shared" si="84"/>
        <v>22.450000000000045</v>
      </c>
      <c r="I1820" s="3">
        <f t="shared" si="85"/>
        <v>1.9200342099636558E-2</v>
      </c>
    </row>
    <row r="1821" spans="2:9" x14ac:dyDescent="0.25">
      <c r="B1821" s="1">
        <v>37832</v>
      </c>
      <c r="C1821" s="2">
        <v>1183</v>
      </c>
      <c r="D1821" s="2">
        <v>1175.3</v>
      </c>
      <c r="E1821" s="2">
        <v>1187.7</v>
      </c>
      <c r="F1821" s="2">
        <v>1168.45</v>
      </c>
      <c r="G1821" s="3">
        <f t="shared" si="86"/>
        <v>7.0227708022982949E-3</v>
      </c>
      <c r="H1821" s="2">
        <f t="shared" si="84"/>
        <v>19.25</v>
      </c>
      <c r="I1821" s="3">
        <f t="shared" si="85"/>
        <v>1.6378796902918404E-2</v>
      </c>
    </row>
    <row r="1822" spans="2:9" x14ac:dyDescent="0.25">
      <c r="B1822" s="1">
        <v>37833</v>
      </c>
      <c r="C1822" s="2">
        <v>1185.8499999999999</v>
      </c>
      <c r="D1822" s="2">
        <v>1183.3</v>
      </c>
      <c r="E1822" s="2">
        <v>1198.5</v>
      </c>
      <c r="F1822" s="2">
        <v>1181.9000000000001</v>
      </c>
      <c r="G1822" s="3">
        <f t="shared" si="86"/>
        <v>2.4091293322061613E-3</v>
      </c>
      <c r="H1822" s="2">
        <f t="shared" si="84"/>
        <v>16.599999999999909</v>
      </c>
      <c r="I1822" s="3">
        <f t="shared" si="85"/>
        <v>1.402856418490654E-2</v>
      </c>
    </row>
    <row r="1823" spans="2:9" x14ac:dyDescent="0.25">
      <c r="B1823" s="1">
        <v>37834</v>
      </c>
      <c r="C1823" s="2">
        <v>1195.75</v>
      </c>
      <c r="D1823" s="2">
        <v>1185.8</v>
      </c>
      <c r="E1823" s="2">
        <v>1198.8</v>
      </c>
      <c r="F1823" s="2">
        <v>1180.3</v>
      </c>
      <c r="G1823" s="3">
        <f t="shared" si="86"/>
        <v>8.3484420457899944E-3</v>
      </c>
      <c r="H1823" s="2">
        <f t="shared" si="84"/>
        <v>18.5</v>
      </c>
      <c r="I1823" s="3">
        <f t="shared" si="85"/>
        <v>1.5601281835048069E-2</v>
      </c>
    </row>
    <row r="1824" spans="2:9" x14ac:dyDescent="0.25">
      <c r="B1824" s="1">
        <v>37837</v>
      </c>
      <c r="C1824" s="2">
        <v>1203.5999999999999</v>
      </c>
      <c r="D1824" s="2">
        <v>1196.05</v>
      </c>
      <c r="E1824" s="2">
        <v>1206.0999999999999</v>
      </c>
      <c r="F1824" s="2">
        <v>1185.95</v>
      </c>
      <c r="G1824" s="3">
        <f t="shared" si="86"/>
        <v>6.5649174158477486E-3</v>
      </c>
      <c r="H1824" s="2">
        <f t="shared" si="84"/>
        <v>20.149999999999864</v>
      </c>
      <c r="I1824" s="3">
        <f t="shared" si="85"/>
        <v>1.6847121775845377E-2</v>
      </c>
    </row>
    <row r="1825" spans="2:9" x14ac:dyDescent="0.25">
      <c r="B1825" s="1">
        <v>37838</v>
      </c>
      <c r="C1825" s="2">
        <v>1184.45</v>
      </c>
      <c r="D1825" s="2">
        <v>1203.9000000000001</v>
      </c>
      <c r="E1825" s="2">
        <v>1218.5</v>
      </c>
      <c r="F1825" s="2">
        <v>1181</v>
      </c>
      <c r="G1825" s="3">
        <f t="shared" si="86"/>
        <v>-1.5910601528747015E-2</v>
      </c>
      <c r="H1825" s="2">
        <f t="shared" si="84"/>
        <v>37.5</v>
      </c>
      <c r="I1825" s="3">
        <f t="shared" si="85"/>
        <v>3.1148766508846248E-2</v>
      </c>
    </row>
    <row r="1826" spans="2:9" x14ac:dyDescent="0.25">
      <c r="B1826" s="1">
        <v>37839</v>
      </c>
      <c r="C1826" s="2">
        <v>1171.05</v>
      </c>
      <c r="D1826" s="2">
        <v>1184.0999999999999</v>
      </c>
      <c r="E1826" s="2">
        <v>1191.05</v>
      </c>
      <c r="F1826" s="2">
        <v>1164.75</v>
      </c>
      <c r="G1826" s="3">
        <f t="shared" si="86"/>
        <v>-1.1313267761408285E-2</v>
      </c>
      <c r="H1826" s="2">
        <f t="shared" si="84"/>
        <v>26.299999999999955</v>
      </c>
      <c r="I1826" s="3">
        <f t="shared" si="85"/>
        <v>2.2210961912000639E-2</v>
      </c>
    </row>
    <row r="1827" spans="2:9" x14ac:dyDescent="0.25">
      <c r="B1827" s="1">
        <v>37840</v>
      </c>
      <c r="C1827" s="2">
        <v>1196.95</v>
      </c>
      <c r="D1827" s="2">
        <v>1170.75</v>
      </c>
      <c r="E1827" s="2">
        <v>1199.7</v>
      </c>
      <c r="F1827" s="2">
        <v>1170.75</v>
      </c>
      <c r="G1827" s="3">
        <f t="shared" si="86"/>
        <v>2.2116903633491392E-2</v>
      </c>
      <c r="H1827" s="2">
        <f t="shared" si="84"/>
        <v>28.950000000000045</v>
      </c>
      <c r="I1827" s="3">
        <f t="shared" si="85"/>
        <v>2.4727738629083961E-2</v>
      </c>
    </row>
    <row r="1828" spans="2:9" x14ac:dyDescent="0.25">
      <c r="B1828" s="1">
        <v>37841</v>
      </c>
      <c r="C1828" s="2">
        <v>1222.6500000000001</v>
      </c>
      <c r="D1828" s="2">
        <v>1199.7</v>
      </c>
      <c r="E1828" s="2">
        <v>1224.5</v>
      </c>
      <c r="F1828" s="2">
        <v>1199.7</v>
      </c>
      <c r="G1828" s="3">
        <f t="shared" si="86"/>
        <v>2.1471239400142172E-2</v>
      </c>
      <c r="H1828" s="2">
        <f t="shared" si="84"/>
        <v>24.799999999999955</v>
      </c>
      <c r="I1828" s="3">
        <f t="shared" si="85"/>
        <v>2.067183462532296E-2</v>
      </c>
    </row>
    <row r="1829" spans="2:9" x14ac:dyDescent="0.25">
      <c r="B1829" s="1">
        <v>37844</v>
      </c>
      <c r="C1829" s="2">
        <v>1232.8499999999999</v>
      </c>
      <c r="D1829" s="2">
        <v>1222.5999999999999</v>
      </c>
      <c r="E1829" s="2">
        <v>1240.3499999999999</v>
      </c>
      <c r="F1829" s="2">
        <v>1215.75</v>
      </c>
      <c r="G1829" s="3">
        <f t="shared" si="86"/>
        <v>8.3425346583239079E-3</v>
      </c>
      <c r="H1829" s="2">
        <f t="shared" si="84"/>
        <v>24.599999999999909</v>
      </c>
      <c r="I1829" s="3">
        <f t="shared" si="85"/>
        <v>2.0121053492556773E-2</v>
      </c>
    </row>
    <row r="1830" spans="2:9" x14ac:dyDescent="0.25">
      <c r="B1830" s="1">
        <v>37845</v>
      </c>
      <c r="C1830" s="2">
        <v>1234.75</v>
      </c>
      <c r="D1830" s="2">
        <v>1233.95</v>
      </c>
      <c r="E1830" s="2">
        <v>1249.3499999999999</v>
      </c>
      <c r="F1830" s="2">
        <v>1229.8</v>
      </c>
      <c r="G1830" s="3">
        <f t="shared" si="86"/>
        <v>1.5411445025754755E-3</v>
      </c>
      <c r="H1830" s="2">
        <f t="shared" si="84"/>
        <v>19.549999999999955</v>
      </c>
      <c r="I1830" s="3">
        <f t="shared" si="85"/>
        <v>1.5843429636533048E-2</v>
      </c>
    </row>
    <row r="1831" spans="2:9" x14ac:dyDescent="0.25">
      <c r="B1831" s="1">
        <v>37846</v>
      </c>
      <c r="C1831" s="2">
        <v>1246.9000000000001</v>
      </c>
      <c r="D1831" s="2">
        <v>1235.3499999999999</v>
      </c>
      <c r="E1831" s="2">
        <v>1249.3499999999999</v>
      </c>
      <c r="F1831" s="2">
        <v>1229.3</v>
      </c>
      <c r="G1831" s="3">
        <f t="shared" si="86"/>
        <v>9.8400485928327175E-3</v>
      </c>
      <c r="H1831" s="2">
        <f t="shared" si="84"/>
        <v>20.049999999999955</v>
      </c>
      <c r="I1831" s="3">
        <f t="shared" si="85"/>
        <v>1.6230218156797632E-2</v>
      </c>
    </row>
    <row r="1832" spans="2:9" x14ac:dyDescent="0.25">
      <c r="B1832" s="1">
        <v>37847</v>
      </c>
      <c r="C1832" s="2">
        <v>1247.75</v>
      </c>
      <c r="D1832" s="2">
        <v>1247</v>
      </c>
      <c r="E1832" s="2">
        <v>1260.3499999999999</v>
      </c>
      <c r="F1832" s="2">
        <v>1243.4000000000001</v>
      </c>
      <c r="G1832" s="3">
        <f t="shared" si="86"/>
        <v>6.8169059266964815E-4</v>
      </c>
      <c r="H1832" s="2">
        <f t="shared" si="84"/>
        <v>16.949999999999818</v>
      </c>
      <c r="I1832" s="3">
        <f t="shared" si="85"/>
        <v>1.3592622293504265E-2</v>
      </c>
    </row>
    <row r="1833" spans="2:9" x14ac:dyDescent="0.25">
      <c r="B1833" s="1">
        <v>37851</v>
      </c>
      <c r="C1833" s="2">
        <v>1281.4000000000001</v>
      </c>
      <c r="D1833" s="2">
        <v>1247.9000000000001</v>
      </c>
      <c r="E1833" s="2">
        <v>1285.7</v>
      </c>
      <c r="F1833" s="2">
        <v>1247.9000000000001</v>
      </c>
      <c r="G1833" s="3">
        <f t="shared" si="86"/>
        <v>2.6968543378080634E-2</v>
      </c>
      <c r="H1833" s="2">
        <f t="shared" si="84"/>
        <v>37.799999999999955</v>
      </c>
      <c r="I1833" s="3">
        <f t="shared" si="85"/>
        <v>3.0290888693004208E-2</v>
      </c>
    </row>
    <row r="1834" spans="2:9" x14ac:dyDescent="0.25">
      <c r="B1834" s="1">
        <v>37852</v>
      </c>
      <c r="C1834" s="2">
        <v>1277.7</v>
      </c>
      <c r="D1834" s="2">
        <v>1286.05</v>
      </c>
      <c r="E1834" s="2">
        <v>1307.5999999999999</v>
      </c>
      <c r="F1834" s="2">
        <v>1268.0999999999999</v>
      </c>
      <c r="G1834" s="3">
        <f t="shared" si="86"/>
        <v>-2.8874668331513309E-3</v>
      </c>
      <c r="H1834" s="2">
        <f t="shared" si="84"/>
        <v>39.5</v>
      </c>
      <c r="I1834" s="3">
        <f t="shared" si="85"/>
        <v>3.0714202402705962E-2</v>
      </c>
    </row>
    <row r="1835" spans="2:9" x14ac:dyDescent="0.25">
      <c r="B1835" s="1">
        <v>37853</v>
      </c>
      <c r="C1835" s="2">
        <v>1287.4000000000001</v>
      </c>
      <c r="D1835" s="2">
        <v>1280.8</v>
      </c>
      <c r="E1835" s="2">
        <v>1292.95</v>
      </c>
      <c r="F1835" s="2">
        <v>1280.8</v>
      </c>
      <c r="G1835" s="3">
        <f t="shared" si="86"/>
        <v>7.5917664553495356E-3</v>
      </c>
      <c r="H1835" s="2">
        <f t="shared" si="84"/>
        <v>12.150000000000091</v>
      </c>
      <c r="I1835" s="3">
        <f t="shared" si="85"/>
        <v>9.4862585883823316E-3</v>
      </c>
    </row>
    <row r="1836" spans="2:9" x14ac:dyDescent="0.25">
      <c r="B1836" s="1">
        <v>37854</v>
      </c>
      <c r="C1836" s="2">
        <v>1300.95</v>
      </c>
      <c r="D1836" s="2">
        <v>1288.2</v>
      </c>
      <c r="E1836" s="2">
        <v>1304.1500000000001</v>
      </c>
      <c r="F1836" s="2">
        <v>1287</v>
      </c>
      <c r="G1836" s="3">
        <f t="shared" si="86"/>
        <v>1.052508932732632E-2</v>
      </c>
      <c r="H1836" s="2">
        <f t="shared" si="84"/>
        <v>17.150000000000091</v>
      </c>
      <c r="I1836" s="3">
        <f t="shared" si="85"/>
        <v>1.3313150131967155E-2</v>
      </c>
    </row>
    <row r="1837" spans="2:9" x14ac:dyDescent="0.25">
      <c r="B1837" s="1">
        <v>37855</v>
      </c>
      <c r="C1837" s="2">
        <v>1311.15</v>
      </c>
      <c r="D1837" s="2">
        <v>1301.5</v>
      </c>
      <c r="E1837" s="2">
        <v>1319.45</v>
      </c>
      <c r="F1837" s="2">
        <v>1298.8</v>
      </c>
      <c r="G1837" s="3">
        <f t="shared" si="86"/>
        <v>7.8404243053153966E-3</v>
      </c>
      <c r="H1837" s="2">
        <f t="shared" si="84"/>
        <v>20.650000000000091</v>
      </c>
      <c r="I1837" s="3">
        <f t="shared" si="85"/>
        <v>1.5866308106031572E-2</v>
      </c>
    </row>
    <row r="1838" spans="2:9" x14ac:dyDescent="0.25">
      <c r="B1838" s="1">
        <v>37858</v>
      </c>
      <c r="C1838" s="2">
        <v>1271.0999999999999</v>
      </c>
      <c r="D1838" s="2">
        <v>1311.95</v>
      </c>
      <c r="E1838" s="2">
        <v>1332.55</v>
      </c>
      <c r="F1838" s="2">
        <v>1245.8499999999999</v>
      </c>
      <c r="G1838" s="3">
        <f t="shared" si="86"/>
        <v>-3.0545704152843078E-2</v>
      </c>
      <c r="H1838" s="2">
        <f t="shared" si="84"/>
        <v>86.700000000000045</v>
      </c>
      <c r="I1838" s="3">
        <f t="shared" si="85"/>
        <v>6.6084835550135321E-2</v>
      </c>
    </row>
    <row r="1839" spans="2:9" x14ac:dyDescent="0.25">
      <c r="B1839" s="1">
        <v>37859</v>
      </c>
      <c r="C1839" s="2">
        <v>1318.2</v>
      </c>
      <c r="D1839" s="2">
        <v>1270.2</v>
      </c>
      <c r="E1839" s="2">
        <v>1322.95</v>
      </c>
      <c r="F1839" s="2">
        <v>1269.5</v>
      </c>
      <c r="G1839" s="3">
        <f t="shared" si="86"/>
        <v>3.7054519707340194E-2</v>
      </c>
      <c r="H1839" s="2">
        <f t="shared" si="84"/>
        <v>53.450000000000045</v>
      </c>
      <c r="I1839" s="3">
        <f t="shared" si="85"/>
        <v>4.2079987403558526E-2</v>
      </c>
    </row>
    <row r="1840" spans="2:9" x14ac:dyDescent="0.25">
      <c r="B1840" s="1">
        <v>37860</v>
      </c>
      <c r="C1840" s="2">
        <v>1340.3</v>
      </c>
      <c r="D1840" s="2">
        <v>1318.75</v>
      </c>
      <c r="E1840" s="2">
        <v>1346.3</v>
      </c>
      <c r="F1840" s="2">
        <v>1318.75</v>
      </c>
      <c r="G1840" s="3">
        <f t="shared" si="86"/>
        <v>1.6765285996055201E-2</v>
      </c>
      <c r="H1840" s="2">
        <f t="shared" si="84"/>
        <v>27.549999999999955</v>
      </c>
      <c r="I1840" s="3">
        <f t="shared" si="85"/>
        <v>2.0890995260663472E-2</v>
      </c>
    </row>
    <row r="1841" spans="2:9" x14ac:dyDescent="0.25">
      <c r="B1841" s="1">
        <v>37861</v>
      </c>
      <c r="C1841" s="2">
        <v>1341.05</v>
      </c>
      <c r="D1841" s="2">
        <v>1340.2</v>
      </c>
      <c r="E1841" s="2">
        <v>1349</v>
      </c>
      <c r="F1841" s="2">
        <v>1328.35</v>
      </c>
      <c r="G1841" s="3">
        <f t="shared" si="86"/>
        <v>5.5957621428048832E-4</v>
      </c>
      <c r="H1841" s="2">
        <f t="shared" si="84"/>
        <v>20.650000000000091</v>
      </c>
      <c r="I1841" s="3">
        <f t="shared" si="85"/>
        <v>1.5408148037606395E-2</v>
      </c>
    </row>
    <row r="1842" spans="2:9" x14ac:dyDescent="0.25">
      <c r="B1842" s="1">
        <v>37862</v>
      </c>
      <c r="C1842" s="2">
        <v>1356.55</v>
      </c>
      <c r="D1842" s="2">
        <v>1341.2</v>
      </c>
      <c r="E1842" s="2">
        <v>1365.8</v>
      </c>
      <c r="F1842" s="2">
        <v>1340.8</v>
      </c>
      <c r="G1842" s="3">
        <f t="shared" si="86"/>
        <v>1.155810745311503E-2</v>
      </c>
      <c r="H1842" s="2">
        <f t="shared" si="84"/>
        <v>25</v>
      </c>
      <c r="I1842" s="3">
        <f t="shared" si="85"/>
        <v>1.864002385923054E-2</v>
      </c>
    </row>
    <row r="1843" spans="2:9" x14ac:dyDescent="0.25">
      <c r="B1843" s="1">
        <v>37865</v>
      </c>
      <c r="C1843" s="2">
        <v>1375.95</v>
      </c>
      <c r="D1843" s="2">
        <v>1356.7</v>
      </c>
      <c r="E1843" s="2">
        <v>1379.4</v>
      </c>
      <c r="F1843" s="2">
        <v>1356.65</v>
      </c>
      <c r="G1843" s="3">
        <f t="shared" si="86"/>
        <v>1.4300984114113069E-2</v>
      </c>
      <c r="H1843" s="2">
        <f t="shared" si="84"/>
        <v>22.75</v>
      </c>
      <c r="I1843" s="3">
        <f t="shared" si="85"/>
        <v>1.6768629763396475E-2</v>
      </c>
    </row>
    <row r="1844" spans="2:9" x14ac:dyDescent="0.25">
      <c r="B1844" s="1">
        <v>37866</v>
      </c>
      <c r="C1844" s="2">
        <v>1385.45</v>
      </c>
      <c r="D1844" s="2">
        <v>1375.95</v>
      </c>
      <c r="E1844" s="2">
        <v>1388.95</v>
      </c>
      <c r="F1844" s="2">
        <v>1366.9</v>
      </c>
      <c r="G1844" s="3">
        <f t="shared" si="86"/>
        <v>6.9043206511865129E-3</v>
      </c>
      <c r="H1844" s="2">
        <f t="shared" si="84"/>
        <v>22.049999999999955</v>
      </c>
      <c r="I1844" s="3">
        <f t="shared" si="85"/>
        <v>1.6025291616701156E-2</v>
      </c>
    </row>
    <row r="1845" spans="2:9" x14ac:dyDescent="0.25">
      <c r="B1845" s="1">
        <v>37867</v>
      </c>
      <c r="C1845" s="2">
        <v>1359.35</v>
      </c>
      <c r="D1845" s="2">
        <v>1387.2</v>
      </c>
      <c r="E1845" s="2">
        <v>1394.95</v>
      </c>
      <c r="F1845" s="2">
        <v>1353.6</v>
      </c>
      <c r="G1845" s="3">
        <f t="shared" si="86"/>
        <v>-1.883864448374184E-2</v>
      </c>
      <c r="H1845" s="2">
        <f t="shared" si="84"/>
        <v>41.350000000000136</v>
      </c>
      <c r="I1845" s="3">
        <f t="shared" si="85"/>
        <v>2.980824682814312E-2</v>
      </c>
    </row>
    <row r="1846" spans="2:9" x14ac:dyDescent="0.25">
      <c r="B1846" s="1">
        <v>37868</v>
      </c>
      <c r="C1846" s="2">
        <v>1372.7</v>
      </c>
      <c r="D1846" s="2">
        <v>1358.9</v>
      </c>
      <c r="E1846" s="2">
        <v>1382.6</v>
      </c>
      <c r="F1846" s="2">
        <v>1355.8</v>
      </c>
      <c r="G1846" s="3">
        <f t="shared" si="86"/>
        <v>9.8208702688786786E-3</v>
      </c>
      <c r="H1846" s="2">
        <f t="shared" si="84"/>
        <v>26.799999999999955</v>
      </c>
      <c r="I1846" s="3">
        <f t="shared" si="85"/>
        <v>1.9721833836191003E-2</v>
      </c>
    </row>
    <row r="1847" spans="2:9" x14ac:dyDescent="0.25">
      <c r="B1847" s="1">
        <v>37869</v>
      </c>
      <c r="C1847" s="2">
        <v>1398.4</v>
      </c>
      <c r="D1847" s="2">
        <v>1373</v>
      </c>
      <c r="E1847" s="2">
        <v>1400.9</v>
      </c>
      <c r="F1847" s="2">
        <v>1372.75</v>
      </c>
      <c r="G1847" s="3">
        <f t="shared" si="86"/>
        <v>1.8722226269396014E-2</v>
      </c>
      <c r="H1847" s="2">
        <f t="shared" si="84"/>
        <v>28.150000000000091</v>
      </c>
      <c r="I1847" s="3">
        <f t="shared" si="85"/>
        <v>2.0502549162418129E-2</v>
      </c>
    </row>
    <row r="1848" spans="2:9" x14ac:dyDescent="0.25">
      <c r="B1848" s="1">
        <v>37872</v>
      </c>
      <c r="C1848" s="2">
        <v>1417.35</v>
      </c>
      <c r="D1848" s="2">
        <v>1398.4</v>
      </c>
      <c r="E1848" s="2">
        <v>1420.25</v>
      </c>
      <c r="F1848" s="2">
        <v>1398.35</v>
      </c>
      <c r="G1848" s="3">
        <f t="shared" si="86"/>
        <v>1.3551201372997479E-2</v>
      </c>
      <c r="H1848" s="2">
        <f t="shared" si="84"/>
        <v>21.900000000000091</v>
      </c>
      <c r="I1848" s="3">
        <f t="shared" si="85"/>
        <v>1.5660755148741483E-2</v>
      </c>
    </row>
    <row r="1849" spans="2:9" x14ac:dyDescent="0.25">
      <c r="B1849" s="1">
        <v>37873</v>
      </c>
      <c r="C1849" s="2">
        <v>1407.05</v>
      </c>
      <c r="D1849" s="2">
        <v>1417.8</v>
      </c>
      <c r="E1849" s="2">
        <v>1430.7</v>
      </c>
      <c r="F1849" s="2">
        <v>1397.65</v>
      </c>
      <c r="G1849" s="3">
        <f t="shared" si="86"/>
        <v>-7.2670829364659406E-3</v>
      </c>
      <c r="H1849" s="2">
        <f t="shared" si="84"/>
        <v>33.049999999999955</v>
      </c>
      <c r="I1849" s="3">
        <f t="shared" si="85"/>
        <v>2.3310763154182505E-2</v>
      </c>
    </row>
    <row r="1850" spans="2:9" x14ac:dyDescent="0.25">
      <c r="B1850" s="1">
        <v>37874</v>
      </c>
      <c r="C1850" s="2">
        <v>1409.55</v>
      </c>
      <c r="D1850" s="2">
        <v>1407</v>
      </c>
      <c r="E1850" s="2">
        <v>1414.1</v>
      </c>
      <c r="F1850" s="2">
        <v>1389.65</v>
      </c>
      <c r="G1850" s="3">
        <f t="shared" si="86"/>
        <v>1.7767669947763576E-3</v>
      </c>
      <c r="H1850" s="2">
        <f t="shared" si="84"/>
        <v>24.449999999999818</v>
      </c>
      <c r="I1850" s="3">
        <f t="shared" si="85"/>
        <v>1.7377398720682172E-2</v>
      </c>
    </row>
    <row r="1851" spans="2:9" x14ac:dyDescent="0.25">
      <c r="B1851" s="1">
        <v>37875</v>
      </c>
      <c r="C1851" s="2">
        <v>1403.15</v>
      </c>
      <c r="D1851" s="2">
        <v>1409.65</v>
      </c>
      <c r="E1851" s="2">
        <v>1422.4</v>
      </c>
      <c r="F1851" s="2">
        <v>1399.6</v>
      </c>
      <c r="G1851" s="3">
        <f t="shared" si="86"/>
        <v>-4.5404561739561533E-3</v>
      </c>
      <c r="H1851" s="2">
        <f t="shared" si="84"/>
        <v>22.800000000000182</v>
      </c>
      <c r="I1851" s="3">
        <f t="shared" si="85"/>
        <v>1.6174227645160275E-2</v>
      </c>
    </row>
    <row r="1852" spans="2:9" x14ac:dyDescent="0.25">
      <c r="B1852" s="1">
        <v>37876</v>
      </c>
      <c r="C1852" s="2">
        <v>1372.1</v>
      </c>
      <c r="D1852" s="2">
        <v>1405.55</v>
      </c>
      <c r="E1852" s="2">
        <v>1415.65</v>
      </c>
      <c r="F1852" s="2">
        <v>1367.15</v>
      </c>
      <c r="G1852" s="3">
        <f t="shared" si="86"/>
        <v>-2.2128781669814468E-2</v>
      </c>
      <c r="H1852" s="2">
        <f t="shared" si="84"/>
        <v>48.5</v>
      </c>
      <c r="I1852" s="3">
        <f t="shared" si="85"/>
        <v>3.450606524136459E-2</v>
      </c>
    </row>
    <row r="1853" spans="2:9" x14ac:dyDescent="0.25">
      <c r="B1853" s="1">
        <v>37879</v>
      </c>
      <c r="C1853" s="2">
        <v>1329.25</v>
      </c>
      <c r="D1853" s="2">
        <v>1371.75</v>
      </c>
      <c r="E1853" s="2">
        <v>1371.85</v>
      </c>
      <c r="F1853" s="2">
        <v>1322.65</v>
      </c>
      <c r="G1853" s="3">
        <f t="shared" si="86"/>
        <v>-3.122950222287002E-2</v>
      </c>
      <c r="H1853" s="2">
        <f t="shared" si="84"/>
        <v>49.199999999999818</v>
      </c>
      <c r="I1853" s="3">
        <f t="shared" si="85"/>
        <v>3.586659376708571E-2</v>
      </c>
    </row>
    <row r="1854" spans="2:9" x14ac:dyDescent="0.25">
      <c r="B1854" s="1">
        <v>37880</v>
      </c>
      <c r="C1854" s="2">
        <v>1357.95</v>
      </c>
      <c r="D1854" s="2">
        <v>1330.15</v>
      </c>
      <c r="E1854" s="2">
        <v>1362.1</v>
      </c>
      <c r="F1854" s="2">
        <v>1299.5</v>
      </c>
      <c r="G1854" s="3">
        <f t="shared" si="86"/>
        <v>2.1591122813616748E-2</v>
      </c>
      <c r="H1854" s="2">
        <f t="shared" si="84"/>
        <v>62.599999999999909</v>
      </c>
      <c r="I1854" s="3">
        <f t="shared" si="85"/>
        <v>4.7062361387813334E-2</v>
      </c>
    </row>
    <row r="1855" spans="2:9" x14ac:dyDescent="0.25">
      <c r="B1855" s="1">
        <v>37881</v>
      </c>
      <c r="C1855" s="2">
        <v>1341.6</v>
      </c>
      <c r="D1855" s="2">
        <v>1357.95</v>
      </c>
      <c r="E1855" s="2">
        <v>1377.45</v>
      </c>
      <c r="F1855" s="2">
        <v>1332.2</v>
      </c>
      <c r="G1855" s="3">
        <f t="shared" si="86"/>
        <v>-1.204020766596714E-2</v>
      </c>
      <c r="H1855" s="2">
        <f t="shared" si="84"/>
        <v>45.25</v>
      </c>
      <c r="I1855" s="3">
        <f t="shared" si="85"/>
        <v>3.3322287271254462E-2</v>
      </c>
    </row>
    <row r="1856" spans="2:9" x14ac:dyDescent="0.25">
      <c r="B1856" s="1">
        <v>37882</v>
      </c>
      <c r="C1856" s="2">
        <v>1302.3499999999999</v>
      </c>
      <c r="D1856" s="2">
        <v>1341.45</v>
      </c>
      <c r="E1856" s="2">
        <v>1342.6</v>
      </c>
      <c r="F1856" s="2">
        <v>1299.25</v>
      </c>
      <c r="G1856" s="3">
        <f t="shared" si="86"/>
        <v>-2.9256112104949272E-2</v>
      </c>
      <c r="H1856" s="2">
        <f t="shared" si="84"/>
        <v>43.349999999999909</v>
      </c>
      <c r="I1856" s="3">
        <f t="shared" si="85"/>
        <v>3.2315777703231512E-2</v>
      </c>
    </row>
    <row r="1857" spans="2:9" x14ac:dyDescent="0.25">
      <c r="B1857" s="1">
        <v>37883</v>
      </c>
      <c r="C1857" s="2">
        <v>1322.15</v>
      </c>
      <c r="D1857" s="2">
        <v>1303.2</v>
      </c>
      <c r="E1857" s="2">
        <v>1331.05</v>
      </c>
      <c r="F1857" s="2">
        <v>1285.25</v>
      </c>
      <c r="G1857" s="3">
        <f t="shared" si="86"/>
        <v>1.5203286366952229E-2</v>
      </c>
      <c r="H1857" s="2">
        <f t="shared" si="84"/>
        <v>45.799999999999955</v>
      </c>
      <c r="I1857" s="3">
        <f t="shared" si="85"/>
        <v>3.5144260282381795E-2</v>
      </c>
    </row>
    <row r="1858" spans="2:9" x14ac:dyDescent="0.25">
      <c r="B1858" s="1">
        <v>37886</v>
      </c>
      <c r="C1858" s="2">
        <v>1302.9000000000001</v>
      </c>
      <c r="D1858" s="2">
        <v>1319.25</v>
      </c>
      <c r="E1858" s="2">
        <v>1333.55</v>
      </c>
      <c r="F1858" s="2">
        <v>1300.25</v>
      </c>
      <c r="G1858" s="3">
        <f t="shared" si="86"/>
        <v>-1.455961880270773E-2</v>
      </c>
      <c r="H1858" s="2">
        <f t="shared" si="84"/>
        <v>33.299999999999955</v>
      </c>
      <c r="I1858" s="3">
        <f t="shared" si="85"/>
        <v>2.5241614553723674E-2</v>
      </c>
    </row>
    <row r="1859" spans="2:9" x14ac:dyDescent="0.25">
      <c r="B1859" s="1">
        <v>37887</v>
      </c>
      <c r="C1859" s="2">
        <v>1328.2</v>
      </c>
      <c r="D1859" s="2">
        <v>1302.8499999999999</v>
      </c>
      <c r="E1859" s="2">
        <v>1333.7</v>
      </c>
      <c r="F1859" s="2">
        <v>1290.55</v>
      </c>
      <c r="G1859" s="3">
        <f t="shared" si="86"/>
        <v>1.9418220891856519E-2</v>
      </c>
      <c r="H1859" s="2">
        <f t="shared" si="84"/>
        <v>43.150000000000091</v>
      </c>
      <c r="I1859" s="3">
        <f t="shared" si="85"/>
        <v>3.3119699121157538E-2</v>
      </c>
    </row>
    <row r="1860" spans="2:9" x14ac:dyDescent="0.25">
      <c r="B1860" s="1">
        <v>37888</v>
      </c>
      <c r="C1860" s="2">
        <v>1372.05</v>
      </c>
      <c r="D1860" s="2">
        <v>1324.85</v>
      </c>
      <c r="E1860" s="2">
        <v>1373.9</v>
      </c>
      <c r="F1860" s="2">
        <v>1322.65</v>
      </c>
      <c r="G1860" s="3">
        <f t="shared" si="86"/>
        <v>3.3014606234000876E-2</v>
      </c>
      <c r="H1860" s="2">
        <f t="shared" si="84"/>
        <v>51.25</v>
      </c>
      <c r="I1860" s="3">
        <f t="shared" si="85"/>
        <v>3.8683624561271092E-2</v>
      </c>
    </row>
    <row r="1861" spans="2:9" x14ac:dyDescent="0.25">
      <c r="B1861" s="1">
        <v>37889</v>
      </c>
      <c r="C1861" s="2">
        <v>1357.2</v>
      </c>
      <c r="D1861" s="2">
        <v>1371.45</v>
      </c>
      <c r="E1861" s="2">
        <v>1377.25</v>
      </c>
      <c r="F1861" s="2">
        <v>1352.8</v>
      </c>
      <c r="G1861" s="3">
        <f t="shared" si="86"/>
        <v>-1.0823220728107485E-2</v>
      </c>
      <c r="H1861" s="2">
        <f t="shared" ref="H1861:H1924" si="87">E1861-F1861</f>
        <v>24.450000000000045</v>
      </c>
      <c r="I1861" s="3">
        <f t="shared" si="85"/>
        <v>1.782784643989941E-2</v>
      </c>
    </row>
    <row r="1862" spans="2:9" x14ac:dyDescent="0.25">
      <c r="B1862" s="1">
        <v>37890</v>
      </c>
      <c r="C1862" s="2">
        <v>1386.95</v>
      </c>
      <c r="D1862" s="2">
        <v>1357.55</v>
      </c>
      <c r="E1862" s="2">
        <v>1389.3</v>
      </c>
      <c r="F1862" s="2">
        <v>1357.35</v>
      </c>
      <c r="G1862" s="3">
        <f t="shared" si="86"/>
        <v>2.1920129678750344E-2</v>
      </c>
      <c r="H1862" s="2">
        <f t="shared" si="87"/>
        <v>31.950000000000045</v>
      </c>
      <c r="I1862" s="3">
        <f t="shared" ref="I1862:I1925" si="88">H1862/D1862</f>
        <v>2.353504474973301E-2</v>
      </c>
    </row>
    <row r="1863" spans="2:9" x14ac:dyDescent="0.25">
      <c r="B1863" s="1">
        <v>37893</v>
      </c>
      <c r="C1863" s="2">
        <v>1399.95</v>
      </c>
      <c r="D1863" s="2">
        <v>1386.9</v>
      </c>
      <c r="E1863" s="2">
        <v>1422.35</v>
      </c>
      <c r="F1863" s="2">
        <v>1386.1</v>
      </c>
      <c r="G1863" s="3">
        <f t="shared" ref="G1863:G1926" si="89">C1863/C1862-1</f>
        <v>9.3730848264177435E-3</v>
      </c>
      <c r="H1863" s="2">
        <f t="shared" si="87"/>
        <v>36.25</v>
      </c>
      <c r="I1863" s="3">
        <f t="shared" si="88"/>
        <v>2.6137428798038789E-2</v>
      </c>
    </row>
    <row r="1864" spans="2:9" x14ac:dyDescent="0.25">
      <c r="B1864" s="1">
        <v>37894</v>
      </c>
      <c r="C1864" s="2">
        <v>1417.1</v>
      </c>
      <c r="D1864" s="2">
        <v>1400.7</v>
      </c>
      <c r="E1864" s="2">
        <v>1418.1</v>
      </c>
      <c r="F1864" s="2">
        <v>1399.8</v>
      </c>
      <c r="G1864" s="3">
        <f t="shared" si="89"/>
        <v>1.2250437515625379E-2</v>
      </c>
      <c r="H1864" s="2">
        <f t="shared" si="87"/>
        <v>18.299999999999955</v>
      </c>
      <c r="I1864" s="3">
        <f t="shared" si="88"/>
        <v>1.3064896123366854E-2</v>
      </c>
    </row>
    <row r="1865" spans="2:9" x14ac:dyDescent="0.25">
      <c r="B1865" s="1">
        <v>37895</v>
      </c>
      <c r="C1865" s="2">
        <v>1420.85</v>
      </c>
      <c r="D1865" s="2">
        <v>1416.6</v>
      </c>
      <c r="E1865" s="2">
        <v>1430.9</v>
      </c>
      <c r="F1865" s="2">
        <v>1407.95</v>
      </c>
      <c r="G1865" s="3">
        <f t="shared" si="89"/>
        <v>2.6462493825418765E-3</v>
      </c>
      <c r="H1865" s="2">
        <f t="shared" si="87"/>
        <v>22.950000000000045</v>
      </c>
      <c r="I1865" s="3">
        <f t="shared" si="88"/>
        <v>1.6200762388818332E-2</v>
      </c>
    </row>
    <row r="1866" spans="2:9" x14ac:dyDescent="0.25">
      <c r="B1866" s="1">
        <v>37897</v>
      </c>
      <c r="C1866" s="2">
        <v>1449.3</v>
      </c>
      <c r="D1866" s="2">
        <v>1420.85</v>
      </c>
      <c r="E1866" s="2">
        <v>1451.2</v>
      </c>
      <c r="F1866" s="2">
        <v>1420.85</v>
      </c>
      <c r="G1866" s="3">
        <f t="shared" si="89"/>
        <v>2.0023225534011369E-2</v>
      </c>
      <c r="H1866" s="2">
        <f t="shared" si="87"/>
        <v>30.350000000000136</v>
      </c>
      <c r="I1866" s="3">
        <f t="shared" si="88"/>
        <v>2.136045324981535E-2</v>
      </c>
    </row>
    <row r="1867" spans="2:9" x14ac:dyDescent="0.25">
      <c r="B1867" s="1">
        <v>37900</v>
      </c>
      <c r="C1867" s="2">
        <v>1478.9</v>
      </c>
      <c r="D1867" s="2">
        <v>1449.45</v>
      </c>
      <c r="E1867" s="2">
        <v>1481.05</v>
      </c>
      <c r="F1867" s="2">
        <v>1423.75</v>
      </c>
      <c r="G1867" s="3">
        <f t="shared" si="89"/>
        <v>2.0423652797902481E-2</v>
      </c>
      <c r="H1867" s="2">
        <f t="shared" si="87"/>
        <v>57.299999999999955</v>
      </c>
      <c r="I1867" s="3">
        <f t="shared" si="88"/>
        <v>3.953223636551792E-2</v>
      </c>
    </row>
    <row r="1868" spans="2:9" x14ac:dyDescent="0.25">
      <c r="B1868" s="1">
        <v>37901</v>
      </c>
      <c r="C1868" s="2">
        <v>1477.85</v>
      </c>
      <c r="D1868" s="2">
        <v>1478.95</v>
      </c>
      <c r="E1868" s="2">
        <v>1498.45</v>
      </c>
      <c r="F1868" s="2">
        <v>1467.75</v>
      </c>
      <c r="G1868" s="3">
        <f t="shared" si="89"/>
        <v>-7.0998715261350043E-4</v>
      </c>
      <c r="H1868" s="2">
        <f t="shared" si="87"/>
        <v>30.700000000000045</v>
      </c>
      <c r="I1868" s="3">
        <f t="shared" si="88"/>
        <v>2.075797018154775E-2</v>
      </c>
    </row>
    <row r="1869" spans="2:9" x14ac:dyDescent="0.25">
      <c r="B1869" s="1">
        <v>37902</v>
      </c>
      <c r="C1869" s="2">
        <v>1478.6</v>
      </c>
      <c r="D1869" s="2">
        <v>1477.85</v>
      </c>
      <c r="E1869" s="2">
        <v>1493.05</v>
      </c>
      <c r="F1869" s="2">
        <v>1460.6</v>
      </c>
      <c r="G1869" s="3">
        <f t="shared" si="89"/>
        <v>5.0749399465432887E-4</v>
      </c>
      <c r="H1869" s="2">
        <f t="shared" si="87"/>
        <v>32.450000000000045</v>
      </c>
      <c r="I1869" s="3">
        <f t="shared" si="88"/>
        <v>2.1957573502046926E-2</v>
      </c>
    </row>
    <row r="1870" spans="2:9" x14ac:dyDescent="0.25">
      <c r="B1870" s="1">
        <v>37903</v>
      </c>
      <c r="C1870" s="2">
        <v>1502.1</v>
      </c>
      <c r="D1870" s="2">
        <v>1487.85</v>
      </c>
      <c r="E1870" s="2">
        <v>1505.05</v>
      </c>
      <c r="F1870" s="2">
        <v>1478.4</v>
      </c>
      <c r="G1870" s="3">
        <f t="shared" si="89"/>
        <v>1.5893412687677522E-2</v>
      </c>
      <c r="H1870" s="2">
        <f t="shared" si="87"/>
        <v>26.649999999999864</v>
      </c>
      <c r="I1870" s="3">
        <f t="shared" si="88"/>
        <v>1.7911751856705894E-2</v>
      </c>
    </row>
    <row r="1871" spans="2:9" x14ac:dyDescent="0.25">
      <c r="B1871" s="1">
        <v>37904</v>
      </c>
      <c r="C1871" s="2">
        <v>1523.1</v>
      </c>
      <c r="D1871" s="2">
        <v>1507.1</v>
      </c>
      <c r="E1871" s="2">
        <v>1527.25</v>
      </c>
      <c r="F1871" s="2">
        <v>1505.1</v>
      </c>
      <c r="G1871" s="3">
        <f t="shared" si="89"/>
        <v>1.3980427401637741E-2</v>
      </c>
      <c r="H1871" s="2">
        <f t="shared" si="87"/>
        <v>22.150000000000091</v>
      </c>
      <c r="I1871" s="3">
        <f t="shared" si="88"/>
        <v>1.4697100391480387E-2</v>
      </c>
    </row>
    <row r="1872" spans="2:9" x14ac:dyDescent="0.25">
      <c r="B1872" s="1">
        <v>37907</v>
      </c>
      <c r="C1872" s="2">
        <v>1546.75</v>
      </c>
      <c r="D1872" s="2">
        <v>1523.35</v>
      </c>
      <c r="E1872" s="2">
        <v>1550.9</v>
      </c>
      <c r="F1872" s="2">
        <v>1516.05</v>
      </c>
      <c r="G1872" s="3">
        <f t="shared" si="89"/>
        <v>1.5527542511982295E-2</v>
      </c>
      <c r="H1872" s="2">
        <f t="shared" si="87"/>
        <v>34.850000000000136</v>
      </c>
      <c r="I1872" s="3">
        <f t="shared" si="88"/>
        <v>2.2877211409065637E-2</v>
      </c>
    </row>
    <row r="1873" spans="2:9" x14ac:dyDescent="0.25">
      <c r="B1873" s="1">
        <v>37908</v>
      </c>
      <c r="C1873" s="2">
        <v>1520.8</v>
      </c>
      <c r="D1873" s="2">
        <v>1548.7</v>
      </c>
      <c r="E1873" s="2">
        <v>1562.85</v>
      </c>
      <c r="F1873" s="2">
        <v>1513.75</v>
      </c>
      <c r="G1873" s="3">
        <f t="shared" si="89"/>
        <v>-1.6777113302085089E-2</v>
      </c>
      <c r="H1873" s="2">
        <f t="shared" si="87"/>
        <v>49.099999999999909</v>
      </c>
      <c r="I1873" s="3">
        <f t="shared" si="88"/>
        <v>3.1704009814683222E-2</v>
      </c>
    </row>
    <row r="1874" spans="2:9" x14ac:dyDescent="0.25">
      <c r="B1874" s="1">
        <v>37909</v>
      </c>
      <c r="C1874" s="2">
        <v>1537</v>
      </c>
      <c r="D1874" s="2">
        <v>1521.45</v>
      </c>
      <c r="E1874" s="2">
        <v>1543.85</v>
      </c>
      <c r="F1874" s="2">
        <v>1503</v>
      </c>
      <c r="G1874" s="3">
        <f t="shared" si="89"/>
        <v>1.0652288269332066E-2</v>
      </c>
      <c r="H1874" s="2">
        <f t="shared" si="87"/>
        <v>40.849999999999909</v>
      </c>
      <c r="I1874" s="3">
        <f t="shared" si="88"/>
        <v>2.6849387097834243E-2</v>
      </c>
    </row>
    <row r="1875" spans="2:9" x14ac:dyDescent="0.25">
      <c r="B1875" s="1">
        <v>37910</v>
      </c>
      <c r="C1875" s="2">
        <v>1555.7</v>
      </c>
      <c r="D1875" s="2">
        <v>1537.3</v>
      </c>
      <c r="E1875" s="2">
        <v>1563.4</v>
      </c>
      <c r="F1875" s="2">
        <v>1537.3</v>
      </c>
      <c r="G1875" s="3">
        <f t="shared" si="89"/>
        <v>1.2166558230318758E-2</v>
      </c>
      <c r="H1875" s="2">
        <f t="shared" si="87"/>
        <v>26.100000000000136</v>
      </c>
      <c r="I1875" s="3">
        <f t="shared" si="88"/>
        <v>1.6977818252780937E-2</v>
      </c>
    </row>
    <row r="1876" spans="2:9" x14ac:dyDescent="0.25">
      <c r="B1876" s="1">
        <v>37911</v>
      </c>
      <c r="C1876" s="2">
        <v>1569.45</v>
      </c>
      <c r="D1876" s="2">
        <v>1565.2</v>
      </c>
      <c r="E1876" s="2">
        <v>1574.1</v>
      </c>
      <c r="F1876" s="2">
        <v>1552.15</v>
      </c>
      <c r="G1876" s="3">
        <f t="shared" si="89"/>
        <v>8.8384649996786635E-3</v>
      </c>
      <c r="H1876" s="2">
        <f t="shared" si="87"/>
        <v>21.949999999999818</v>
      </c>
      <c r="I1876" s="3">
        <f t="shared" si="88"/>
        <v>1.4023766930743559E-2</v>
      </c>
    </row>
    <row r="1877" spans="2:9" x14ac:dyDescent="0.25">
      <c r="B1877" s="1">
        <v>37914</v>
      </c>
      <c r="C1877" s="2">
        <v>1542.7</v>
      </c>
      <c r="D1877" s="2">
        <v>1569.7</v>
      </c>
      <c r="E1877" s="2">
        <v>1574.1</v>
      </c>
      <c r="F1877" s="2">
        <v>1536.5</v>
      </c>
      <c r="G1877" s="3">
        <f t="shared" si="89"/>
        <v>-1.7044187454203663E-2</v>
      </c>
      <c r="H1877" s="2">
        <f t="shared" si="87"/>
        <v>37.599999999999909</v>
      </c>
      <c r="I1877" s="3">
        <f t="shared" si="88"/>
        <v>2.3953621711154938E-2</v>
      </c>
    </row>
    <row r="1878" spans="2:9" x14ac:dyDescent="0.25">
      <c r="B1878" s="1">
        <v>37915</v>
      </c>
      <c r="C1878" s="2">
        <v>1506.5</v>
      </c>
      <c r="D1878" s="2">
        <v>1546.2</v>
      </c>
      <c r="E1878" s="2">
        <v>1549.65</v>
      </c>
      <c r="F1878" s="2">
        <v>1496.95</v>
      </c>
      <c r="G1878" s="3">
        <f t="shared" si="89"/>
        <v>-2.3465352952615537E-2</v>
      </c>
      <c r="H1878" s="2">
        <f t="shared" si="87"/>
        <v>52.700000000000045</v>
      </c>
      <c r="I1878" s="3">
        <f t="shared" si="88"/>
        <v>3.4083559694735512E-2</v>
      </c>
    </row>
    <row r="1879" spans="2:9" x14ac:dyDescent="0.25">
      <c r="B1879" s="1">
        <v>37916</v>
      </c>
      <c r="C1879" s="2">
        <v>1494.1</v>
      </c>
      <c r="D1879" s="2">
        <v>1506.75</v>
      </c>
      <c r="E1879" s="2">
        <v>1522.65</v>
      </c>
      <c r="F1879" s="2">
        <v>1483</v>
      </c>
      <c r="G1879" s="3">
        <f t="shared" si="89"/>
        <v>-8.2309990043146763E-3</v>
      </c>
      <c r="H1879" s="2">
        <f t="shared" si="87"/>
        <v>39.650000000000091</v>
      </c>
      <c r="I1879" s="3">
        <f t="shared" si="88"/>
        <v>2.6314916210386653E-2</v>
      </c>
    </row>
    <row r="1880" spans="2:9" x14ac:dyDescent="0.25">
      <c r="B1880" s="1">
        <v>37917</v>
      </c>
      <c r="C1880" s="2">
        <v>1470.45</v>
      </c>
      <c r="D1880" s="2">
        <v>1494.75</v>
      </c>
      <c r="E1880" s="2">
        <v>1503</v>
      </c>
      <c r="F1880" s="2">
        <v>1466.25</v>
      </c>
      <c r="G1880" s="3">
        <f t="shared" si="89"/>
        <v>-1.5828927113312297E-2</v>
      </c>
      <c r="H1880" s="2">
        <f t="shared" si="87"/>
        <v>36.75</v>
      </c>
      <c r="I1880" s="3">
        <f t="shared" si="88"/>
        <v>2.4586051179126944E-2</v>
      </c>
    </row>
    <row r="1881" spans="2:9" x14ac:dyDescent="0.25">
      <c r="B1881" s="1">
        <v>37918</v>
      </c>
      <c r="C1881" s="2">
        <v>1506.05</v>
      </c>
      <c r="D1881" s="2">
        <v>1485.8</v>
      </c>
      <c r="E1881" s="2">
        <v>1512.55</v>
      </c>
      <c r="F1881" s="2">
        <v>1434.75</v>
      </c>
      <c r="G1881" s="3">
        <f t="shared" si="89"/>
        <v>2.421027576592194E-2</v>
      </c>
      <c r="H1881" s="2">
        <f t="shared" si="87"/>
        <v>77.799999999999955</v>
      </c>
      <c r="I1881" s="3">
        <f t="shared" si="88"/>
        <v>5.2362363709785947E-2</v>
      </c>
    </row>
    <row r="1882" spans="2:9" x14ac:dyDescent="0.25">
      <c r="B1882" s="1">
        <v>37919</v>
      </c>
      <c r="C1882" s="2">
        <v>1521.95</v>
      </c>
      <c r="D1882" s="2">
        <v>1506.05</v>
      </c>
      <c r="E1882" s="2">
        <v>1533.05</v>
      </c>
      <c r="F1882" s="2">
        <v>1506.05</v>
      </c>
      <c r="G1882" s="3">
        <f t="shared" si="89"/>
        <v>1.0557418412403319E-2</v>
      </c>
      <c r="H1882" s="2">
        <f t="shared" si="87"/>
        <v>27</v>
      </c>
      <c r="I1882" s="3">
        <f t="shared" si="88"/>
        <v>1.7927691643703728E-2</v>
      </c>
    </row>
    <row r="1883" spans="2:9" x14ac:dyDescent="0.25">
      <c r="B1883" s="1">
        <v>37921</v>
      </c>
      <c r="C1883" s="2">
        <v>1485.3</v>
      </c>
      <c r="D1883" s="2">
        <v>1522.05</v>
      </c>
      <c r="E1883" s="2">
        <v>1524.05</v>
      </c>
      <c r="F1883" s="2">
        <v>1482</v>
      </c>
      <c r="G1883" s="3">
        <f t="shared" si="89"/>
        <v>-2.4080948782811529E-2</v>
      </c>
      <c r="H1883" s="2">
        <f t="shared" si="87"/>
        <v>42.049999999999955</v>
      </c>
      <c r="I1883" s="3">
        <f t="shared" si="88"/>
        <v>2.7627213297854839E-2</v>
      </c>
    </row>
    <row r="1884" spans="2:9" x14ac:dyDescent="0.25">
      <c r="B1884" s="1">
        <v>37922</v>
      </c>
      <c r="C1884" s="2">
        <v>1481.75</v>
      </c>
      <c r="D1884" s="2">
        <v>1485.45</v>
      </c>
      <c r="E1884" s="2">
        <v>1500.8</v>
      </c>
      <c r="F1884" s="2">
        <v>1471.3</v>
      </c>
      <c r="G1884" s="3">
        <f t="shared" si="89"/>
        <v>-2.390089544199836E-3</v>
      </c>
      <c r="H1884" s="2">
        <f t="shared" si="87"/>
        <v>29.5</v>
      </c>
      <c r="I1884" s="3">
        <f t="shared" si="88"/>
        <v>1.9859301895048639E-2</v>
      </c>
    </row>
    <row r="1885" spans="2:9" x14ac:dyDescent="0.25">
      <c r="B1885" s="1">
        <v>37923</v>
      </c>
      <c r="C1885" s="2">
        <v>1498.45</v>
      </c>
      <c r="D1885" s="2">
        <v>1481.3</v>
      </c>
      <c r="E1885" s="2">
        <v>1501.7</v>
      </c>
      <c r="F1885" s="2">
        <v>1477.1</v>
      </c>
      <c r="G1885" s="3">
        <f t="shared" si="89"/>
        <v>1.1270457229627162E-2</v>
      </c>
      <c r="H1885" s="2">
        <f t="shared" si="87"/>
        <v>24.600000000000136</v>
      </c>
      <c r="I1885" s="3">
        <f t="shared" si="88"/>
        <v>1.6607034361709402E-2</v>
      </c>
    </row>
    <row r="1886" spans="2:9" x14ac:dyDescent="0.25">
      <c r="B1886" s="1">
        <v>37924</v>
      </c>
      <c r="C1886" s="2">
        <v>1516.85</v>
      </c>
      <c r="D1886" s="2">
        <v>1499.25</v>
      </c>
      <c r="E1886" s="2">
        <v>1524.25</v>
      </c>
      <c r="F1886" s="2">
        <v>1495.8</v>
      </c>
      <c r="G1886" s="3">
        <f t="shared" si="89"/>
        <v>1.2279355333844943E-2</v>
      </c>
      <c r="H1886" s="2">
        <f t="shared" si="87"/>
        <v>28.450000000000045</v>
      </c>
      <c r="I1886" s="3">
        <f t="shared" si="88"/>
        <v>1.8976154744038718E-2</v>
      </c>
    </row>
    <row r="1887" spans="2:9" x14ac:dyDescent="0.25">
      <c r="B1887" s="1">
        <v>37925</v>
      </c>
      <c r="C1887" s="2">
        <v>1555.9</v>
      </c>
      <c r="D1887" s="2">
        <v>1517.1</v>
      </c>
      <c r="E1887" s="2">
        <v>1559.75</v>
      </c>
      <c r="F1887" s="2">
        <v>1515.55</v>
      </c>
      <c r="G1887" s="3">
        <f t="shared" si="89"/>
        <v>2.5744140818142913E-2</v>
      </c>
      <c r="H1887" s="2">
        <f t="shared" si="87"/>
        <v>44.200000000000045</v>
      </c>
      <c r="I1887" s="3">
        <f t="shared" si="88"/>
        <v>2.9134532990574155E-2</v>
      </c>
    </row>
    <row r="1888" spans="2:9" x14ac:dyDescent="0.25">
      <c r="B1888" s="1">
        <v>37928</v>
      </c>
      <c r="C1888" s="2">
        <v>1601.65</v>
      </c>
      <c r="D1888" s="2">
        <v>1556.5</v>
      </c>
      <c r="E1888" s="2">
        <v>1605.6</v>
      </c>
      <c r="F1888" s="2">
        <v>1556.5</v>
      </c>
      <c r="G1888" s="3">
        <f t="shared" si="89"/>
        <v>2.9404203354971292E-2</v>
      </c>
      <c r="H1888" s="2">
        <f t="shared" si="87"/>
        <v>49.099999999999909</v>
      </c>
      <c r="I1888" s="3">
        <f t="shared" si="88"/>
        <v>3.1545133311917703E-2</v>
      </c>
    </row>
    <row r="1889" spans="2:9" x14ac:dyDescent="0.25">
      <c r="B1889" s="1">
        <v>37929</v>
      </c>
      <c r="C1889" s="2">
        <v>1618.7</v>
      </c>
      <c r="D1889" s="2">
        <v>1601.3</v>
      </c>
      <c r="E1889" s="2">
        <v>1626.4</v>
      </c>
      <c r="F1889" s="2">
        <v>1601.3</v>
      </c>
      <c r="G1889" s="3">
        <f t="shared" si="89"/>
        <v>1.0645272063184885E-2</v>
      </c>
      <c r="H1889" s="2">
        <f t="shared" si="87"/>
        <v>25.100000000000136</v>
      </c>
      <c r="I1889" s="3">
        <f t="shared" si="88"/>
        <v>1.5674764254043676E-2</v>
      </c>
    </row>
    <row r="1890" spans="2:9" x14ac:dyDescent="0.25">
      <c r="B1890" s="1">
        <v>37930</v>
      </c>
      <c r="C1890" s="2">
        <v>1609.15</v>
      </c>
      <c r="D1890" s="2">
        <v>1618.7</v>
      </c>
      <c r="E1890" s="2">
        <v>1627.6</v>
      </c>
      <c r="F1890" s="2">
        <v>1592.55</v>
      </c>
      <c r="G1890" s="3">
        <f t="shared" si="89"/>
        <v>-5.8997961326990866E-3</v>
      </c>
      <c r="H1890" s="2">
        <f t="shared" si="87"/>
        <v>35.049999999999955</v>
      </c>
      <c r="I1890" s="3">
        <f t="shared" si="88"/>
        <v>2.1653178476555231E-2</v>
      </c>
    </row>
    <row r="1891" spans="2:9" x14ac:dyDescent="0.25">
      <c r="B1891" s="1">
        <v>37931</v>
      </c>
      <c r="C1891" s="2">
        <v>1612.2</v>
      </c>
      <c r="D1891" s="2">
        <v>1610.55</v>
      </c>
      <c r="E1891" s="2">
        <v>1630.25</v>
      </c>
      <c r="F1891" s="2">
        <v>1605.4</v>
      </c>
      <c r="G1891" s="3">
        <f t="shared" si="89"/>
        <v>1.8954106205140153E-3</v>
      </c>
      <c r="H1891" s="2">
        <f t="shared" si="87"/>
        <v>24.849999999999909</v>
      </c>
      <c r="I1891" s="3">
        <f t="shared" si="88"/>
        <v>1.5429511657508249E-2</v>
      </c>
    </row>
    <row r="1892" spans="2:9" x14ac:dyDescent="0.25">
      <c r="B1892" s="1">
        <v>37932</v>
      </c>
      <c r="C1892" s="2">
        <v>1592.05</v>
      </c>
      <c r="D1892" s="2">
        <v>1612.1</v>
      </c>
      <c r="E1892" s="2">
        <v>1624.5</v>
      </c>
      <c r="F1892" s="2">
        <v>1585.35</v>
      </c>
      <c r="G1892" s="3">
        <f t="shared" si="89"/>
        <v>-1.2498449323905314E-2</v>
      </c>
      <c r="H1892" s="2">
        <f t="shared" si="87"/>
        <v>39.150000000000091</v>
      </c>
      <c r="I1892" s="3">
        <f t="shared" si="88"/>
        <v>2.4285093976800506E-2</v>
      </c>
    </row>
    <row r="1893" spans="2:9" x14ac:dyDescent="0.25">
      <c r="B1893" s="1">
        <v>37935</v>
      </c>
      <c r="C1893" s="2">
        <v>1594.5</v>
      </c>
      <c r="D1893" s="2">
        <v>1603.55</v>
      </c>
      <c r="E1893" s="2">
        <v>1603.65</v>
      </c>
      <c r="F1893" s="2">
        <v>1568.1</v>
      </c>
      <c r="G1893" s="3">
        <f t="shared" si="89"/>
        <v>1.5388963914451104E-3</v>
      </c>
      <c r="H1893" s="2">
        <f t="shared" si="87"/>
        <v>35.550000000000182</v>
      </c>
      <c r="I1893" s="3">
        <f t="shared" si="88"/>
        <v>2.2169561285897029E-2</v>
      </c>
    </row>
    <row r="1894" spans="2:9" x14ac:dyDescent="0.25">
      <c r="B1894" s="1">
        <v>37936</v>
      </c>
      <c r="C1894" s="2">
        <v>1601.15</v>
      </c>
      <c r="D1894" s="2">
        <v>1594.5</v>
      </c>
      <c r="E1894" s="2">
        <v>1608.85</v>
      </c>
      <c r="F1894" s="2">
        <v>1590.95</v>
      </c>
      <c r="G1894" s="3">
        <f t="shared" si="89"/>
        <v>4.1705863907182117E-3</v>
      </c>
      <c r="H1894" s="2">
        <f t="shared" si="87"/>
        <v>17.899999999999864</v>
      </c>
      <c r="I1894" s="3">
        <f t="shared" si="88"/>
        <v>1.122608968328621E-2</v>
      </c>
    </row>
    <row r="1895" spans="2:9" x14ac:dyDescent="0.25">
      <c r="B1895" s="1">
        <v>37937</v>
      </c>
      <c r="C1895" s="2">
        <v>1603.8</v>
      </c>
      <c r="D1895" s="2">
        <v>1601.3</v>
      </c>
      <c r="E1895" s="2">
        <v>1617.75</v>
      </c>
      <c r="F1895" s="2">
        <v>1598</v>
      </c>
      <c r="G1895" s="3">
        <f t="shared" si="89"/>
        <v>1.6550604253191548E-3</v>
      </c>
      <c r="H1895" s="2">
        <f t="shared" si="87"/>
        <v>19.75</v>
      </c>
      <c r="I1895" s="3">
        <f t="shared" si="88"/>
        <v>1.2333728845313183E-2</v>
      </c>
    </row>
    <row r="1896" spans="2:9" x14ac:dyDescent="0.25">
      <c r="B1896" s="1">
        <v>37938</v>
      </c>
      <c r="C1896" s="2">
        <v>1579.95</v>
      </c>
      <c r="D1896" s="2">
        <v>1610.4</v>
      </c>
      <c r="E1896" s="2">
        <v>1616.15</v>
      </c>
      <c r="F1896" s="2">
        <v>1573.6</v>
      </c>
      <c r="G1896" s="3">
        <f t="shared" si="89"/>
        <v>-1.4870931537598109E-2</v>
      </c>
      <c r="H1896" s="2">
        <f t="shared" si="87"/>
        <v>42.550000000000182</v>
      </c>
      <c r="I1896" s="3">
        <f t="shared" si="88"/>
        <v>2.642200695479395E-2</v>
      </c>
    </row>
    <row r="1897" spans="2:9" x14ac:dyDescent="0.25">
      <c r="B1897" s="1">
        <v>37939</v>
      </c>
      <c r="C1897" s="2">
        <v>1550.45</v>
      </c>
      <c r="D1897" s="2">
        <v>1577.2</v>
      </c>
      <c r="E1897" s="2">
        <v>1580.3</v>
      </c>
      <c r="F1897" s="2">
        <v>1544.75</v>
      </c>
      <c r="G1897" s="3">
        <f t="shared" si="89"/>
        <v>-1.8671476945472998E-2</v>
      </c>
      <c r="H1897" s="2">
        <f t="shared" si="87"/>
        <v>35.549999999999955</v>
      </c>
      <c r="I1897" s="3">
        <f t="shared" si="88"/>
        <v>2.2539944204920084E-2</v>
      </c>
    </row>
    <row r="1898" spans="2:9" x14ac:dyDescent="0.25">
      <c r="B1898" s="1">
        <v>37940</v>
      </c>
      <c r="C1898" s="2">
        <v>1562.8</v>
      </c>
      <c r="D1898" s="2">
        <v>1549.65</v>
      </c>
      <c r="E1898" s="2">
        <v>1571.3</v>
      </c>
      <c r="F1898" s="2">
        <v>1542</v>
      </c>
      <c r="G1898" s="3">
        <f t="shared" si="89"/>
        <v>7.9654293914668273E-3</v>
      </c>
      <c r="H1898" s="2">
        <f t="shared" si="87"/>
        <v>29.299999999999955</v>
      </c>
      <c r="I1898" s="3">
        <f t="shared" si="88"/>
        <v>1.890749524086081E-2</v>
      </c>
    </row>
    <row r="1899" spans="2:9" x14ac:dyDescent="0.25">
      <c r="B1899" s="1">
        <v>37942</v>
      </c>
      <c r="C1899" s="2">
        <v>1579.9</v>
      </c>
      <c r="D1899" s="2">
        <v>1563.1</v>
      </c>
      <c r="E1899" s="2">
        <v>1584.75</v>
      </c>
      <c r="F1899" s="2">
        <v>1554.4</v>
      </c>
      <c r="G1899" s="3">
        <f t="shared" si="89"/>
        <v>1.0941899155362256E-2</v>
      </c>
      <c r="H1899" s="2">
        <f t="shared" si="87"/>
        <v>30.349999999999909</v>
      </c>
      <c r="I1899" s="3">
        <f t="shared" si="88"/>
        <v>1.941654404708586E-2</v>
      </c>
    </row>
    <row r="1900" spans="2:9" x14ac:dyDescent="0.25">
      <c r="B1900" s="1">
        <v>37943</v>
      </c>
      <c r="C1900" s="2">
        <v>1564.4</v>
      </c>
      <c r="D1900" s="2">
        <v>1579.15</v>
      </c>
      <c r="E1900" s="2">
        <v>1591.25</v>
      </c>
      <c r="F1900" s="2">
        <v>1557.2</v>
      </c>
      <c r="G1900" s="3">
        <f t="shared" si="89"/>
        <v>-9.8107475156655743E-3</v>
      </c>
      <c r="H1900" s="2">
        <f t="shared" si="87"/>
        <v>34.049999999999955</v>
      </c>
      <c r="I1900" s="3">
        <f t="shared" si="88"/>
        <v>2.1562232846784633E-2</v>
      </c>
    </row>
    <row r="1901" spans="2:9" x14ac:dyDescent="0.25">
      <c r="B1901" s="1">
        <v>37944</v>
      </c>
      <c r="C1901" s="2">
        <v>1540.6</v>
      </c>
      <c r="D1901" s="2">
        <v>1563.95</v>
      </c>
      <c r="E1901" s="2">
        <v>1564</v>
      </c>
      <c r="F1901" s="2">
        <v>1534.35</v>
      </c>
      <c r="G1901" s="3">
        <f t="shared" si="89"/>
        <v>-1.5213500383533751E-2</v>
      </c>
      <c r="H1901" s="2">
        <f t="shared" si="87"/>
        <v>29.650000000000091</v>
      </c>
      <c r="I1901" s="3">
        <f t="shared" si="88"/>
        <v>1.8958406598676487E-2</v>
      </c>
    </row>
    <row r="1902" spans="2:9" x14ac:dyDescent="0.25">
      <c r="B1902" s="1">
        <v>37945</v>
      </c>
      <c r="C1902" s="2">
        <v>1522.3</v>
      </c>
      <c r="D1902" s="2">
        <v>1542.85</v>
      </c>
      <c r="E1902" s="2">
        <v>1558.15</v>
      </c>
      <c r="F1902" s="2">
        <v>1517.9</v>
      </c>
      <c r="G1902" s="3">
        <f t="shared" si="89"/>
        <v>-1.1878488900428419E-2</v>
      </c>
      <c r="H1902" s="2">
        <f t="shared" si="87"/>
        <v>40.25</v>
      </c>
      <c r="I1902" s="3">
        <f t="shared" si="88"/>
        <v>2.6088083741128431E-2</v>
      </c>
    </row>
    <row r="1903" spans="2:9" x14ac:dyDescent="0.25">
      <c r="B1903" s="1">
        <v>37946</v>
      </c>
      <c r="C1903" s="2">
        <v>1540.7</v>
      </c>
      <c r="D1903" s="2">
        <v>1520.4</v>
      </c>
      <c r="E1903" s="2">
        <v>1547</v>
      </c>
      <c r="F1903" s="2">
        <v>1509.15</v>
      </c>
      <c r="G1903" s="3">
        <f t="shared" si="89"/>
        <v>1.2086973658280264E-2</v>
      </c>
      <c r="H1903" s="2">
        <f t="shared" si="87"/>
        <v>37.849999999999909</v>
      </c>
      <c r="I1903" s="3">
        <f t="shared" si="88"/>
        <v>2.4894764535648452E-2</v>
      </c>
    </row>
    <row r="1904" spans="2:9" x14ac:dyDescent="0.25">
      <c r="B1904" s="1">
        <v>37949</v>
      </c>
      <c r="C1904" s="2">
        <v>1543.9</v>
      </c>
      <c r="D1904" s="2">
        <v>1541.35</v>
      </c>
      <c r="E1904" s="2">
        <v>1554.05</v>
      </c>
      <c r="F1904" s="2">
        <v>1536.5</v>
      </c>
      <c r="G1904" s="3">
        <f t="shared" si="89"/>
        <v>2.0769779970144508E-3</v>
      </c>
      <c r="H1904" s="2">
        <f t="shared" si="87"/>
        <v>17.549999999999955</v>
      </c>
      <c r="I1904" s="3">
        <f t="shared" si="88"/>
        <v>1.1386122554903141E-2</v>
      </c>
    </row>
    <row r="1905" spans="2:9" x14ac:dyDescent="0.25">
      <c r="B1905" s="1">
        <v>37950</v>
      </c>
      <c r="C1905" s="2">
        <v>1568.65</v>
      </c>
      <c r="D1905" s="2">
        <v>1543.95</v>
      </c>
      <c r="E1905" s="2">
        <v>1572.05</v>
      </c>
      <c r="F1905" s="2">
        <v>1543.95</v>
      </c>
      <c r="G1905" s="3">
        <f t="shared" si="89"/>
        <v>1.6030831012371349E-2</v>
      </c>
      <c r="H1905" s="2">
        <f t="shared" si="87"/>
        <v>28.099999999999909</v>
      </c>
      <c r="I1905" s="3">
        <f t="shared" si="88"/>
        <v>1.8200071245830441E-2</v>
      </c>
    </row>
    <row r="1906" spans="2:9" x14ac:dyDescent="0.25">
      <c r="B1906" s="1">
        <v>37952</v>
      </c>
      <c r="C1906" s="2">
        <v>1598.35</v>
      </c>
      <c r="D1906" s="2">
        <v>1568.85</v>
      </c>
      <c r="E1906" s="2">
        <v>1602.6</v>
      </c>
      <c r="F1906" s="2">
        <v>1568.7</v>
      </c>
      <c r="G1906" s="3">
        <f t="shared" si="89"/>
        <v>1.8933477831255985E-2</v>
      </c>
      <c r="H1906" s="2">
        <f t="shared" si="87"/>
        <v>33.899999999999864</v>
      </c>
      <c r="I1906" s="3">
        <f t="shared" si="88"/>
        <v>2.1608184338846842E-2</v>
      </c>
    </row>
    <row r="1907" spans="2:9" x14ac:dyDescent="0.25">
      <c r="B1907" s="1">
        <v>37953</v>
      </c>
      <c r="C1907" s="2">
        <v>1615.25</v>
      </c>
      <c r="D1907" s="2">
        <v>1598.55</v>
      </c>
      <c r="E1907" s="2">
        <v>1618.95</v>
      </c>
      <c r="F1907" s="2">
        <v>1598.55</v>
      </c>
      <c r="G1907" s="3">
        <f t="shared" si="89"/>
        <v>1.0573403822692118E-2</v>
      </c>
      <c r="H1907" s="2">
        <f t="shared" si="87"/>
        <v>20.400000000000091</v>
      </c>
      <c r="I1907" s="3">
        <f t="shared" si="88"/>
        <v>1.276156516843395E-2</v>
      </c>
    </row>
    <row r="1908" spans="2:9" x14ac:dyDescent="0.25">
      <c r="B1908" s="1">
        <v>37956</v>
      </c>
      <c r="C1908" s="2">
        <v>1657.65</v>
      </c>
      <c r="D1908" s="2">
        <v>1615.85</v>
      </c>
      <c r="E1908" s="2">
        <v>1660.55</v>
      </c>
      <c r="F1908" s="2">
        <v>1615.7</v>
      </c>
      <c r="G1908" s="3">
        <f t="shared" si="89"/>
        <v>2.6249806531496667E-2</v>
      </c>
      <c r="H1908" s="2">
        <f t="shared" si="87"/>
        <v>44.849999999999909</v>
      </c>
      <c r="I1908" s="3">
        <f t="shared" si="88"/>
        <v>2.7756289259522796E-2</v>
      </c>
    </row>
    <row r="1909" spans="2:9" x14ac:dyDescent="0.25">
      <c r="B1909" s="1">
        <v>37957</v>
      </c>
      <c r="C1909" s="2">
        <v>1658.5</v>
      </c>
      <c r="D1909" s="2">
        <v>1657.65</v>
      </c>
      <c r="E1909" s="2">
        <v>1671.85</v>
      </c>
      <c r="F1909" s="2">
        <v>1639.65</v>
      </c>
      <c r="G1909" s="3">
        <f t="shared" si="89"/>
        <v>5.1277410792383016E-4</v>
      </c>
      <c r="H1909" s="2">
        <f t="shared" si="87"/>
        <v>32.199999999999818</v>
      </c>
      <c r="I1909" s="3">
        <f t="shared" si="88"/>
        <v>1.9425089735468776E-2</v>
      </c>
    </row>
    <row r="1910" spans="2:9" x14ac:dyDescent="0.25">
      <c r="B1910" s="1">
        <v>37958</v>
      </c>
      <c r="C1910" s="2">
        <v>1670.5</v>
      </c>
      <c r="D1910" s="2">
        <v>1660.7</v>
      </c>
      <c r="E1910" s="2">
        <v>1676.2</v>
      </c>
      <c r="F1910" s="2">
        <v>1655.9</v>
      </c>
      <c r="G1910" s="3">
        <f t="shared" si="89"/>
        <v>7.2354537232439675E-3</v>
      </c>
      <c r="H1910" s="2">
        <f t="shared" si="87"/>
        <v>20.299999999999955</v>
      </c>
      <c r="I1910" s="3">
        <f t="shared" si="88"/>
        <v>1.2223761064611281E-2</v>
      </c>
    </row>
    <row r="1911" spans="2:9" x14ac:dyDescent="0.25">
      <c r="B1911" s="1">
        <v>37959</v>
      </c>
      <c r="C1911" s="2">
        <v>1675.2</v>
      </c>
      <c r="D1911" s="2">
        <v>1670.65</v>
      </c>
      <c r="E1911" s="2">
        <v>1683.75</v>
      </c>
      <c r="F1911" s="2">
        <v>1656.1</v>
      </c>
      <c r="G1911" s="3">
        <f t="shared" si="89"/>
        <v>2.8135288835677841E-3</v>
      </c>
      <c r="H1911" s="2">
        <f t="shared" si="87"/>
        <v>27.650000000000091</v>
      </c>
      <c r="I1911" s="3">
        <f t="shared" si="88"/>
        <v>1.6550444437793726E-2</v>
      </c>
    </row>
    <row r="1912" spans="2:9" x14ac:dyDescent="0.25">
      <c r="B1912" s="1">
        <v>37960</v>
      </c>
      <c r="C1912" s="2">
        <v>1645.8</v>
      </c>
      <c r="D1912" s="2">
        <v>1675.5</v>
      </c>
      <c r="E1912" s="2">
        <v>1688.25</v>
      </c>
      <c r="F1912" s="2">
        <v>1642.05</v>
      </c>
      <c r="G1912" s="3">
        <f t="shared" si="89"/>
        <v>-1.7550143266475748E-2</v>
      </c>
      <c r="H1912" s="2">
        <f t="shared" si="87"/>
        <v>46.200000000000045</v>
      </c>
      <c r="I1912" s="3">
        <f t="shared" si="88"/>
        <v>2.7573858549686688E-2</v>
      </c>
    </row>
    <row r="1913" spans="2:9" x14ac:dyDescent="0.25">
      <c r="B1913" s="1">
        <v>37963</v>
      </c>
      <c r="C1913" s="2">
        <v>1646.25</v>
      </c>
      <c r="D1913" s="2">
        <v>1644.85</v>
      </c>
      <c r="E1913" s="2">
        <v>1654.35</v>
      </c>
      <c r="F1913" s="2">
        <v>1631.85</v>
      </c>
      <c r="G1913" s="3">
        <f t="shared" si="89"/>
        <v>2.7342325920520771E-4</v>
      </c>
      <c r="H1913" s="2">
        <f t="shared" si="87"/>
        <v>22.5</v>
      </c>
      <c r="I1913" s="3">
        <f t="shared" si="88"/>
        <v>1.3679058880749006E-2</v>
      </c>
    </row>
    <row r="1914" spans="2:9" x14ac:dyDescent="0.25">
      <c r="B1914" s="1">
        <v>37964</v>
      </c>
      <c r="C1914" s="2">
        <v>1675.85</v>
      </c>
      <c r="D1914" s="2">
        <v>1646.4</v>
      </c>
      <c r="E1914" s="2">
        <v>1677.9</v>
      </c>
      <c r="F1914" s="2">
        <v>1646.4</v>
      </c>
      <c r="G1914" s="3">
        <f t="shared" si="89"/>
        <v>1.7980258162490381E-2</v>
      </c>
      <c r="H1914" s="2">
        <f t="shared" si="87"/>
        <v>31.5</v>
      </c>
      <c r="I1914" s="3">
        <f t="shared" si="88"/>
        <v>1.913265306122449E-2</v>
      </c>
    </row>
    <row r="1915" spans="2:9" x14ac:dyDescent="0.25">
      <c r="B1915" s="1">
        <v>37965</v>
      </c>
      <c r="C1915" s="2">
        <v>1686.9</v>
      </c>
      <c r="D1915" s="2">
        <v>1675.75</v>
      </c>
      <c r="E1915" s="2">
        <v>1697.3</v>
      </c>
      <c r="F1915" s="2">
        <v>1672.65</v>
      </c>
      <c r="G1915" s="3">
        <f t="shared" si="89"/>
        <v>6.5936688844467906E-3</v>
      </c>
      <c r="H1915" s="2">
        <f t="shared" si="87"/>
        <v>24.649999999999864</v>
      </c>
      <c r="I1915" s="3">
        <f t="shared" si="88"/>
        <v>1.4709831418767635E-2</v>
      </c>
    </row>
    <row r="1916" spans="2:9" x14ac:dyDescent="0.25">
      <c r="B1916" s="1">
        <v>37966</v>
      </c>
      <c r="C1916" s="2">
        <v>1695.4</v>
      </c>
      <c r="D1916" s="2">
        <v>1688.35</v>
      </c>
      <c r="E1916" s="2">
        <v>1701.7</v>
      </c>
      <c r="F1916" s="2">
        <v>1678.35</v>
      </c>
      <c r="G1916" s="3">
        <f t="shared" si="89"/>
        <v>5.0388286205464983E-3</v>
      </c>
      <c r="H1916" s="2">
        <f t="shared" si="87"/>
        <v>23.350000000000136</v>
      </c>
      <c r="I1916" s="3">
        <f t="shared" si="88"/>
        <v>1.383007077916317E-2</v>
      </c>
    </row>
    <row r="1917" spans="2:9" x14ac:dyDescent="0.25">
      <c r="B1917" s="1">
        <v>37967</v>
      </c>
      <c r="C1917" s="2">
        <v>1698.9</v>
      </c>
      <c r="D1917" s="2">
        <v>1695.8</v>
      </c>
      <c r="E1917" s="2">
        <v>1705.95</v>
      </c>
      <c r="F1917" s="2">
        <v>1686.45</v>
      </c>
      <c r="G1917" s="3">
        <f t="shared" si="89"/>
        <v>2.0644095788604488E-3</v>
      </c>
      <c r="H1917" s="2">
        <f t="shared" si="87"/>
        <v>19.5</v>
      </c>
      <c r="I1917" s="3">
        <f t="shared" si="88"/>
        <v>1.1498997523292842E-2</v>
      </c>
    </row>
    <row r="1918" spans="2:9" x14ac:dyDescent="0.25">
      <c r="B1918" s="1">
        <v>37970</v>
      </c>
      <c r="C1918" s="2">
        <v>1723.95</v>
      </c>
      <c r="D1918" s="2">
        <v>1699.7</v>
      </c>
      <c r="E1918" s="2">
        <v>1728</v>
      </c>
      <c r="F1918" s="2">
        <v>1699.7</v>
      </c>
      <c r="G1918" s="3">
        <f t="shared" si="89"/>
        <v>1.4744834893166248E-2</v>
      </c>
      <c r="H1918" s="2">
        <f t="shared" si="87"/>
        <v>28.299999999999955</v>
      </c>
      <c r="I1918" s="3">
        <f t="shared" si="88"/>
        <v>1.6649997058304378E-2</v>
      </c>
    </row>
    <row r="1919" spans="2:9" x14ac:dyDescent="0.25">
      <c r="B1919" s="1">
        <v>37971</v>
      </c>
      <c r="C1919" s="2">
        <v>1736.25</v>
      </c>
      <c r="D1919" s="2">
        <v>1723.9</v>
      </c>
      <c r="E1919" s="2">
        <v>1740.3</v>
      </c>
      <c r="F1919" s="2">
        <v>1711.3</v>
      </c>
      <c r="G1919" s="3">
        <f t="shared" si="89"/>
        <v>7.1347776907682015E-3</v>
      </c>
      <c r="H1919" s="2">
        <f t="shared" si="87"/>
        <v>29</v>
      </c>
      <c r="I1919" s="3">
        <f t="shared" si="88"/>
        <v>1.6822321480364288E-2</v>
      </c>
    </row>
    <row r="1920" spans="2:9" x14ac:dyDescent="0.25">
      <c r="B1920" s="1">
        <v>37972</v>
      </c>
      <c r="C1920" s="2">
        <v>1733.25</v>
      </c>
      <c r="D1920" s="2">
        <v>1736.35</v>
      </c>
      <c r="E1920" s="2">
        <v>1746.2</v>
      </c>
      <c r="F1920" s="2">
        <v>1725.4</v>
      </c>
      <c r="G1920" s="3">
        <f t="shared" si="89"/>
        <v>-1.7278617710583255E-3</v>
      </c>
      <c r="H1920" s="2">
        <f t="shared" si="87"/>
        <v>20.799999999999955</v>
      </c>
      <c r="I1920" s="3">
        <f t="shared" si="88"/>
        <v>1.1979151668730358E-2</v>
      </c>
    </row>
    <row r="1921" spans="2:9" x14ac:dyDescent="0.25">
      <c r="B1921" s="1">
        <v>37973</v>
      </c>
      <c r="C1921" s="2">
        <v>1756.1</v>
      </c>
      <c r="D1921" s="2">
        <v>1733.2</v>
      </c>
      <c r="E1921" s="2">
        <v>1759</v>
      </c>
      <c r="F1921" s="2">
        <v>1725.85</v>
      </c>
      <c r="G1921" s="3">
        <f t="shared" si="89"/>
        <v>1.3183326121448014E-2</v>
      </c>
      <c r="H1921" s="2">
        <f t="shared" si="87"/>
        <v>33.150000000000091</v>
      </c>
      <c r="I1921" s="3">
        <f t="shared" si="88"/>
        <v>1.9126471267020592E-2</v>
      </c>
    </row>
    <row r="1922" spans="2:9" x14ac:dyDescent="0.25">
      <c r="B1922" s="1">
        <v>37974</v>
      </c>
      <c r="C1922" s="2">
        <v>1778.55</v>
      </c>
      <c r="D1922" s="2">
        <v>1757</v>
      </c>
      <c r="E1922" s="2">
        <v>1783.7</v>
      </c>
      <c r="F1922" s="2">
        <v>1755.4</v>
      </c>
      <c r="G1922" s="3">
        <f t="shared" si="89"/>
        <v>1.2784010022208303E-2</v>
      </c>
      <c r="H1922" s="2">
        <f t="shared" si="87"/>
        <v>28.299999999999955</v>
      </c>
      <c r="I1922" s="3">
        <f t="shared" si="88"/>
        <v>1.6107000569151937E-2</v>
      </c>
    </row>
    <row r="1923" spans="2:9" x14ac:dyDescent="0.25">
      <c r="B1923" s="1">
        <v>37977</v>
      </c>
      <c r="C1923" s="2">
        <v>1789.15</v>
      </c>
      <c r="D1923" s="2">
        <v>1778.85</v>
      </c>
      <c r="E1923" s="2">
        <v>1794.3</v>
      </c>
      <c r="F1923" s="2">
        <v>1778.4</v>
      </c>
      <c r="G1923" s="3">
        <f t="shared" si="89"/>
        <v>5.959911163588405E-3</v>
      </c>
      <c r="H1923" s="2">
        <f t="shared" si="87"/>
        <v>15.899999999999864</v>
      </c>
      <c r="I1923" s="3">
        <f t="shared" si="88"/>
        <v>8.9383590521965681E-3</v>
      </c>
    </row>
    <row r="1924" spans="2:9" x14ac:dyDescent="0.25">
      <c r="B1924" s="1">
        <v>37978</v>
      </c>
      <c r="C1924" s="2">
        <v>1780.3</v>
      </c>
      <c r="D1924" s="2">
        <v>1789.1</v>
      </c>
      <c r="E1924" s="2">
        <v>1800.9</v>
      </c>
      <c r="F1924" s="2">
        <v>1751.05</v>
      </c>
      <c r="G1924" s="3">
        <f t="shared" si="89"/>
        <v>-4.9464829667720256E-3</v>
      </c>
      <c r="H1924" s="2">
        <f t="shared" si="87"/>
        <v>49.850000000000136</v>
      </c>
      <c r="I1924" s="3">
        <f t="shared" si="88"/>
        <v>2.7863171426974535E-2</v>
      </c>
    </row>
    <row r="1925" spans="2:9" x14ac:dyDescent="0.25">
      <c r="B1925" s="1">
        <v>37979</v>
      </c>
      <c r="C1925" s="2">
        <v>1808.7</v>
      </c>
      <c r="D1925" s="2">
        <v>1788.45</v>
      </c>
      <c r="E1925" s="2">
        <v>1815.6</v>
      </c>
      <c r="F1925" s="2">
        <v>1780.3</v>
      </c>
      <c r="G1925" s="3">
        <f t="shared" si="89"/>
        <v>1.595236757849805E-2</v>
      </c>
      <c r="H1925" s="2">
        <f t="shared" ref="H1925:H1988" si="90">E1925-F1925</f>
        <v>35.299999999999955</v>
      </c>
      <c r="I1925" s="3">
        <f t="shared" si="88"/>
        <v>1.9737761749000507E-2</v>
      </c>
    </row>
    <row r="1926" spans="2:9" x14ac:dyDescent="0.25">
      <c r="B1926" s="1">
        <v>37981</v>
      </c>
      <c r="C1926" s="2">
        <v>1837.05</v>
      </c>
      <c r="D1926" s="2">
        <v>1804.7</v>
      </c>
      <c r="E1926" s="2">
        <v>1840.35</v>
      </c>
      <c r="F1926" s="2">
        <v>1804.7</v>
      </c>
      <c r="G1926" s="3">
        <f t="shared" si="89"/>
        <v>1.567424116768934E-2</v>
      </c>
      <c r="H1926" s="2">
        <f t="shared" si="90"/>
        <v>35.649999999999864</v>
      </c>
      <c r="I1926" s="3">
        <f t="shared" ref="I1926:I1989" si="91">H1926/D1926</f>
        <v>1.9753975730038158E-2</v>
      </c>
    </row>
    <row r="1927" spans="2:9" x14ac:dyDescent="0.25">
      <c r="B1927" s="1">
        <v>37984</v>
      </c>
      <c r="C1927" s="2">
        <v>1874.05</v>
      </c>
      <c r="D1927" s="2">
        <v>1838.05</v>
      </c>
      <c r="E1927" s="2">
        <v>1876</v>
      </c>
      <c r="F1927" s="2">
        <v>1837.65</v>
      </c>
      <c r="G1927" s="3">
        <f t="shared" ref="G1927:G1990" si="92">C1927/C1926-1</f>
        <v>2.0140986908358416E-2</v>
      </c>
      <c r="H1927" s="2">
        <f t="shared" si="90"/>
        <v>38.349999999999909</v>
      </c>
      <c r="I1927" s="3">
        <f t="shared" si="91"/>
        <v>2.0864503141916655E-2</v>
      </c>
    </row>
    <row r="1928" spans="2:9" x14ac:dyDescent="0.25">
      <c r="B1928" s="1">
        <v>37985</v>
      </c>
      <c r="C1928" s="2">
        <v>1873.25</v>
      </c>
      <c r="D1928" s="2">
        <v>1878.9</v>
      </c>
      <c r="E1928" s="2">
        <v>1914.4</v>
      </c>
      <c r="F1928" s="2">
        <v>1858.55</v>
      </c>
      <c r="G1928" s="3">
        <f t="shared" si="92"/>
        <v>-4.2688295403003895E-4</v>
      </c>
      <c r="H1928" s="2">
        <f t="shared" si="90"/>
        <v>55.850000000000136</v>
      </c>
      <c r="I1928" s="3">
        <f t="shared" si="91"/>
        <v>2.9724839001543529E-2</v>
      </c>
    </row>
    <row r="1929" spans="2:9" x14ac:dyDescent="0.25">
      <c r="B1929" s="1">
        <v>37986</v>
      </c>
      <c r="C1929" s="2">
        <v>1879.75</v>
      </c>
      <c r="D1929" s="2">
        <v>1868.9</v>
      </c>
      <c r="E1929" s="2">
        <v>1895.65</v>
      </c>
      <c r="F1929" s="2">
        <v>1852.5</v>
      </c>
      <c r="G1929" s="3">
        <f t="shared" si="92"/>
        <v>3.4699052448952106E-3</v>
      </c>
      <c r="H1929" s="2">
        <f t="shared" si="90"/>
        <v>43.150000000000091</v>
      </c>
      <c r="I1929" s="3">
        <f t="shared" si="91"/>
        <v>2.3088447750013424E-2</v>
      </c>
    </row>
    <row r="1930" spans="2:9" x14ac:dyDescent="0.25">
      <c r="B1930" s="1">
        <v>37987</v>
      </c>
      <c r="C1930" s="2">
        <v>1912.25</v>
      </c>
      <c r="D1930" s="2">
        <v>1880.35</v>
      </c>
      <c r="E1930" s="2">
        <v>1917.05</v>
      </c>
      <c r="F1930" s="2">
        <v>1880.35</v>
      </c>
      <c r="G1930" s="3">
        <f t="shared" si="92"/>
        <v>1.7289533182604178E-2</v>
      </c>
      <c r="H1930" s="2">
        <f t="shared" si="90"/>
        <v>36.700000000000045</v>
      </c>
      <c r="I1930" s="3">
        <f t="shared" si="91"/>
        <v>1.9517642991996195E-2</v>
      </c>
    </row>
    <row r="1931" spans="2:9" x14ac:dyDescent="0.25">
      <c r="B1931" s="1">
        <v>37988</v>
      </c>
      <c r="C1931" s="2">
        <v>1946.05</v>
      </c>
      <c r="D1931" s="2">
        <v>1912.25</v>
      </c>
      <c r="E1931" s="2">
        <v>1951.7</v>
      </c>
      <c r="F1931" s="2">
        <v>1911.05</v>
      </c>
      <c r="G1931" s="3">
        <f t="shared" si="92"/>
        <v>1.767551313897231E-2</v>
      </c>
      <c r="H1931" s="2">
        <f t="shared" si="90"/>
        <v>40.650000000000091</v>
      </c>
      <c r="I1931" s="3">
        <f t="shared" si="91"/>
        <v>2.1257680742580776E-2</v>
      </c>
    </row>
    <row r="1932" spans="2:9" x14ac:dyDescent="0.25">
      <c r="B1932" s="1">
        <v>37991</v>
      </c>
      <c r="C1932" s="2">
        <v>1955</v>
      </c>
      <c r="D1932" s="2">
        <v>1946.3</v>
      </c>
      <c r="E1932" s="2">
        <v>1969.2</v>
      </c>
      <c r="F1932" s="2">
        <v>1930.75</v>
      </c>
      <c r="G1932" s="3">
        <f t="shared" si="92"/>
        <v>4.5990596336167311E-3</v>
      </c>
      <c r="H1932" s="2">
        <f t="shared" si="90"/>
        <v>38.450000000000045</v>
      </c>
      <c r="I1932" s="3">
        <f t="shared" si="91"/>
        <v>1.9755433386425551E-2</v>
      </c>
    </row>
    <row r="1933" spans="2:9" x14ac:dyDescent="0.25">
      <c r="B1933" s="1">
        <v>37992</v>
      </c>
      <c r="C1933" s="2">
        <v>1926.7</v>
      </c>
      <c r="D1933" s="2">
        <v>1955.1</v>
      </c>
      <c r="E1933" s="2">
        <v>1979.05</v>
      </c>
      <c r="F1933" s="2">
        <v>1908.75</v>
      </c>
      <c r="G1933" s="3">
        <f t="shared" si="92"/>
        <v>-1.4475703324808187E-2</v>
      </c>
      <c r="H1933" s="2">
        <f t="shared" si="90"/>
        <v>70.299999999999955</v>
      </c>
      <c r="I1933" s="3">
        <f t="shared" si="91"/>
        <v>3.595724003887267E-2</v>
      </c>
    </row>
    <row r="1934" spans="2:9" x14ac:dyDescent="0.25">
      <c r="B1934" s="1">
        <v>37993</v>
      </c>
      <c r="C1934" s="2">
        <v>1916.75</v>
      </c>
      <c r="D1934" s="2">
        <v>1927.95</v>
      </c>
      <c r="E1934" s="2">
        <v>1930.95</v>
      </c>
      <c r="F1934" s="2">
        <v>1888.1</v>
      </c>
      <c r="G1934" s="3">
        <f t="shared" si="92"/>
        <v>-5.1642705143509771E-3</v>
      </c>
      <c r="H1934" s="2">
        <f t="shared" si="90"/>
        <v>42.850000000000136</v>
      </c>
      <c r="I1934" s="3">
        <f t="shared" si="91"/>
        <v>2.2225680126559368E-2</v>
      </c>
    </row>
    <row r="1935" spans="2:9" x14ac:dyDescent="0.25">
      <c r="B1935" s="1">
        <v>37994</v>
      </c>
      <c r="C1935" s="2">
        <v>1968.55</v>
      </c>
      <c r="D1935" s="2">
        <v>1918.1</v>
      </c>
      <c r="E1935" s="2">
        <v>1973.45</v>
      </c>
      <c r="F1935" s="2">
        <v>1918.1</v>
      </c>
      <c r="G1935" s="3">
        <f t="shared" si="92"/>
        <v>2.7024911960349618E-2</v>
      </c>
      <c r="H1935" s="2">
        <f t="shared" si="90"/>
        <v>55.350000000000136</v>
      </c>
      <c r="I1935" s="3">
        <f t="shared" si="91"/>
        <v>2.8856681090662709E-2</v>
      </c>
    </row>
    <row r="1936" spans="2:9" x14ac:dyDescent="0.25">
      <c r="B1936" s="1">
        <v>37995</v>
      </c>
      <c r="C1936" s="2">
        <v>1971.9</v>
      </c>
      <c r="D1936" s="2">
        <v>1969</v>
      </c>
      <c r="E1936" s="2">
        <v>2014.65</v>
      </c>
      <c r="F1936" s="2">
        <v>1957.45</v>
      </c>
      <c r="G1936" s="3">
        <f t="shared" si="92"/>
        <v>1.7017601788118508E-3</v>
      </c>
      <c r="H1936" s="2">
        <f t="shared" si="90"/>
        <v>57.200000000000045</v>
      </c>
      <c r="I1936" s="3">
        <f t="shared" si="91"/>
        <v>2.905027932960896E-2</v>
      </c>
    </row>
    <row r="1937" spans="2:9" x14ac:dyDescent="0.25">
      <c r="B1937" s="1">
        <v>37998</v>
      </c>
      <c r="C1937" s="2">
        <v>1945.6</v>
      </c>
      <c r="D1937" s="2">
        <v>1972</v>
      </c>
      <c r="E1937" s="2">
        <v>1980.55</v>
      </c>
      <c r="F1937" s="2">
        <v>1936.75</v>
      </c>
      <c r="G1937" s="3">
        <f t="shared" si="92"/>
        <v>-1.3337390334195565E-2</v>
      </c>
      <c r="H1937" s="2">
        <f t="shared" si="90"/>
        <v>43.799999999999955</v>
      </c>
      <c r="I1937" s="3">
        <f t="shared" si="91"/>
        <v>2.2210953346855959E-2</v>
      </c>
    </row>
    <row r="1938" spans="2:9" x14ac:dyDescent="0.25">
      <c r="B1938" s="1">
        <v>37999</v>
      </c>
      <c r="C1938" s="2">
        <v>1963.6</v>
      </c>
      <c r="D1938" s="2">
        <v>1944.7</v>
      </c>
      <c r="E1938" s="2">
        <v>1967.85</v>
      </c>
      <c r="F1938" s="2">
        <v>1926.1</v>
      </c>
      <c r="G1938" s="3">
        <f t="shared" si="92"/>
        <v>9.2516447368420351E-3</v>
      </c>
      <c r="H1938" s="2">
        <f t="shared" si="90"/>
        <v>41.75</v>
      </c>
      <c r="I1938" s="3">
        <f t="shared" si="91"/>
        <v>2.1468606983082224E-2</v>
      </c>
    </row>
    <row r="1939" spans="2:9" x14ac:dyDescent="0.25">
      <c r="B1939" s="1">
        <v>38000</v>
      </c>
      <c r="C1939" s="2">
        <v>1982.15</v>
      </c>
      <c r="D1939" s="2">
        <v>1987.4</v>
      </c>
      <c r="E1939" s="2">
        <v>1995.2</v>
      </c>
      <c r="F1939" s="2">
        <v>1970.1</v>
      </c>
      <c r="G1939" s="3">
        <f t="shared" si="92"/>
        <v>9.4469342024854353E-3</v>
      </c>
      <c r="H1939" s="2">
        <f t="shared" si="90"/>
        <v>25.100000000000136</v>
      </c>
      <c r="I1939" s="3">
        <f t="shared" si="91"/>
        <v>1.2629566267485225E-2</v>
      </c>
    </row>
    <row r="1940" spans="2:9" x14ac:dyDescent="0.25">
      <c r="B1940" s="1">
        <v>38001</v>
      </c>
      <c r="C1940" s="2">
        <v>1944.45</v>
      </c>
      <c r="D1940" s="2">
        <v>1983.2</v>
      </c>
      <c r="E1940" s="2">
        <v>2000.3</v>
      </c>
      <c r="F1940" s="2">
        <v>1933.25</v>
      </c>
      <c r="G1940" s="3">
        <f t="shared" si="92"/>
        <v>-1.9019751280175634E-2</v>
      </c>
      <c r="H1940" s="2">
        <f t="shared" si="90"/>
        <v>67.049999999999955</v>
      </c>
      <c r="I1940" s="3">
        <f t="shared" si="91"/>
        <v>3.380899556272688E-2</v>
      </c>
    </row>
    <row r="1941" spans="2:9" x14ac:dyDescent="0.25">
      <c r="B1941" s="1">
        <v>38002</v>
      </c>
      <c r="C1941" s="2">
        <v>1900.65</v>
      </c>
      <c r="D1941" s="2">
        <v>1944.15</v>
      </c>
      <c r="E1941" s="2">
        <v>1953.05</v>
      </c>
      <c r="F1941" s="2">
        <v>1887.1</v>
      </c>
      <c r="G1941" s="3">
        <f t="shared" si="92"/>
        <v>-2.2525649926714464E-2</v>
      </c>
      <c r="H1941" s="2">
        <f t="shared" si="90"/>
        <v>65.950000000000045</v>
      </c>
      <c r="I1941" s="3">
        <f t="shared" si="91"/>
        <v>3.3922279659491315E-2</v>
      </c>
    </row>
    <row r="1942" spans="2:9" x14ac:dyDescent="0.25">
      <c r="B1942" s="1">
        <v>38005</v>
      </c>
      <c r="C1942" s="2">
        <v>1935.35</v>
      </c>
      <c r="D1942" s="2">
        <v>1901.9</v>
      </c>
      <c r="E1942" s="2">
        <v>1943.1</v>
      </c>
      <c r="F1942" s="2">
        <v>1874.95</v>
      </c>
      <c r="G1942" s="3">
        <f t="shared" si="92"/>
        <v>1.8256912109015255E-2</v>
      </c>
      <c r="H1942" s="2">
        <f t="shared" si="90"/>
        <v>68.149999999999864</v>
      </c>
      <c r="I1942" s="3">
        <f t="shared" si="91"/>
        <v>3.5832588464167335E-2</v>
      </c>
    </row>
    <row r="1943" spans="2:9" x14ac:dyDescent="0.25">
      <c r="B1943" s="1">
        <v>38006</v>
      </c>
      <c r="C1943" s="2">
        <v>1893.25</v>
      </c>
      <c r="D1943" s="2">
        <v>1928.8</v>
      </c>
      <c r="E1943" s="2">
        <v>1957.65</v>
      </c>
      <c r="F1943" s="2">
        <v>1876.85</v>
      </c>
      <c r="G1943" s="3">
        <f t="shared" si="92"/>
        <v>-2.1753171261012172E-2</v>
      </c>
      <c r="H1943" s="2">
        <f t="shared" si="90"/>
        <v>80.800000000000182</v>
      </c>
      <c r="I1943" s="3">
        <f t="shared" si="91"/>
        <v>4.1891331397760363E-2</v>
      </c>
    </row>
    <row r="1944" spans="2:9" x14ac:dyDescent="0.25">
      <c r="B1944" s="1">
        <v>38007</v>
      </c>
      <c r="C1944" s="2">
        <v>1824.6</v>
      </c>
      <c r="D1944" s="2">
        <v>1895.45</v>
      </c>
      <c r="E1944" s="2">
        <v>1899.55</v>
      </c>
      <c r="F1944" s="2">
        <v>1811.35</v>
      </c>
      <c r="G1944" s="3">
        <f t="shared" si="92"/>
        <v>-3.6260398785157855E-2</v>
      </c>
      <c r="H1944" s="2">
        <f t="shared" si="90"/>
        <v>88.200000000000045</v>
      </c>
      <c r="I1944" s="3">
        <f t="shared" si="91"/>
        <v>4.6532485689414149E-2</v>
      </c>
    </row>
    <row r="1945" spans="2:9" x14ac:dyDescent="0.25">
      <c r="B1945" s="1">
        <v>38008</v>
      </c>
      <c r="C1945" s="2">
        <v>1770.5</v>
      </c>
      <c r="D1945" s="2">
        <v>1824.7</v>
      </c>
      <c r="E1945" s="2">
        <v>1854.55</v>
      </c>
      <c r="F1945" s="2">
        <v>1756.25</v>
      </c>
      <c r="G1945" s="3">
        <f t="shared" si="92"/>
        <v>-2.9650334319850868E-2</v>
      </c>
      <c r="H1945" s="2">
        <f t="shared" si="90"/>
        <v>98.299999999999955</v>
      </c>
      <c r="I1945" s="3">
        <f t="shared" si="91"/>
        <v>5.387186934838601E-2</v>
      </c>
    </row>
    <row r="1946" spans="2:9" x14ac:dyDescent="0.25">
      <c r="B1946" s="1">
        <v>38009</v>
      </c>
      <c r="C1946" s="2">
        <v>1847.55</v>
      </c>
      <c r="D1946" s="2">
        <v>1771.1</v>
      </c>
      <c r="E1946" s="2">
        <v>1858.5</v>
      </c>
      <c r="F1946" s="2">
        <v>1771.1</v>
      </c>
      <c r="G1946" s="3">
        <f t="shared" si="92"/>
        <v>4.3518780005648017E-2</v>
      </c>
      <c r="H1946" s="2">
        <f t="shared" si="90"/>
        <v>87.400000000000091</v>
      </c>
      <c r="I1946" s="3">
        <f t="shared" si="91"/>
        <v>4.9347862910055953E-2</v>
      </c>
    </row>
    <row r="1947" spans="2:9" x14ac:dyDescent="0.25">
      <c r="B1947" s="1">
        <v>38013</v>
      </c>
      <c r="C1947" s="2">
        <v>1904.7</v>
      </c>
      <c r="D1947" s="2">
        <v>1847.9</v>
      </c>
      <c r="E1947" s="2">
        <v>1911.3</v>
      </c>
      <c r="F1947" s="2">
        <v>1844.65</v>
      </c>
      <c r="G1947" s="3">
        <f t="shared" si="92"/>
        <v>3.0932857026873428E-2</v>
      </c>
      <c r="H1947" s="2">
        <f t="shared" si="90"/>
        <v>66.649999999999864</v>
      </c>
      <c r="I1947" s="3">
        <f t="shared" si="91"/>
        <v>3.6067969045943969E-2</v>
      </c>
    </row>
    <row r="1948" spans="2:9" x14ac:dyDescent="0.25">
      <c r="B1948" s="1">
        <v>38014</v>
      </c>
      <c r="C1948" s="2">
        <v>1863.1</v>
      </c>
      <c r="D1948" s="2">
        <v>1903.9</v>
      </c>
      <c r="E1948" s="2">
        <v>1918.45</v>
      </c>
      <c r="F1948" s="2">
        <v>1846.35</v>
      </c>
      <c r="G1948" s="3">
        <f t="shared" si="92"/>
        <v>-2.1840709823069293E-2</v>
      </c>
      <c r="H1948" s="2">
        <f t="shared" si="90"/>
        <v>72.100000000000136</v>
      </c>
      <c r="I1948" s="3">
        <f t="shared" si="91"/>
        <v>3.7869636010294729E-2</v>
      </c>
    </row>
    <row r="1949" spans="2:9" x14ac:dyDescent="0.25">
      <c r="B1949" s="1">
        <v>38015</v>
      </c>
      <c r="C1949" s="2">
        <v>1843.6</v>
      </c>
      <c r="D1949" s="2">
        <v>1863</v>
      </c>
      <c r="E1949" s="2">
        <v>1883.1</v>
      </c>
      <c r="F1949" s="2">
        <v>1827.25</v>
      </c>
      <c r="G1949" s="3">
        <f t="shared" si="92"/>
        <v>-1.0466426922870475E-2</v>
      </c>
      <c r="H1949" s="2">
        <f t="shared" si="90"/>
        <v>55.849999999999909</v>
      </c>
      <c r="I1949" s="3">
        <f t="shared" si="91"/>
        <v>2.9978529253891523E-2</v>
      </c>
    </row>
    <row r="1950" spans="2:9" x14ac:dyDescent="0.25">
      <c r="B1950" s="1">
        <v>38016</v>
      </c>
      <c r="C1950" s="2">
        <v>1809.75</v>
      </c>
      <c r="D1950" s="2">
        <v>1843.7</v>
      </c>
      <c r="E1950" s="2">
        <v>1860.4</v>
      </c>
      <c r="F1950" s="2">
        <v>1804.3</v>
      </c>
      <c r="G1950" s="3">
        <f t="shared" si="92"/>
        <v>-1.8360815795183338E-2</v>
      </c>
      <c r="H1950" s="2">
        <f t="shared" si="90"/>
        <v>56.100000000000136</v>
      </c>
      <c r="I1950" s="3">
        <f t="shared" si="91"/>
        <v>3.0427943808645733E-2</v>
      </c>
    </row>
    <row r="1951" spans="2:9" x14ac:dyDescent="0.25">
      <c r="B1951" s="1">
        <v>38020</v>
      </c>
      <c r="C1951" s="2">
        <v>1769</v>
      </c>
      <c r="D1951" s="2">
        <v>1809.3</v>
      </c>
      <c r="E1951" s="2">
        <v>1815.95</v>
      </c>
      <c r="F1951" s="2">
        <v>1755.65</v>
      </c>
      <c r="G1951" s="3">
        <f t="shared" si="92"/>
        <v>-2.2516922226826885E-2</v>
      </c>
      <c r="H1951" s="2">
        <f t="shared" si="90"/>
        <v>60.299999999999955</v>
      </c>
      <c r="I1951" s="3">
        <f t="shared" si="91"/>
        <v>3.3327806333941279E-2</v>
      </c>
    </row>
    <row r="1952" spans="2:9" x14ac:dyDescent="0.25">
      <c r="B1952" s="1">
        <v>38021</v>
      </c>
      <c r="C1952" s="2">
        <v>1822.2</v>
      </c>
      <c r="D1952" s="2">
        <v>1769.1</v>
      </c>
      <c r="E1952" s="2">
        <v>1829.65</v>
      </c>
      <c r="F1952" s="2">
        <v>1761.75</v>
      </c>
      <c r="G1952" s="3">
        <f t="shared" si="92"/>
        <v>3.0073487846240754E-2</v>
      </c>
      <c r="H1952" s="2">
        <f t="shared" si="90"/>
        <v>67.900000000000091</v>
      </c>
      <c r="I1952" s="3">
        <f t="shared" si="91"/>
        <v>3.8381097733310776E-2</v>
      </c>
    </row>
    <row r="1953" spans="2:9" x14ac:dyDescent="0.25">
      <c r="B1953" s="1">
        <v>38022</v>
      </c>
      <c r="C1953" s="2">
        <v>1804.5</v>
      </c>
      <c r="D1953" s="2">
        <v>1823.5</v>
      </c>
      <c r="E1953" s="2">
        <v>1846.75</v>
      </c>
      <c r="F1953" s="2">
        <v>1787.15</v>
      </c>
      <c r="G1953" s="3">
        <f t="shared" si="92"/>
        <v>-9.7135330918669549E-3</v>
      </c>
      <c r="H1953" s="2">
        <f t="shared" si="90"/>
        <v>59.599999999999909</v>
      </c>
      <c r="I1953" s="3">
        <f t="shared" si="91"/>
        <v>3.2684398135453749E-2</v>
      </c>
    </row>
    <row r="1954" spans="2:9" x14ac:dyDescent="0.25">
      <c r="B1954" s="1">
        <v>38023</v>
      </c>
      <c r="C1954" s="2">
        <v>1833.65</v>
      </c>
      <c r="D1954" s="2">
        <v>1804.35</v>
      </c>
      <c r="E1954" s="2">
        <v>1837.95</v>
      </c>
      <c r="F1954" s="2">
        <v>1797.95</v>
      </c>
      <c r="G1954" s="3">
        <f t="shared" si="92"/>
        <v>1.6154059296203949E-2</v>
      </c>
      <c r="H1954" s="2">
        <f t="shared" si="90"/>
        <v>40</v>
      </c>
      <c r="I1954" s="3">
        <f t="shared" si="91"/>
        <v>2.2168647989580736E-2</v>
      </c>
    </row>
    <row r="1955" spans="2:9" x14ac:dyDescent="0.25">
      <c r="B1955" s="1">
        <v>38026</v>
      </c>
      <c r="C1955" s="2">
        <v>1880.7</v>
      </c>
      <c r="D1955" s="2">
        <v>1834.9</v>
      </c>
      <c r="E1955" s="2">
        <v>1885.2</v>
      </c>
      <c r="F1955" s="2">
        <v>1833.05</v>
      </c>
      <c r="G1955" s="3">
        <f t="shared" si="92"/>
        <v>2.5659204319253837E-2</v>
      </c>
      <c r="H1955" s="2">
        <f t="shared" si="90"/>
        <v>52.150000000000091</v>
      </c>
      <c r="I1955" s="3">
        <f t="shared" si="91"/>
        <v>2.8421167366069044E-2</v>
      </c>
    </row>
    <row r="1956" spans="2:9" x14ac:dyDescent="0.25">
      <c r="B1956" s="1">
        <v>38027</v>
      </c>
      <c r="C1956" s="2">
        <v>1880.75</v>
      </c>
      <c r="D1956" s="2">
        <v>1880.85</v>
      </c>
      <c r="E1956" s="2">
        <v>1897</v>
      </c>
      <c r="F1956" s="2">
        <v>1861.65</v>
      </c>
      <c r="G1956" s="3">
        <f t="shared" si="92"/>
        <v>2.6585845695814569E-5</v>
      </c>
      <c r="H1956" s="2">
        <f t="shared" si="90"/>
        <v>35.349999999999909</v>
      </c>
      <c r="I1956" s="3">
        <f t="shared" si="91"/>
        <v>1.8794693888401472E-2</v>
      </c>
    </row>
    <row r="1957" spans="2:9" x14ac:dyDescent="0.25">
      <c r="B1957" s="1">
        <v>38028</v>
      </c>
      <c r="C1957" s="2">
        <v>1891.5</v>
      </c>
      <c r="D1957" s="2">
        <v>1891.8</v>
      </c>
      <c r="E1957" s="2">
        <v>1894.8</v>
      </c>
      <c r="F1957" s="2">
        <v>1874.5</v>
      </c>
      <c r="G1957" s="3">
        <f t="shared" si="92"/>
        <v>5.7158048650804982E-3</v>
      </c>
      <c r="H1957" s="2">
        <f t="shared" si="90"/>
        <v>20.299999999999955</v>
      </c>
      <c r="I1957" s="3">
        <f t="shared" si="91"/>
        <v>1.0730521196743817E-2</v>
      </c>
    </row>
    <row r="1958" spans="2:9" x14ac:dyDescent="0.25">
      <c r="B1958" s="1">
        <v>38029</v>
      </c>
      <c r="C1958" s="2">
        <v>1885.3</v>
      </c>
      <c r="D1958" s="2">
        <v>1892.2</v>
      </c>
      <c r="E1958" s="2">
        <v>1906.1</v>
      </c>
      <c r="F1958" s="2">
        <v>1869.25</v>
      </c>
      <c r="G1958" s="3">
        <f t="shared" si="92"/>
        <v>-3.2778218345228538E-3</v>
      </c>
      <c r="H1958" s="2">
        <f t="shared" si="90"/>
        <v>36.849999999999909</v>
      </c>
      <c r="I1958" s="3">
        <f t="shared" si="91"/>
        <v>1.9474685551210184E-2</v>
      </c>
    </row>
    <row r="1959" spans="2:9" x14ac:dyDescent="0.25">
      <c r="B1959" s="1">
        <v>38030</v>
      </c>
      <c r="C1959" s="2">
        <v>1913.6</v>
      </c>
      <c r="D1959" s="2">
        <v>1875.6</v>
      </c>
      <c r="E1959" s="2">
        <v>1916.2</v>
      </c>
      <c r="F1959" s="2">
        <v>1873.25</v>
      </c>
      <c r="G1959" s="3">
        <f t="shared" si="92"/>
        <v>1.5010873601018382E-2</v>
      </c>
      <c r="H1959" s="2">
        <f t="shared" si="90"/>
        <v>42.950000000000045</v>
      </c>
      <c r="I1959" s="3">
        <f t="shared" si="91"/>
        <v>2.2899338878225661E-2</v>
      </c>
    </row>
    <row r="1960" spans="2:9" x14ac:dyDescent="0.25">
      <c r="B1960" s="1">
        <v>38033</v>
      </c>
      <c r="C1960" s="2">
        <v>1913.55</v>
      </c>
      <c r="D1960" s="2">
        <v>1914.45</v>
      </c>
      <c r="E1960" s="2">
        <v>1929.5</v>
      </c>
      <c r="F1960" s="2">
        <v>1909.45</v>
      </c>
      <c r="G1960" s="3">
        <f t="shared" si="92"/>
        <v>-2.6128762541821615E-5</v>
      </c>
      <c r="H1960" s="2">
        <f t="shared" si="90"/>
        <v>20.049999999999955</v>
      </c>
      <c r="I1960" s="3">
        <f t="shared" si="91"/>
        <v>1.047298179633835E-2</v>
      </c>
    </row>
    <row r="1961" spans="2:9" x14ac:dyDescent="0.25">
      <c r="B1961" s="1">
        <v>38034</v>
      </c>
      <c r="C1961" s="2">
        <v>1920.1</v>
      </c>
      <c r="D1961" s="2">
        <v>1913.55</v>
      </c>
      <c r="E1961" s="2">
        <v>1926.15</v>
      </c>
      <c r="F1961" s="2">
        <v>1905.5</v>
      </c>
      <c r="G1961" s="3">
        <f t="shared" si="92"/>
        <v>3.4229573306159278E-3</v>
      </c>
      <c r="H1961" s="2">
        <f t="shared" si="90"/>
        <v>20.650000000000091</v>
      </c>
      <c r="I1961" s="3">
        <f t="shared" si="91"/>
        <v>1.0791460897285199E-2</v>
      </c>
    </row>
    <row r="1962" spans="2:9" x14ac:dyDescent="0.25">
      <c r="B1962" s="1">
        <v>38035</v>
      </c>
      <c r="C1962" s="2">
        <v>1916.45</v>
      </c>
      <c r="D1962" s="2">
        <v>1920</v>
      </c>
      <c r="E1962" s="2">
        <v>1935.8</v>
      </c>
      <c r="F1962" s="2">
        <v>1912.6</v>
      </c>
      <c r="G1962" s="3">
        <f t="shared" si="92"/>
        <v>-1.9009426592364598E-3</v>
      </c>
      <c r="H1962" s="2">
        <f t="shared" si="90"/>
        <v>23.200000000000045</v>
      </c>
      <c r="I1962" s="3">
        <f t="shared" si="91"/>
        <v>1.2083333333333357E-2</v>
      </c>
    </row>
    <row r="1963" spans="2:9" x14ac:dyDescent="0.25">
      <c r="B1963" s="1">
        <v>38036</v>
      </c>
      <c r="C1963" s="2">
        <v>1858.3</v>
      </c>
      <c r="D1963" s="2">
        <v>1916.65</v>
      </c>
      <c r="E1963" s="2">
        <v>1919.7</v>
      </c>
      <c r="F1963" s="2">
        <v>1851.8</v>
      </c>
      <c r="G1963" s="3">
        <f t="shared" si="92"/>
        <v>-3.0342560463356816E-2</v>
      </c>
      <c r="H1963" s="2">
        <f t="shared" si="90"/>
        <v>67.900000000000091</v>
      </c>
      <c r="I1963" s="3">
        <f t="shared" si="91"/>
        <v>3.5426395012130588E-2</v>
      </c>
    </row>
    <row r="1964" spans="2:9" x14ac:dyDescent="0.25">
      <c r="B1964" s="1">
        <v>38037</v>
      </c>
      <c r="C1964" s="2">
        <v>1852.65</v>
      </c>
      <c r="D1964" s="2">
        <v>1858.25</v>
      </c>
      <c r="E1964" s="2">
        <v>1872.85</v>
      </c>
      <c r="F1964" s="2">
        <v>1831.15</v>
      </c>
      <c r="G1964" s="3">
        <f t="shared" si="92"/>
        <v>-3.0404132809556117E-3</v>
      </c>
      <c r="H1964" s="2">
        <f t="shared" si="90"/>
        <v>41.699999999999818</v>
      </c>
      <c r="I1964" s="3">
        <f t="shared" si="91"/>
        <v>2.2440468182429608E-2</v>
      </c>
    </row>
    <row r="1965" spans="2:9" x14ac:dyDescent="0.25">
      <c r="B1965" s="1">
        <v>38040</v>
      </c>
      <c r="C1965" s="2">
        <v>1808.2</v>
      </c>
      <c r="D1965" s="2">
        <v>1853</v>
      </c>
      <c r="E1965" s="2">
        <v>1867.25</v>
      </c>
      <c r="F1965" s="2">
        <v>1800.2</v>
      </c>
      <c r="G1965" s="3">
        <f t="shared" si="92"/>
        <v>-2.3992659163900365E-2</v>
      </c>
      <c r="H1965" s="2">
        <f t="shared" si="90"/>
        <v>67.049999999999955</v>
      </c>
      <c r="I1965" s="3">
        <f t="shared" si="91"/>
        <v>3.6184565569346981E-2</v>
      </c>
    </row>
    <row r="1966" spans="2:9" x14ac:dyDescent="0.25">
      <c r="B1966" s="1">
        <v>38041</v>
      </c>
      <c r="C1966" s="2">
        <v>1821.35</v>
      </c>
      <c r="D1966" s="2">
        <v>1808.4</v>
      </c>
      <c r="E1966" s="2">
        <v>1826.85</v>
      </c>
      <c r="F1966" s="2">
        <v>1780.35</v>
      </c>
      <c r="G1966" s="3">
        <f t="shared" si="92"/>
        <v>7.2724256166352141E-3</v>
      </c>
      <c r="H1966" s="2">
        <f t="shared" si="90"/>
        <v>46.5</v>
      </c>
      <c r="I1966" s="3">
        <f t="shared" si="91"/>
        <v>2.5713337757133376E-2</v>
      </c>
    </row>
    <row r="1967" spans="2:9" x14ac:dyDescent="0.25">
      <c r="B1967" s="1">
        <v>38042</v>
      </c>
      <c r="C1967" s="2">
        <v>1786.8</v>
      </c>
      <c r="D1967" s="2">
        <v>1833.65</v>
      </c>
      <c r="E1967" s="2">
        <v>1834.1</v>
      </c>
      <c r="F1967" s="2">
        <v>1779</v>
      </c>
      <c r="G1967" s="3">
        <f t="shared" si="92"/>
        <v>-1.896944574079662E-2</v>
      </c>
      <c r="H1967" s="2">
        <f t="shared" si="90"/>
        <v>55.099999999999909</v>
      </c>
      <c r="I1967" s="3">
        <f t="shared" si="91"/>
        <v>3.00493551113898E-2</v>
      </c>
    </row>
    <row r="1968" spans="2:9" x14ac:dyDescent="0.25">
      <c r="B1968" s="1">
        <v>38043</v>
      </c>
      <c r="C1968" s="2">
        <v>1765.8</v>
      </c>
      <c r="D1968" s="2">
        <v>1787.45</v>
      </c>
      <c r="E1968" s="2">
        <v>1818.6</v>
      </c>
      <c r="F1968" s="2">
        <v>1760.55</v>
      </c>
      <c r="G1968" s="3">
        <f t="shared" si="92"/>
        <v>-1.1752854264607149E-2</v>
      </c>
      <c r="H1968" s="2">
        <f t="shared" si="90"/>
        <v>58.049999999999955</v>
      </c>
      <c r="I1968" s="3">
        <f t="shared" si="91"/>
        <v>3.2476432907214164E-2</v>
      </c>
    </row>
    <row r="1969" spans="2:9" x14ac:dyDescent="0.25">
      <c r="B1969" s="1">
        <v>38044</v>
      </c>
      <c r="C1969" s="2">
        <v>1800.3</v>
      </c>
      <c r="D1969" s="2">
        <v>1765.9</v>
      </c>
      <c r="E1969" s="2">
        <v>1807.45</v>
      </c>
      <c r="F1969" s="2">
        <v>1763.95</v>
      </c>
      <c r="G1969" s="3">
        <f t="shared" si="92"/>
        <v>1.9537886510363478E-2</v>
      </c>
      <c r="H1969" s="2">
        <f t="shared" si="90"/>
        <v>43.5</v>
      </c>
      <c r="I1969" s="3">
        <f t="shared" si="91"/>
        <v>2.4633331445721728E-2</v>
      </c>
    </row>
    <row r="1970" spans="2:9" x14ac:dyDescent="0.25">
      <c r="B1970" s="1">
        <v>38047</v>
      </c>
      <c r="C1970" s="2">
        <v>1852.7</v>
      </c>
      <c r="D1970" s="2">
        <v>1798.35</v>
      </c>
      <c r="E1970" s="2">
        <v>1856.45</v>
      </c>
      <c r="F1970" s="2">
        <v>1795.35</v>
      </c>
      <c r="G1970" s="3">
        <f t="shared" si="92"/>
        <v>2.910626006776651E-2</v>
      </c>
      <c r="H1970" s="2">
        <f t="shared" si="90"/>
        <v>61.100000000000136</v>
      </c>
      <c r="I1970" s="3">
        <f t="shared" si="91"/>
        <v>3.3975588734117462E-2</v>
      </c>
    </row>
    <row r="1971" spans="2:9" x14ac:dyDescent="0.25">
      <c r="B1971" s="1">
        <v>38049</v>
      </c>
      <c r="C1971" s="2">
        <v>1860.4</v>
      </c>
      <c r="D1971" s="2">
        <v>1852.45</v>
      </c>
      <c r="E1971" s="2">
        <v>1868.25</v>
      </c>
      <c r="F1971" s="2">
        <v>1842.45</v>
      </c>
      <c r="G1971" s="3">
        <f t="shared" si="92"/>
        <v>4.1560965077993561E-3</v>
      </c>
      <c r="H1971" s="2">
        <f t="shared" si="90"/>
        <v>25.799999999999955</v>
      </c>
      <c r="I1971" s="3">
        <f t="shared" si="91"/>
        <v>1.3927501417042271E-2</v>
      </c>
    </row>
    <row r="1972" spans="2:9" x14ac:dyDescent="0.25">
      <c r="B1972" s="1">
        <v>38050</v>
      </c>
      <c r="C1972" s="2">
        <v>1843.85</v>
      </c>
      <c r="D1972" s="2">
        <v>1859.3</v>
      </c>
      <c r="E1972" s="2">
        <v>1867.95</v>
      </c>
      <c r="F1972" s="2">
        <v>1831.2</v>
      </c>
      <c r="G1972" s="3">
        <f t="shared" si="92"/>
        <v>-8.895936357772638E-3</v>
      </c>
      <c r="H1972" s="2">
        <f t="shared" si="90"/>
        <v>36.75</v>
      </c>
      <c r="I1972" s="3">
        <f t="shared" si="91"/>
        <v>1.9765503146345398E-2</v>
      </c>
    </row>
    <row r="1973" spans="2:9" x14ac:dyDescent="0.25">
      <c r="B1973" s="1">
        <v>38051</v>
      </c>
      <c r="C1973" s="2">
        <v>1867.7</v>
      </c>
      <c r="D1973" s="2">
        <v>1843.9</v>
      </c>
      <c r="E1973" s="2">
        <v>1871.1</v>
      </c>
      <c r="F1973" s="2">
        <v>1843.9</v>
      </c>
      <c r="G1973" s="3">
        <f t="shared" si="92"/>
        <v>1.2934891666892767E-2</v>
      </c>
      <c r="H1973" s="2">
        <f t="shared" si="90"/>
        <v>27.199999999999818</v>
      </c>
      <c r="I1973" s="3">
        <f t="shared" si="91"/>
        <v>1.4751342263680144E-2</v>
      </c>
    </row>
    <row r="1974" spans="2:9" x14ac:dyDescent="0.25">
      <c r="B1974" s="1">
        <v>38054</v>
      </c>
      <c r="C1974" s="2">
        <v>1885.25</v>
      </c>
      <c r="D1974" s="2">
        <v>1868.15</v>
      </c>
      <c r="E1974" s="2">
        <v>1891.95</v>
      </c>
      <c r="F1974" s="2">
        <v>1867.95</v>
      </c>
      <c r="G1974" s="3">
        <f t="shared" si="92"/>
        <v>9.3965840338383622E-3</v>
      </c>
      <c r="H1974" s="2">
        <f t="shared" si="90"/>
        <v>24</v>
      </c>
      <c r="I1974" s="3">
        <f t="shared" si="91"/>
        <v>1.2846934132698122E-2</v>
      </c>
    </row>
    <row r="1975" spans="2:9" x14ac:dyDescent="0.25">
      <c r="B1975" s="1">
        <v>38055</v>
      </c>
      <c r="C1975" s="2">
        <v>1866.05</v>
      </c>
      <c r="D1975" s="2">
        <v>1884.5</v>
      </c>
      <c r="E1975" s="2">
        <v>1898.7</v>
      </c>
      <c r="F1975" s="2">
        <v>1843</v>
      </c>
      <c r="G1975" s="3">
        <f t="shared" si="92"/>
        <v>-1.0184325686248497E-2</v>
      </c>
      <c r="H1975" s="2">
        <f t="shared" si="90"/>
        <v>55.700000000000045</v>
      </c>
      <c r="I1975" s="3">
        <f t="shared" si="91"/>
        <v>2.955691164765192E-2</v>
      </c>
    </row>
    <row r="1976" spans="2:9" x14ac:dyDescent="0.25">
      <c r="B1976" s="1">
        <v>38056</v>
      </c>
      <c r="C1976" s="2">
        <v>1844.35</v>
      </c>
      <c r="D1976" s="2">
        <v>1866.3</v>
      </c>
      <c r="E1976" s="2">
        <v>1866.4</v>
      </c>
      <c r="F1976" s="2">
        <v>1835.8</v>
      </c>
      <c r="G1976" s="3">
        <f t="shared" si="92"/>
        <v>-1.1628841670909162E-2</v>
      </c>
      <c r="H1976" s="2">
        <f t="shared" si="90"/>
        <v>30.600000000000136</v>
      </c>
      <c r="I1976" s="3">
        <f t="shared" si="91"/>
        <v>1.6396077800996698E-2</v>
      </c>
    </row>
    <row r="1977" spans="2:9" x14ac:dyDescent="0.25">
      <c r="B1977" s="1">
        <v>38057</v>
      </c>
      <c r="C1977" s="2">
        <v>1805.4</v>
      </c>
      <c r="D1977" s="2">
        <v>1843.95</v>
      </c>
      <c r="E1977" s="2">
        <v>1843.95</v>
      </c>
      <c r="F1977" s="2">
        <v>1798.45</v>
      </c>
      <c r="G1977" s="3">
        <f t="shared" si="92"/>
        <v>-2.1118551251118167E-2</v>
      </c>
      <c r="H1977" s="2">
        <f t="shared" si="90"/>
        <v>45.5</v>
      </c>
      <c r="I1977" s="3">
        <f t="shared" si="91"/>
        <v>2.467528946012636E-2</v>
      </c>
    </row>
    <row r="1978" spans="2:9" x14ac:dyDescent="0.25">
      <c r="B1978" s="1">
        <v>38058</v>
      </c>
      <c r="C1978" s="2">
        <v>1812.2</v>
      </c>
      <c r="D1978" s="2">
        <v>1805.2</v>
      </c>
      <c r="E1978" s="2">
        <v>1820.95</v>
      </c>
      <c r="F1978" s="2">
        <v>1775.9</v>
      </c>
      <c r="G1978" s="3">
        <f t="shared" si="92"/>
        <v>3.7664783427495685E-3</v>
      </c>
      <c r="H1978" s="2">
        <f t="shared" si="90"/>
        <v>45.049999999999955</v>
      </c>
      <c r="I1978" s="3">
        <f t="shared" si="91"/>
        <v>2.4955683580766649E-2</v>
      </c>
    </row>
    <row r="1979" spans="2:9" x14ac:dyDescent="0.25">
      <c r="B1979" s="1">
        <v>38061</v>
      </c>
      <c r="C1979" s="2">
        <v>1763.4</v>
      </c>
      <c r="D1979" s="2">
        <v>1812.45</v>
      </c>
      <c r="E1979" s="2">
        <v>1836</v>
      </c>
      <c r="F1979" s="2">
        <v>1751.8</v>
      </c>
      <c r="G1979" s="3">
        <f t="shared" si="92"/>
        <v>-2.6928595077805983E-2</v>
      </c>
      <c r="H1979" s="2">
        <f t="shared" si="90"/>
        <v>84.200000000000045</v>
      </c>
      <c r="I1979" s="3">
        <f t="shared" si="91"/>
        <v>4.6456453971144056E-2</v>
      </c>
    </row>
    <row r="1980" spans="2:9" x14ac:dyDescent="0.25">
      <c r="B1980" s="1">
        <v>38062</v>
      </c>
      <c r="C1980" s="2">
        <v>1749.35</v>
      </c>
      <c r="D1980" s="2">
        <v>1763.35</v>
      </c>
      <c r="E1980" s="2">
        <v>1769.5</v>
      </c>
      <c r="F1980" s="2">
        <v>1730.1</v>
      </c>
      <c r="G1980" s="3">
        <f t="shared" si="92"/>
        <v>-7.9675626630374419E-3</v>
      </c>
      <c r="H1980" s="2">
        <f t="shared" si="90"/>
        <v>39.400000000000091</v>
      </c>
      <c r="I1980" s="3">
        <f t="shared" si="91"/>
        <v>2.234383417926112E-2</v>
      </c>
    </row>
    <row r="1981" spans="2:9" x14ac:dyDescent="0.25">
      <c r="B1981" s="1">
        <v>38063</v>
      </c>
      <c r="C1981" s="2">
        <v>1749.85</v>
      </c>
      <c r="D1981" s="2">
        <v>1749.6</v>
      </c>
      <c r="E1981" s="2">
        <v>1765.05</v>
      </c>
      <c r="F1981" s="2">
        <v>1738.85</v>
      </c>
      <c r="G1981" s="3">
        <f t="shared" si="92"/>
        <v>2.8582044759484226E-4</v>
      </c>
      <c r="H1981" s="2">
        <f t="shared" si="90"/>
        <v>26.200000000000045</v>
      </c>
      <c r="I1981" s="3">
        <f t="shared" si="91"/>
        <v>1.4974851394604508E-2</v>
      </c>
    </row>
    <row r="1982" spans="2:9" x14ac:dyDescent="0.25">
      <c r="B1982" s="1">
        <v>38064</v>
      </c>
      <c r="C1982" s="2">
        <v>1716.65</v>
      </c>
      <c r="D1982" s="2">
        <v>1750</v>
      </c>
      <c r="E1982" s="2">
        <v>1754.95</v>
      </c>
      <c r="F1982" s="2">
        <v>1708.3</v>
      </c>
      <c r="G1982" s="3">
        <f t="shared" si="92"/>
        <v>-1.8973054833271275E-2</v>
      </c>
      <c r="H1982" s="2">
        <f t="shared" si="90"/>
        <v>46.650000000000091</v>
      </c>
      <c r="I1982" s="3">
        <f t="shared" si="91"/>
        <v>2.665714285714291E-2</v>
      </c>
    </row>
    <row r="1983" spans="2:9" x14ac:dyDescent="0.25">
      <c r="B1983" s="1">
        <v>38065</v>
      </c>
      <c r="C1983" s="2">
        <v>1725.1</v>
      </c>
      <c r="D1983" s="2">
        <v>1716.3</v>
      </c>
      <c r="E1983" s="2">
        <v>1738.6</v>
      </c>
      <c r="F1983" s="2">
        <v>1703.55</v>
      </c>
      <c r="G1983" s="3">
        <f t="shared" si="92"/>
        <v>4.9223778871638757E-3</v>
      </c>
      <c r="H1983" s="2">
        <f t="shared" si="90"/>
        <v>35.049999999999955</v>
      </c>
      <c r="I1983" s="3">
        <f t="shared" si="91"/>
        <v>2.042183767406628E-2</v>
      </c>
    </row>
    <row r="1984" spans="2:9" x14ac:dyDescent="0.25">
      <c r="B1984" s="1">
        <v>38068</v>
      </c>
      <c r="C1984" s="2">
        <v>1685</v>
      </c>
      <c r="D1984" s="2">
        <v>1726.3</v>
      </c>
      <c r="E1984" s="2">
        <v>1726.35</v>
      </c>
      <c r="F1984" s="2">
        <v>1678.4</v>
      </c>
      <c r="G1984" s="3">
        <f t="shared" si="92"/>
        <v>-2.324502927366523E-2</v>
      </c>
      <c r="H1984" s="2">
        <f t="shared" si="90"/>
        <v>47.949999999999818</v>
      </c>
      <c r="I1984" s="3">
        <f t="shared" si="91"/>
        <v>2.7776168684469572E-2</v>
      </c>
    </row>
    <row r="1985" spans="2:9" x14ac:dyDescent="0.25">
      <c r="B1985" s="1">
        <v>38069</v>
      </c>
      <c r="C1985" s="2">
        <v>1696.4</v>
      </c>
      <c r="D1985" s="2">
        <v>1685.15</v>
      </c>
      <c r="E1985" s="2">
        <v>1710.45</v>
      </c>
      <c r="F1985" s="2">
        <v>1669.7</v>
      </c>
      <c r="G1985" s="3">
        <f t="shared" si="92"/>
        <v>6.7655786350149238E-3</v>
      </c>
      <c r="H1985" s="2">
        <f t="shared" si="90"/>
        <v>40.75</v>
      </c>
      <c r="I1985" s="3">
        <f t="shared" si="91"/>
        <v>2.4181823576536213E-2</v>
      </c>
    </row>
    <row r="1986" spans="2:9" x14ac:dyDescent="0.25">
      <c r="B1986" s="1">
        <v>38070</v>
      </c>
      <c r="C1986" s="2">
        <v>1692.1</v>
      </c>
      <c r="D1986" s="2">
        <v>1697.4</v>
      </c>
      <c r="E1986" s="2">
        <v>1700.65</v>
      </c>
      <c r="F1986" s="2">
        <v>1676.4</v>
      </c>
      <c r="G1986" s="3">
        <f t="shared" si="92"/>
        <v>-2.5347795331290834E-3</v>
      </c>
      <c r="H1986" s="2">
        <f t="shared" si="90"/>
        <v>24.25</v>
      </c>
      <c r="I1986" s="3">
        <f t="shared" si="91"/>
        <v>1.428655590903735E-2</v>
      </c>
    </row>
    <row r="1987" spans="2:9" x14ac:dyDescent="0.25">
      <c r="B1987" s="1">
        <v>38071</v>
      </c>
      <c r="C1987" s="2">
        <v>1704.45</v>
      </c>
      <c r="D1987" s="2">
        <v>1691.95</v>
      </c>
      <c r="E1987" s="2">
        <v>1720.65</v>
      </c>
      <c r="F1987" s="2">
        <v>1691.95</v>
      </c>
      <c r="G1987" s="3">
        <f t="shared" si="92"/>
        <v>7.2986230128244678E-3</v>
      </c>
      <c r="H1987" s="2">
        <f t="shared" si="90"/>
        <v>28.700000000000045</v>
      </c>
      <c r="I1987" s="3">
        <f t="shared" si="91"/>
        <v>1.6962676202015452E-2</v>
      </c>
    </row>
    <row r="1988" spans="2:9" x14ac:dyDescent="0.25">
      <c r="B1988" s="1">
        <v>38072</v>
      </c>
      <c r="C1988" s="2">
        <v>1747.5</v>
      </c>
      <c r="D1988" s="2">
        <v>1704.45</v>
      </c>
      <c r="E1988" s="2">
        <v>1755.45</v>
      </c>
      <c r="F1988" s="2">
        <v>1703.8</v>
      </c>
      <c r="G1988" s="3">
        <f t="shared" si="92"/>
        <v>2.5257414415207124E-2</v>
      </c>
      <c r="H1988" s="2">
        <f t="shared" si="90"/>
        <v>51.650000000000091</v>
      </c>
      <c r="I1988" s="3">
        <f t="shared" si="91"/>
        <v>3.0303030303030356E-2</v>
      </c>
    </row>
    <row r="1989" spans="2:9" x14ac:dyDescent="0.25">
      <c r="B1989" s="1">
        <v>38075</v>
      </c>
      <c r="C1989" s="2">
        <v>1762.05</v>
      </c>
      <c r="D1989" s="2">
        <v>1747.35</v>
      </c>
      <c r="E1989" s="2">
        <v>1766.15</v>
      </c>
      <c r="F1989" s="2">
        <v>1739.5</v>
      </c>
      <c r="G1989" s="3">
        <f t="shared" si="92"/>
        <v>8.3261802575107513E-3</v>
      </c>
      <c r="H1989" s="2">
        <f t="shared" ref="H1989:H2052" si="93">E1989-F1989</f>
        <v>26.650000000000091</v>
      </c>
      <c r="I1989" s="3">
        <f t="shared" si="91"/>
        <v>1.5251666809740516E-2</v>
      </c>
    </row>
    <row r="1990" spans="2:9" x14ac:dyDescent="0.25">
      <c r="B1990" s="1">
        <v>38076</v>
      </c>
      <c r="C1990" s="2">
        <v>1750.15</v>
      </c>
      <c r="D1990" s="2">
        <v>1762.15</v>
      </c>
      <c r="E1990" s="2">
        <v>1775.4</v>
      </c>
      <c r="F1990" s="2">
        <v>1746.25</v>
      </c>
      <c r="G1990" s="3">
        <f t="shared" si="92"/>
        <v>-6.7534973468402759E-3</v>
      </c>
      <c r="H1990" s="2">
        <f t="shared" si="93"/>
        <v>29.150000000000091</v>
      </c>
      <c r="I1990" s="3">
        <f t="shared" ref="I1990:I2053" si="94">H1990/D1990</f>
        <v>1.6542292086371813E-2</v>
      </c>
    </row>
    <row r="1991" spans="2:9" x14ac:dyDescent="0.25">
      <c r="B1991" s="1">
        <v>38077</v>
      </c>
      <c r="C1991" s="2">
        <v>1771.9</v>
      </c>
      <c r="D1991" s="2">
        <v>1744.6</v>
      </c>
      <c r="E1991" s="2">
        <v>1775.3</v>
      </c>
      <c r="F1991" s="2">
        <v>1740.2</v>
      </c>
      <c r="G1991" s="3">
        <f t="shared" ref="G1991:G2054" si="95">C1991/C1990-1</f>
        <v>1.2427506213753103E-2</v>
      </c>
      <c r="H1991" s="2">
        <f t="shared" si="93"/>
        <v>35.099999999999909</v>
      </c>
      <c r="I1991" s="3">
        <f t="shared" si="94"/>
        <v>2.0119225037257774E-2</v>
      </c>
    </row>
    <row r="1992" spans="2:9" x14ac:dyDescent="0.25">
      <c r="B1992" s="1">
        <v>38078</v>
      </c>
      <c r="C1992" s="2">
        <v>1819.65</v>
      </c>
      <c r="D1992" s="2">
        <v>1771.45</v>
      </c>
      <c r="E1992" s="2">
        <v>1823.05</v>
      </c>
      <c r="F1992" s="2">
        <v>1771.45</v>
      </c>
      <c r="G1992" s="3">
        <f t="shared" si="95"/>
        <v>2.6948473390146166E-2</v>
      </c>
      <c r="H1992" s="2">
        <f t="shared" si="93"/>
        <v>51.599999999999909</v>
      </c>
      <c r="I1992" s="3">
        <f t="shared" si="94"/>
        <v>2.9128679895001217E-2</v>
      </c>
    </row>
    <row r="1993" spans="2:9" x14ac:dyDescent="0.25">
      <c r="B1993" s="1">
        <v>38079</v>
      </c>
      <c r="C1993" s="2">
        <v>1841.1</v>
      </c>
      <c r="D1993" s="2">
        <v>1856.1</v>
      </c>
      <c r="E1993" s="2">
        <v>1856.3</v>
      </c>
      <c r="F1993" s="2">
        <v>1809</v>
      </c>
      <c r="G1993" s="3">
        <f t="shared" si="95"/>
        <v>1.1787981205176656E-2</v>
      </c>
      <c r="H1993" s="2">
        <f t="shared" si="93"/>
        <v>47.299999999999955</v>
      </c>
      <c r="I1993" s="3">
        <f t="shared" si="94"/>
        <v>2.5483540757502268E-2</v>
      </c>
    </row>
    <row r="1994" spans="2:9" x14ac:dyDescent="0.25">
      <c r="B1994" s="1">
        <v>38082</v>
      </c>
      <c r="C1994" s="2">
        <v>1856.6</v>
      </c>
      <c r="D1994" s="2">
        <v>1841.1</v>
      </c>
      <c r="E1994" s="2">
        <v>1878.8</v>
      </c>
      <c r="F1994" s="2">
        <v>1840</v>
      </c>
      <c r="G1994" s="3">
        <f t="shared" si="95"/>
        <v>8.418880017381003E-3</v>
      </c>
      <c r="H1994" s="2">
        <f t="shared" si="93"/>
        <v>38.799999999999955</v>
      </c>
      <c r="I1994" s="3">
        <f t="shared" si="94"/>
        <v>2.1074357720927684E-2</v>
      </c>
    </row>
    <row r="1995" spans="2:9" x14ac:dyDescent="0.25">
      <c r="B1995" s="1">
        <v>38083</v>
      </c>
      <c r="C1995" s="2">
        <v>1851.15</v>
      </c>
      <c r="D1995" s="2">
        <v>1870.8</v>
      </c>
      <c r="E1995" s="2">
        <v>1876.15</v>
      </c>
      <c r="F1995" s="2">
        <v>1836.9</v>
      </c>
      <c r="G1995" s="3">
        <f t="shared" si="95"/>
        <v>-2.9354734460841359E-3</v>
      </c>
      <c r="H1995" s="2">
        <f t="shared" si="93"/>
        <v>39.25</v>
      </c>
      <c r="I1995" s="3">
        <f t="shared" si="94"/>
        <v>2.0980329270900148E-2</v>
      </c>
    </row>
    <row r="1996" spans="2:9" x14ac:dyDescent="0.25">
      <c r="B1996" s="1">
        <v>38084</v>
      </c>
      <c r="C1996" s="2">
        <v>1848.7</v>
      </c>
      <c r="D1996" s="2">
        <v>1856.4</v>
      </c>
      <c r="E1996" s="2">
        <v>1865.2</v>
      </c>
      <c r="F1996" s="2">
        <v>1833.95</v>
      </c>
      <c r="G1996" s="3">
        <f t="shared" si="95"/>
        <v>-1.3235016071091454E-3</v>
      </c>
      <c r="H1996" s="2">
        <f t="shared" si="93"/>
        <v>31.25</v>
      </c>
      <c r="I1996" s="3">
        <f t="shared" si="94"/>
        <v>1.6833656539538892E-2</v>
      </c>
    </row>
    <row r="1997" spans="2:9" x14ac:dyDescent="0.25">
      <c r="B1997" s="1">
        <v>38085</v>
      </c>
      <c r="C1997" s="2">
        <v>1853.55</v>
      </c>
      <c r="D1997" s="2">
        <v>1854</v>
      </c>
      <c r="E1997" s="2">
        <v>1864.95</v>
      </c>
      <c r="F1997" s="2">
        <v>1839.7</v>
      </c>
      <c r="G1997" s="3">
        <f t="shared" si="95"/>
        <v>2.6234651376642049E-3</v>
      </c>
      <c r="H1997" s="2">
        <f t="shared" si="93"/>
        <v>25.25</v>
      </c>
      <c r="I1997" s="3">
        <f t="shared" si="94"/>
        <v>1.3619201725997843E-2</v>
      </c>
    </row>
    <row r="1998" spans="2:9" x14ac:dyDescent="0.25">
      <c r="B1998" s="1">
        <v>38089</v>
      </c>
      <c r="C1998" s="2">
        <v>1838.2</v>
      </c>
      <c r="D1998" s="2">
        <v>1860.3</v>
      </c>
      <c r="E1998" s="2">
        <v>1873.75</v>
      </c>
      <c r="F1998" s="2">
        <v>1828.95</v>
      </c>
      <c r="G1998" s="3">
        <f t="shared" si="95"/>
        <v>-8.2814059507431148E-3</v>
      </c>
      <c r="H1998" s="2">
        <f t="shared" si="93"/>
        <v>44.799999999999955</v>
      </c>
      <c r="I1998" s="3">
        <f t="shared" si="94"/>
        <v>2.4082137289684436E-2</v>
      </c>
    </row>
    <row r="1999" spans="2:9" x14ac:dyDescent="0.25">
      <c r="B1999" s="1">
        <v>38090</v>
      </c>
      <c r="C1999" s="2">
        <v>1878.45</v>
      </c>
      <c r="D1999" s="2">
        <v>1838.5</v>
      </c>
      <c r="E1999" s="2">
        <v>1885.15</v>
      </c>
      <c r="F1999" s="2">
        <v>1819.8</v>
      </c>
      <c r="G1999" s="3">
        <f t="shared" si="95"/>
        <v>2.1896420411271933E-2</v>
      </c>
      <c r="H1999" s="2">
        <f t="shared" si="93"/>
        <v>65.350000000000136</v>
      </c>
      <c r="I1999" s="3">
        <f t="shared" si="94"/>
        <v>3.5545281479467034E-2</v>
      </c>
    </row>
    <row r="2000" spans="2:9" x14ac:dyDescent="0.25">
      <c r="B2000" s="1">
        <v>38092</v>
      </c>
      <c r="C2000" s="2">
        <v>1861.95</v>
      </c>
      <c r="D2000" s="2">
        <v>1878.5</v>
      </c>
      <c r="E2000" s="2">
        <v>1884.5</v>
      </c>
      <c r="F2000" s="2">
        <v>1855</v>
      </c>
      <c r="G2000" s="3">
        <f t="shared" si="95"/>
        <v>-8.7838377385610622E-3</v>
      </c>
      <c r="H2000" s="2">
        <f t="shared" si="93"/>
        <v>29.5</v>
      </c>
      <c r="I2000" s="3">
        <f t="shared" si="94"/>
        <v>1.5704019164226778E-2</v>
      </c>
    </row>
    <row r="2001" spans="2:9" x14ac:dyDescent="0.25">
      <c r="B2001" s="1">
        <v>38093</v>
      </c>
      <c r="C2001" s="2">
        <v>1868.95</v>
      </c>
      <c r="D2001" s="2">
        <v>1863.85</v>
      </c>
      <c r="E2001" s="2">
        <v>1882.55</v>
      </c>
      <c r="F2001" s="2">
        <v>1861.8</v>
      </c>
      <c r="G2001" s="3">
        <f t="shared" si="95"/>
        <v>3.7594994495018241E-3</v>
      </c>
      <c r="H2001" s="2">
        <f t="shared" si="93"/>
        <v>20.75</v>
      </c>
      <c r="I2001" s="3">
        <f t="shared" si="94"/>
        <v>1.1132870134399227E-2</v>
      </c>
    </row>
    <row r="2002" spans="2:9" x14ac:dyDescent="0.25">
      <c r="B2002" s="1">
        <v>38094</v>
      </c>
      <c r="C2002" s="2">
        <v>1868.1</v>
      </c>
      <c r="D2002" s="2">
        <v>1869.2</v>
      </c>
      <c r="E2002" s="2">
        <v>1875.95</v>
      </c>
      <c r="F2002" s="2">
        <v>1864.95</v>
      </c>
      <c r="G2002" s="3">
        <f t="shared" si="95"/>
        <v>-4.5480082399218524E-4</v>
      </c>
      <c r="H2002" s="2">
        <f t="shared" si="93"/>
        <v>11</v>
      </c>
      <c r="I2002" s="3">
        <f t="shared" si="94"/>
        <v>5.8848705328482772E-3</v>
      </c>
    </row>
    <row r="2003" spans="2:9" x14ac:dyDescent="0.25">
      <c r="B2003" s="1">
        <v>38096</v>
      </c>
      <c r="C2003" s="2">
        <v>1844.05</v>
      </c>
      <c r="D2003" s="2">
        <v>1868.2</v>
      </c>
      <c r="E2003" s="2">
        <v>1876.2</v>
      </c>
      <c r="F2003" s="2">
        <v>1837.4</v>
      </c>
      <c r="G2003" s="3">
        <f t="shared" si="95"/>
        <v>-1.2874043145441827E-2</v>
      </c>
      <c r="H2003" s="2">
        <f t="shared" si="93"/>
        <v>38.799999999999955</v>
      </c>
      <c r="I2003" s="3">
        <f t="shared" si="94"/>
        <v>2.0768654319665965E-2</v>
      </c>
    </row>
    <row r="2004" spans="2:9" x14ac:dyDescent="0.25">
      <c r="B2004" s="1">
        <v>38097</v>
      </c>
      <c r="C2004" s="2">
        <v>1844.25</v>
      </c>
      <c r="D2004" s="2">
        <v>1844.4</v>
      </c>
      <c r="E2004" s="2">
        <v>1851</v>
      </c>
      <c r="F2004" s="2">
        <v>1832</v>
      </c>
      <c r="G2004" s="3">
        <f t="shared" si="95"/>
        <v>1.0845692904215554E-4</v>
      </c>
      <c r="H2004" s="2">
        <f t="shared" si="93"/>
        <v>19</v>
      </c>
      <c r="I2004" s="3">
        <f t="shared" si="94"/>
        <v>1.0301453047061374E-2</v>
      </c>
    </row>
    <row r="2005" spans="2:9" x14ac:dyDescent="0.25">
      <c r="B2005" s="1">
        <v>38098</v>
      </c>
      <c r="C2005" s="2">
        <v>1873.35</v>
      </c>
      <c r="D2005" s="2">
        <v>1844.35</v>
      </c>
      <c r="E2005" s="2">
        <v>1876</v>
      </c>
      <c r="F2005" s="2">
        <v>1838.6</v>
      </c>
      <c r="G2005" s="3">
        <f t="shared" si="95"/>
        <v>1.5778771858478979E-2</v>
      </c>
      <c r="H2005" s="2">
        <f t="shared" si="93"/>
        <v>37.400000000000091</v>
      </c>
      <c r="I2005" s="3">
        <f t="shared" si="94"/>
        <v>2.0278146772575754E-2</v>
      </c>
    </row>
    <row r="2006" spans="2:9" x14ac:dyDescent="0.25">
      <c r="B2006" s="1">
        <v>38099</v>
      </c>
      <c r="C2006" s="2">
        <v>1889.55</v>
      </c>
      <c r="D2006" s="2">
        <v>1873.55</v>
      </c>
      <c r="E2006" s="2">
        <v>1894.6</v>
      </c>
      <c r="F2006" s="2">
        <v>1871</v>
      </c>
      <c r="G2006" s="3">
        <f t="shared" si="95"/>
        <v>8.6476098967092074E-3</v>
      </c>
      <c r="H2006" s="2">
        <f t="shared" si="93"/>
        <v>23.599999999999909</v>
      </c>
      <c r="I2006" s="3">
        <f t="shared" si="94"/>
        <v>1.2596407888767265E-2</v>
      </c>
    </row>
    <row r="2007" spans="2:9" x14ac:dyDescent="0.25">
      <c r="B2007" s="1">
        <v>38100</v>
      </c>
      <c r="C2007" s="2">
        <v>1892.45</v>
      </c>
      <c r="D2007" s="2">
        <v>1890.85</v>
      </c>
      <c r="E2007" s="2">
        <v>1912.35</v>
      </c>
      <c r="F2007" s="2">
        <v>1885.75</v>
      </c>
      <c r="G2007" s="3">
        <f t="shared" si="95"/>
        <v>1.5347569527137672E-3</v>
      </c>
      <c r="H2007" s="2">
        <f t="shared" si="93"/>
        <v>26.599999999999909</v>
      </c>
      <c r="I2007" s="3">
        <f t="shared" si="94"/>
        <v>1.4067747309411065E-2</v>
      </c>
    </row>
    <row r="2008" spans="2:9" x14ac:dyDescent="0.25">
      <c r="B2008" s="1">
        <v>38104</v>
      </c>
      <c r="C2008" s="2">
        <v>1817.25</v>
      </c>
      <c r="D2008" s="2">
        <v>1890.05</v>
      </c>
      <c r="E2008" s="2">
        <v>1893.1</v>
      </c>
      <c r="F2008" s="2">
        <v>1814</v>
      </c>
      <c r="G2008" s="3">
        <f t="shared" si="95"/>
        <v>-3.9736849058099266E-2</v>
      </c>
      <c r="H2008" s="2">
        <f t="shared" si="93"/>
        <v>79.099999999999909</v>
      </c>
      <c r="I2008" s="3">
        <f t="shared" si="94"/>
        <v>4.1850744689293888E-2</v>
      </c>
    </row>
    <row r="2009" spans="2:9" x14ac:dyDescent="0.25">
      <c r="B2009" s="1">
        <v>38105</v>
      </c>
      <c r="C2009" s="2">
        <v>1816.55</v>
      </c>
      <c r="D2009" s="2">
        <v>1819</v>
      </c>
      <c r="E2009" s="2">
        <v>1833.95</v>
      </c>
      <c r="F2009" s="2">
        <v>1801.8</v>
      </c>
      <c r="G2009" s="3">
        <f t="shared" si="95"/>
        <v>-3.8519741367448734E-4</v>
      </c>
      <c r="H2009" s="2">
        <f t="shared" si="93"/>
        <v>32.150000000000091</v>
      </c>
      <c r="I2009" s="3">
        <f t="shared" si="94"/>
        <v>1.7674546454095708E-2</v>
      </c>
    </row>
    <row r="2010" spans="2:9" x14ac:dyDescent="0.25">
      <c r="B2010" s="1">
        <v>38106</v>
      </c>
      <c r="C2010" s="2">
        <v>1808.95</v>
      </c>
      <c r="D2010" s="2">
        <v>1816.7</v>
      </c>
      <c r="E2010" s="2">
        <v>1818.9</v>
      </c>
      <c r="F2010" s="2">
        <v>1793.1</v>
      </c>
      <c r="G2010" s="3">
        <f t="shared" si="95"/>
        <v>-4.1837549200406388E-3</v>
      </c>
      <c r="H2010" s="2">
        <f t="shared" si="93"/>
        <v>25.800000000000182</v>
      </c>
      <c r="I2010" s="3">
        <f t="shared" si="94"/>
        <v>1.4201574283040778E-2</v>
      </c>
    </row>
    <row r="2011" spans="2:9" x14ac:dyDescent="0.25">
      <c r="B2011" s="1">
        <v>38107</v>
      </c>
      <c r="C2011" s="2">
        <v>1796.1</v>
      </c>
      <c r="D2011" s="2">
        <v>1820.55</v>
      </c>
      <c r="E2011" s="2">
        <v>1841.45</v>
      </c>
      <c r="F2011" s="2">
        <v>1788.3</v>
      </c>
      <c r="G2011" s="3">
        <f t="shared" si="95"/>
        <v>-7.1035683683905448E-3</v>
      </c>
      <c r="H2011" s="2">
        <f t="shared" si="93"/>
        <v>53.150000000000091</v>
      </c>
      <c r="I2011" s="3">
        <f t="shared" si="94"/>
        <v>2.9194474197357993E-2</v>
      </c>
    </row>
    <row r="2012" spans="2:9" x14ac:dyDescent="0.25">
      <c r="B2012" s="1">
        <v>38110</v>
      </c>
      <c r="C2012" s="2">
        <v>1766.7</v>
      </c>
      <c r="D2012" s="2">
        <v>1796.1</v>
      </c>
      <c r="E2012" s="2">
        <v>1801.45</v>
      </c>
      <c r="F2012" s="2">
        <v>1742.8</v>
      </c>
      <c r="G2012" s="3">
        <f t="shared" si="95"/>
        <v>-1.6368799064639949E-2</v>
      </c>
      <c r="H2012" s="2">
        <f t="shared" si="93"/>
        <v>58.650000000000091</v>
      </c>
      <c r="I2012" s="3">
        <f t="shared" si="94"/>
        <v>3.2654083848338115E-2</v>
      </c>
    </row>
    <row r="2013" spans="2:9" x14ac:dyDescent="0.25">
      <c r="B2013" s="1">
        <v>38111</v>
      </c>
      <c r="C2013" s="2">
        <v>1793.1</v>
      </c>
      <c r="D2013" s="2">
        <v>1769.1</v>
      </c>
      <c r="E2013" s="2">
        <v>1803.15</v>
      </c>
      <c r="F2013" s="2">
        <v>1768.8</v>
      </c>
      <c r="G2013" s="3">
        <f t="shared" si="95"/>
        <v>1.494311428086248E-2</v>
      </c>
      <c r="H2013" s="2">
        <f t="shared" si="93"/>
        <v>34.350000000000136</v>
      </c>
      <c r="I2013" s="3">
        <f t="shared" si="94"/>
        <v>1.941665253518746E-2</v>
      </c>
    </row>
    <row r="2014" spans="2:9" x14ac:dyDescent="0.25">
      <c r="B2014" s="1">
        <v>38112</v>
      </c>
      <c r="C2014" s="2">
        <v>1809.9</v>
      </c>
      <c r="D2014" s="2">
        <v>1789.45</v>
      </c>
      <c r="E2014" s="2">
        <v>1814.35</v>
      </c>
      <c r="F2014" s="2">
        <v>1788.1</v>
      </c>
      <c r="G2014" s="3">
        <f t="shared" si="95"/>
        <v>9.3692487870169483E-3</v>
      </c>
      <c r="H2014" s="2">
        <f t="shared" si="93"/>
        <v>26.25</v>
      </c>
      <c r="I2014" s="3">
        <f t="shared" si="94"/>
        <v>1.4669311799714996E-2</v>
      </c>
    </row>
    <row r="2015" spans="2:9" x14ac:dyDescent="0.25">
      <c r="B2015" s="1">
        <v>38113</v>
      </c>
      <c r="C2015" s="2">
        <v>1832.8</v>
      </c>
      <c r="D2015" s="2">
        <v>1810.3</v>
      </c>
      <c r="E2015" s="2">
        <v>1837.95</v>
      </c>
      <c r="F2015" s="2">
        <v>1810.3</v>
      </c>
      <c r="G2015" s="3">
        <f t="shared" si="95"/>
        <v>1.2652632742140346E-2</v>
      </c>
      <c r="H2015" s="2">
        <f t="shared" si="93"/>
        <v>27.650000000000091</v>
      </c>
      <c r="I2015" s="3">
        <f t="shared" si="94"/>
        <v>1.5273711539523886E-2</v>
      </c>
    </row>
    <row r="2016" spans="2:9" x14ac:dyDescent="0.25">
      <c r="B2016" s="1">
        <v>38114</v>
      </c>
      <c r="C2016" s="2">
        <v>1804.45</v>
      </c>
      <c r="D2016" s="2">
        <v>1832.85</v>
      </c>
      <c r="E2016" s="2">
        <v>1833.15</v>
      </c>
      <c r="F2016" s="2">
        <v>1796.95</v>
      </c>
      <c r="G2016" s="3">
        <f t="shared" si="95"/>
        <v>-1.5468136185071923E-2</v>
      </c>
      <c r="H2016" s="2">
        <f t="shared" si="93"/>
        <v>36.200000000000045</v>
      </c>
      <c r="I2016" s="3">
        <f t="shared" si="94"/>
        <v>1.9750661538041874E-2</v>
      </c>
    </row>
    <row r="2017" spans="2:9" x14ac:dyDescent="0.25">
      <c r="B2017" s="1">
        <v>38117</v>
      </c>
      <c r="C2017" s="2">
        <v>1769.1</v>
      </c>
      <c r="D2017" s="2">
        <v>1804.4</v>
      </c>
      <c r="E2017" s="2">
        <v>1804.4</v>
      </c>
      <c r="F2017" s="2">
        <v>1753.8</v>
      </c>
      <c r="G2017" s="3">
        <f t="shared" si="95"/>
        <v>-1.9590456925933197E-2</v>
      </c>
      <c r="H2017" s="2">
        <f t="shared" si="93"/>
        <v>50.600000000000136</v>
      </c>
      <c r="I2017" s="3">
        <f t="shared" si="94"/>
        <v>2.8042562624695264E-2</v>
      </c>
    </row>
    <row r="2018" spans="2:9" x14ac:dyDescent="0.25">
      <c r="B2018" s="1">
        <v>38118</v>
      </c>
      <c r="C2018" s="2">
        <v>1699.45</v>
      </c>
      <c r="D2018" s="2">
        <v>1768.7</v>
      </c>
      <c r="E2018" s="2">
        <v>1768.7</v>
      </c>
      <c r="F2018" s="2">
        <v>1692.9</v>
      </c>
      <c r="G2018" s="3">
        <f t="shared" si="95"/>
        <v>-3.9370301283138232E-2</v>
      </c>
      <c r="H2018" s="2">
        <f t="shared" si="93"/>
        <v>75.799999999999955</v>
      </c>
      <c r="I2018" s="3">
        <f t="shared" si="94"/>
        <v>4.2856335161417965E-2</v>
      </c>
    </row>
    <row r="2019" spans="2:9" x14ac:dyDescent="0.25">
      <c r="B2019" s="1">
        <v>38119</v>
      </c>
      <c r="C2019" s="2">
        <v>1711.1</v>
      </c>
      <c r="D2019" s="2">
        <v>1699.25</v>
      </c>
      <c r="E2019" s="2">
        <v>1721.35</v>
      </c>
      <c r="F2019" s="2">
        <v>1689.85</v>
      </c>
      <c r="G2019" s="3">
        <f t="shared" si="95"/>
        <v>6.8551590220364833E-3</v>
      </c>
      <c r="H2019" s="2">
        <f t="shared" si="93"/>
        <v>31.5</v>
      </c>
      <c r="I2019" s="3">
        <f t="shared" si="94"/>
        <v>1.8537590113285273E-2</v>
      </c>
    </row>
    <row r="2020" spans="2:9" x14ac:dyDescent="0.25">
      <c r="B2020" s="1">
        <v>38120</v>
      </c>
      <c r="C2020" s="2">
        <v>1717.5</v>
      </c>
      <c r="D2020" s="2">
        <v>1707.95</v>
      </c>
      <c r="E2020" s="2">
        <v>1750.3</v>
      </c>
      <c r="F2020" s="2">
        <v>1625.1</v>
      </c>
      <c r="G2020" s="3">
        <f t="shared" si="95"/>
        <v>3.7402840278184524E-3</v>
      </c>
      <c r="H2020" s="2">
        <f t="shared" si="93"/>
        <v>125.20000000000005</v>
      </c>
      <c r="I2020" s="3">
        <f t="shared" si="94"/>
        <v>7.330425363740159E-2</v>
      </c>
    </row>
    <row r="2021" spans="2:9" x14ac:dyDescent="0.25">
      <c r="B2021" s="1">
        <v>38121</v>
      </c>
      <c r="C2021" s="2">
        <v>1582.4</v>
      </c>
      <c r="D2021" s="2">
        <v>1717.05</v>
      </c>
      <c r="E2021" s="2">
        <v>1722.8</v>
      </c>
      <c r="F2021" s="2">
        <v>1566.95</v>
      </c>
      <c r="G2021" s="3">
        <f t="shared" si="95"/>
        <v>-7.8660844250363793E-2</v>
      </c>
      <c r="H2021" s="2">
        <f t="shared" si="93"/>
        <v>155.84999999999991</v>
      </c>
      <c r="I2021" s="3">
        <f t="shared" si="94"/>
        <v>9.0766139599895115E-2</v>
      </c>
    </row>
    <row r="2022" spans="2:9" x14ac:dyDescent="0.25">
      <c r="B2022" s="1">
        <v>38124</v>
      </c>
      <c r="C2022" s="2">
        <v>1388.75</v>
      </c>
      <c r="D2022" s="2">
        <v>1582.5</v>
      </c>
      <c r="E2022" s="2">
        <v>1583.8</v>
      </c>
      <c r="F2022" s="2">
        <v>1292.2</v>
      </c>
      <c r="G2022" s="3">
        <f t="shared" si="95"/>
        <v>-0.1223774014155713</v>
      </c>
      <c r="H2022" s="2">
        <f t="shared" si="93"/>
        <v>291.59999999999991</v>
      </c>
      <c r="I2022" s="3">
        <f t="shared" si="94"/>
        <v>0.18426540284360185</v>
      </c>
    </row>
    <row r="2023" spans="2:9" x14ac:dyDescent="0.25">
      <c r="B2023" s="1">
        <v>38125</v>
      </c>
      <c r="C2023" s="2">
        <v>1503.95</v>
      </c>
      <c r="D2023" s="2">
        <v>1392.95</v>
      </c>
      <c r="E2023" s="2">
        <v>1517.6</v>
      </c>
      <c r="F2023" s="2">
        <v>1389.65</v>
      </c>
      <c r="G2023" s="3">
        <f t="shared" si="95"/>
        <v>8.2952295229522965E-2</v>
      </c>
      <c r="H2023" s="2">
        <f t="shared" si="93"/>
        <v>127.94999999999982</v>
      </c>
      <c r="I2023" s="3">
        <f t="shared" si="94"/>
        <v>9.185541476722052E-2</v>
      </c>
    </row>
    <row r="2024" spans="2:9" x14ac:dyDescent="0.25">
      <c r="B2024" s="1">
        <v>38126</v>
      </c>
      <c r="C2024" s="2">
        <v>1567.85</v>
      </c>
      <c r="D2024" s="2">
        <v>1508.05</v>
      </c>
      <c r="E2024" s="2">
        <v>1576.05</v>
      </c>
      <c r="F2024" s="2">
        <v>1508.05</v>
      </c>
      <c r="G2024" s="3">
        <f t="shared" si="95"/>
        <v>4.2488114631470397E-2</v>
      </c>
      <c r="H2024" s="2">
        <f t="shared" si="93"/>
        <v>68</v>
      </c>
      <c r="I2024" s="3">
        <f t="shared" si="94"/>
        <v>4.5091343125227945E-2</v>
      </c>
    </row>
    <row r="2025" spans="2:9" x14ac:dyDescent="0.25">
      <c r="B2025" s="1">
        <v>38127</v>
      </c>
      <c r="C2025" s="2">
        <v>1543.85</v>
      </c>
      <c r="D2025" s="2">
        <v>1566.5</v>
      </c>
      <c r="E2025" s="2">
        <v>1591.05</v>
      </c>
      <c r="F2025" s="2">
        <v>1531.3</v>
      </c>
      <c r="G2025" s="3">
        <f t="shared" si="95"/>
        <v>-1.5307586822719044E-2</v>
      </c>
      <c r="H2025" s="2">
        <f t="shared" si="93"/>
        <v>59.75</v>
      </c>
      <c r="I2025" s="3">
        <f t="shared" si="94"/>
        <v>3.8142355569741465E-2</v>
      </c>
    </row>
    <row r="2026" spans="2:9" x14ac:dyDescent="0.25">
      <c r="B2026" s="1">
        <v>38128</v>
      </c>
      <c r="C2026" s="2">
        <v>1560.2</v>
      </c>
      <c r="D2026" s="2">
        <v>1545.05</v>
      </c>
      <c r="E2026" s="2">
        <v>1566.15</v>
      </c>
      <c r="F2026" s="2">
        <v>1498.1</v>
      </c>
      <c r="G2026" s="3">
        <f t="shared" si="95"/>
        <v>1.059040709913539E-2</v>
      </c>
      <c r="H2026" s="2">
        <f t="shared" si="93"/>
        <v>68.050000000000182</v>
      </c>
      <c r="I2026" s="3">
        <f t="shared" si="94"/>
        <v>4.404388207501387E-2</v>
      </c>
    </row>
    <row r="2027" spans="2:9" x14ac:dyDescent="0.25">
      <c r="B2027" s="1">
        <v>38131</v>
      </c>
      <c r="C2027" s="2">
        <v>1608.85</v>
      </c>
      <c r="D2027" s="2">
        <v>1563.65</v>
      </c>
      <c r="E2027" s="2">
        <v>1613.6</v>
      </c>
      <c r="F2027" s="2">
        <v>1563.05</v>
      </c>
      <c r="G2027" s="3">
        <f t="shared" si="95"/>
        <v>3.1181899756441478E-2</v>
      </c>
      <c r="H2027" s="2">
        <f t="shared" si="93"/>
        <v>50.549999999999955</v>
      </c>
      <c r="I2027" s="3">
        <f t="shared" si="94"/>
        <v>3.2328206440060084E-2</v>
      </c>
    </row>
    <row r="2028" spans="2:9" x14ac:dyDescent="0.25">
      <c r="B2028" s="1">
        <v>38132</v>
      </c>
      <c r="C2028" s="2">
        <v>1606.7</v>
      </c>
      <c r="D2028" s="2">
        <v>1608.9</v>
      </c>
      <c r="E2028" s="2">
        <v>1621.45</v>
      </c>
      <c r="F2028" s="2">
        <v>1566.4</v>
      </c>
      <c r="G2028" s="3">
        <f t="shared" si="95"/>
        <v>-1.3363582683282305E-3</v>
      </c>
      <c r="H2028" s="2">
        <f t="shared" si="93"/>
        <v>55.049999999999955</v>
      </c>
      <c r="I2028" s="3">
        <f t="shared" si="94"/>
        <v>3.4215923923177294E-2</v>
      </c>
    </row>
    <row r="2029" spans="2:9" x14ac:dyDescent="0.25">
      <c r="B2029" s="1">
        <v>38133</v>
      </c>
      <c r="C2029" s="2">
        <v>1598.8</v>
      </c>
      <c r="D2029" s="2">
        <v>1608.15</v>
      </c>
      <c r="E2029" s="2">
        <v>1625.7</v>
      </c>
      <c r="F2029" s="2">
        <v>1587</v>
      </c>
      <c r="G2029" s="3">
        <f t="shared" si="95"/>
        <v>-4.9169104375428319E-3</v>
      </c>
      <c r="H2029" s="2">
        <f t="shared" si="93"/>
        <v>38.700000000000045</v>
      </c>
      <c r="I2029" s="3">
        <f t="shared" si="94"/>
        <v>2.4064919317227897E-2</v>
      </c>
    </row>
    <row r="2030" spans="2:9" x14ac:dyDescent="0.25">
      <c r="B2030" s="1">
        <v>38134</v>
      </c>
      <c r="C2030" s="2">
        <v>1586.4</v>
      </c>
      <c r="D2030" s="2">
        <v>1590.15</v>
      </c>
      <c r="E2030" s="2">
        <v>1606</v>
      </c>
      <c r="F2030" s="2">
        <v>1576.05</v>
      </c>
      <c r="G2030" s="3">
        <f t="shared" si="95"/>
        <v>-7.7558168626469248E-3</v>
      </c>
      <c r="H2030" s="2">
        <f t="shared" si="93"/>
        <v>29.950000000000045</v>
      </c>
      <c r="I2030" s="3">
        <f t="shared" si="94"/>
        <v>1.8834701128824353E-2</v>
      </c>
    </row>
    <row r="2031" spans="2:9" x14ac:dyDescent="0.25">
      <c r="B2031" s="1">
        <v>38135</v>
      </c>
      <c r="C2031" s="2">
        <v>1508.75</v>
      </c>
      <c r="D2031" s="2">
        <v>1586.35</v>
      </c>
      <c r="E2031" s="2">
        <v>1587.1</v>
      </c>
      <c r="F2031" s="2">
        <v>1504</v>
      </c>
      <c r="G2031" s="3">
        <f t="shared" si="95"/>
        <v>-4.8947302067574472E-2</v>
      </c>
      <c r="H2031" s="2">
        <f t="shared" si="93"/>
        <v>83.099999999999909</v>
      </c>
      <c r="I2031" s="3">
        <f t="shared" si="94"/>
        <v>5.2384404450467999E-2</v>
      </c>
    </row>
    <row r="2032" spans="2:9" x14ac:dyDescent="0.25">
      <c r="B2032" s="1">
        <v>38138</v>
      </c>
      <c r="C2032" s="2">
        <v>1483.6</v>
      </c>
      <c r="D2032" s="2">
        <v>1507.05</v>
      </c>
      <c r="E2032" s="2">
        <v>1509.05</v>
      </c>
      <c r="F2032" s="2">
        <v>1456.2</v>
      </c>
      <c r="G2032" s="3">
        <f t="shared" si="95"/>
        <v>-1.6669428334714187E-2</v>
      </c>
      <c r="H2032" s="2">
        <f t="shared" si="93"/>
        <v>52.849999999999909</v>
      </c>
      <c r="I2032" s="3">
        <f t="shared" si="94"/>
        <v>3.5068511330081889E-2</v>
      </c>
    </row>
    <row r="2033" spans="2:9" x14ac:dyDescent="0.25">
      <c r="B2033" s="1">
        <v>38139</v>
      </c>
      <c r="C2033" s="2">
        <v>1507.9</v>
      </c>
      <c r="D2033" s="2">
        <v>1483.9</v>
      </c>
      <c r="E2033" s="2">
        <v>1529.6</v>
      </c>
      <c r="F2033" s="2">
        <v>1483.9</v>
      </c>
      <c r="G2033" s="3">
        <f t="shared" si="95"/>
        <v>1.6379077918576623E-2</v>
      </c>
      <c r="H2033" s="2">
        <f t="shared" si="93"/>
        <v>45.699999999999818</v>
      </c>
      <c r="I2033" s="3">
        <f t="shared" si="94"/>
        <v>3.0797223532582935E-2</v>
      </c>
    </row>
    <row r="2034" spans="2:9" x14ac:dyDescent="0.25">
      <c r="B2034" s="1">
        <v>38140</v>
      </c>
      <c r="C2034" s="2">
        <v>1535.2</v>
      </c>
      <c r="D2034" s="2">
        <v>1508</v>
      </c>
      <c r="E2034" s="2">
        <v>1543.3</v>
      </c>
      <c r="F2034" s="2">
        <v>1508</v>
      </c>
      <c r="G2034" s="3">
        <f t="shared" si="95"/>
        <v>1.8104648849393223E-2</v>
      </c>
      <c r="H2034" s="2">
        <f t="shared" si="93"/>
        <v>35.299999999999955</v>
      </c>
      <c r="I2034" s="3">
        <f t="shared" si="94"/>
        <v>2.3408488063660447E-2</v>
      </c>
    </row>
    <row r="2035" spans="2:9" x14ac:dyDescent="0.25">
      <c r="B2035" s="1">
        <v>38141</v>
      </c>
      <c r="C2035" s="2">
        <v>1495.1</v>
      </c>
      <c r="D2035" s="2">
        <v>1535.8</v>
      </c>
      <c r="E2035" s="2">
        <v>1566.5</v>
      </c>
      <c r="F2035" s="2">
        <v>1484.5</v>
      </c>
      <c r="G2035" s="3">
        <f t="shared" si="95"/>
        <v>-2.6120375195414325E-2</v>
      </c>
      <c r="H2035" s="2">
        <f t="shared" si="93"/>
        <v>82</v>
      </c>
      <c r="I2035" s="3">
        <f t="shared" si="94"/>
        <v>5.3392368798020576E-2</v>
      </c>
    </row>
    <row r="2036" spans="2:9" x14ac:dyDescent="0.25">
      <c r="B2036" s="1">
        <v>38142</v>
      </c>
      <c r="C2036" s="2">
        <v>1521.1</v>
      </c>
      <c r="D2036" s="2">
        <v>1494.85</v>
      </c>
      <c r="E2036" s="2">
        <v>1527</v>
      </c>
      <c r="F2036" s="2">
        <v>1480.8</v>
      </c>
      <c r="G2036" s="3">
        <f t="shared" si="95"/>
        <v>1.7390141127683778E-2</v>
      </c>
      <c r="H2036" s="2">
        <f t="shared" si="93"/>
        <v>46.200000000000045</v>
      </c>
      <c r="I2036" s="3">
        <f t="shared" si="94"/>
        <v>3.0906110981034917E-2</v>
      </c>
    </row>
    <row r="2037" spans="2:9" x14ac:dyDescent="0.25">
      <c r="B2037" s="1">
        <v>38145</v>
      </c>
      <c r="C2037" s="2">
        <v>1542.55</v>
      </c>
      <c r="D2037" s="2">
        <v>1521.6</v>
      </c>
      <c r="E2037" s="2">
        <v>1557.5</v>
      </c>
      <c r="F2037" s="2">
        <v>1521.6</v>
      </c>
      <c r="G2037" s="3">
        <f t="shared" si="95"/>
        <v>1.4101636973243181E-2</v>
      </c>
      <c r="H2037" s="2">
        <f t="shared" si="93"/>
        <v>35.900000000000091</v>
      </c>
      <c r="I2037" s="3">
        <f t="shared" si="94"/>
        <v>2.3593585699263994E-2</v>
      </c>
    </row>
    <row r="2038" spans="2:9" x14ac:dyDescent="0.25">
      <c r="B2038" s="1">
        <v>38146</v>
      </c>
      <c r="C2038" s="2">
        <v>1550.55</v>
      </c>
      <c r="D2038" s="2">
        <v>1542.6</v>
      </c>
      <c r="E2038" s="2">
        <v>1557</v>
      </c>
      <c r="F2038" s="2">
        <v>1526.45</v>
      </c>
      <c r="G2038" s="3">
        <f t="shared" si="95"/>
        <v>5.1862176266570525E-3</v>
      </c>
      <c r="H2038" s="2">
        <f t="shared" si="93"/>
        <v>30.549999999999955</v>
      </c>
      <c r="I2038" s="3">
        <f t="shared" si="94"/>
        <v>1.9804226630364293E-2</v>
      </c>
    </row>
    <row r="2039" spans="2:9" x14ac:dyDescent="0.25">
      <c r="B2039" s="1">
        <v>38147</v>
      </c>
      <c r="C2039" s="2">
        <v>1548.3</v>
      </c>
      <c r="D2039" s="2">
        <v>1550.45</v>
      </c>
      <c r="E2039" s="2">
        <v>1561.6</v>
      </c>
      <c r="F2039" s="2">
        <v>1541.6</v>
      </c>
      <c r="G2039" s="3">
        <f t="shared" si="95"/>
        <v>-1.4510979974847737E-3</v>
      </c>
      <c r="H2039" s="2">
        <f t="shared" si="93"/>
        <v>20</v>
      </c>
      <c r="I2039" s="3">
        <f t="shared" si="94"/>
        <v>1.2899480795897965E-2</v>
      </c>
    </row>
    <row r="2040" spans="2:9" x14ac:dyDescent="0.25">
      <c r="B2040" s="1">
        <v>38148</v>
      </c>
      <c r="C2040" s="2">
        <v>1544.75</v>
      </c>
      <c r="D2040" s="2">
        <v>1547.7</v>
      </c>
      <c r="E2040" s="2">
        <v>1552.75</v>
      </c>
      <c r="F2040" s="2">
        <v>1535</v>
      </c>
      <c r="G2040" s="3">
        <f t="shared" si="95"/>
        <v>-2.2928373054317275E-3</v>
      </c>
      <c r="H2040" s="2">
        <f t="shared" si="93"/>
        <v>17.75</v>
      </c>
      <c r="I2040" s="3">
        <f t="shared" si="94"/>
        <v>1.1468630871615947E-2</v>
      </c>
    </row>
    <row r="2041" spans="2:9" x14ac:dyDescent="0.25">
      <c r="B2041" s="1">
        <v>38149</v>
      </c>
      <c r="C2041" s="2">
        <v>1508.45</v>
      </c>
      <c r="D2041" s="2">
        <v>1544.95</v>
      </c>
      <c r="E2041" s="2">
        <v>1547.4</v>
      </c>
      <c r="F2041" s="2">
        <v>1504.8</v>
      </c>
      <c r="G2041" s="3">
        <f t="shared" si="95"/>
        <v>-2.3498948049846202E-2</v>
      </c>
      <c r="H2041" s="2">
        <f t="shared" si="93"/>
        <v>42.600000000000136</v>
      </c>
      <c r="I2041" s="3">
        <f t="shared" si="94"/>
        <v>2.7573707886986723E-2</v>
      </c>
    </row>
    <row r="2042" spans="2:9" x14ac:dyDescent="0.25">
      <c r="B2042" s="1">
        <v>38152</v>
      </c>
      <c r="C2042" s="2">
        <v>1481.35</v>
      </c>
      <c r="D2042" s="2">
        <v>1508.15</v>
      </c>
      <c r="E2042" s="2">
        <v>1509.6</v>
      </c>
      <c r="F2042" s="2">
        <v>1474.65</v>
      </c>
      <c r="G2042" s="3">
        <f t="shared" si="95"/>
        <v>-1.7965461235042723E-2</v>
      </c>
      <c r="H2042" s="2">
        <f t="shared" si="93"/>
        <v>34.949999999999818</v>
      </c>
      <c r="I2042" s="3">
        <f t="shared" si="94"/>
        <v>2.3174087458143963E-2</v>
      </c>
    </row>
    <row r="2043" spans="2:9" x14ac:dyDescent="0.25">
      <c r="B2043" s="1">
        <v>38153</v>
      </c>
      <c r="C2043" s="2">
        <v>1501</v>
      </c>
      <c r="D2043" s="2">
        <v>1481.45</v>
      </c>
      <c r="E2043" s="2">
        <v>1507.85</v>
      </c>
      <c r="F2043" s="2">
        <v>1481</v>
      </c>
      <c r="G2043" s="3">
        <f t="shared" si="95"/>
        <v>1.3264927262294668E-2</v>
      </c>
      <c r="H2043" s="2">
        <f t="shared" si="93"/>
        <v>26.849999999999909</v>
      </c>
      <c r="I2043" s="3">
        <f t="shared" si="94"/>
        <v>1.8124135137871616E-2</v>
      </c>
    </row>
    <row r="2044" spans="2:9" x14ac:dyDescent="0.25">
      <c r="B2044" s="1">
        <v>38154</v>
      </c>
      <c r="C2044" s="2">
        <v>1494.75</v>
      </c>
      <c r="D2044" s="2">
        <v>1500.95</v>
      </c>
      <c r="E2044" s="2">
        <v>1525.2</v>
      </c>
      <c r="F2044" s="2">
        <v>1490.45</v>
      </c>
      <c r="G2044" s="3">
        <f t="shared" si="95"/>
        <v>-4.1638907395069591E-3</v>
      </c>
      <c r="H2044" s="2">
        <f t="shared" si="93"/>
        <v>34.75</v>
      </c>
      <c r="I2044" s="3">
        <f t="shared" si="94"/>
        <v>2.3152003730970386E-2</v>
      </c>
    </row>
    <row r="2045" spans="2:9" x14ac:dyDescent="0.25">
      <c r="B2045" s="1">
        <v>38155</v>
      </c>
      <c r="C2045" s="2">
        <v>1512.05</v>
      </c>
      <c r="D2045" s="2">
        <v>1494.7</v>
      </c>
      <c r="E2045" s="2">
        <v>1519.2</v>
      </c>
      <c r="F2045" s="2">
        <v>1482.2</v>
      </c>
      <c r="G2045" s="3">
        <f t="shared" si="95"/>
        <v>1.1573841779561667E-2</v>
      </c>
      <c r="H2045" s="2">
        <f t="shared" si="93"/>
        <v>37</v>
      </c>
      <c r="I2045" s="3">
        <f t="shared" si="94"/>
        <v>2.4754131263798756E-2</v>
      </c>
    </row>
    <row r="2046" spans="2:9" x14ac:dyDescent="0.25">
      <c r="B2046" s="1">
        <v>38156</v>
      </c>
      <c r="C2046" s="2">
        <v>1491.2</v>
      </c>
      <c r="D2046" s="2">
        <v>1511.95</v>
      </c>
      <c r="E2046" s="2">
        <v>1515.05</v>
      </c>
      <c r="F2046" s="2">
        <v>1485.05</v>
      </c>
      <c r="G2046" s="3">
        <f t="shared" si="95"/>
        <v>-1.3789226546741085E-2</v>
      </c>
      <c r="H2046" s="2">
        <f t="shared" si="93"/>
        <v>30</v>
      </c>
      <c r="I2046" s="3">
        <f t="shared" si="94"/>
        <v>1.9841925989616059E-2</v>
      </c>
    </row>
    <row r="2047" spans="2:9" x14ac:dyDescent="0.25">
      <c r="B2047" s="1">
        <v>38159</v>
      </c>
      <c r="C2047" s="2">
        <v>1482</v>
      </c>
      <c r="D2047" s="2">
        <v>1490.75</v>
      </c>
      <c r="E2047" s="2">
        <v>1499.8</v>
      </c>
      <c r="F2047" s="2">
        <v>1478.85</v>
      </c>
      <c r="G2047" s="3">
        <f t="shared" si="95"/>
        <v>-6.1695278969957634E-3</v>
      </c>
      <c r="H2047" s="2">
        <f t="shared" si="93"/>
        <v>20.950000000000045</v>
      </c>
      <c r="I2047" s="3">
        <f t="shared" si="94"/>
        <v>1.4053328861311451E-2</v>
      </c>
    </row>
    <row r="2048" spans="2:9" x14ac:dyDescent="0.25">
      <c r="B2048" s="1">
        <v>38160</v>
      </c>
      <c r="C2048" s="2">
        <v>1474.7</v>
      </c>
      <c r="D2048" s="2">
        <v>1482.85</v>
      </c>
      <c r="E2048" s="2">
        <v>1489.6</v>
      </c>
      <c r="F2048" s="2">
        <v>1467.65</v>
      </c>
      <c r="G2048" s="3">
        <f t="shared" si="95"/>
        <v>-4.9257759784074873E-3</v>
      </c>
      <c r="H2048" s="2">
        <f t="shared" si="93"/>
        <v>21.949999999999818</v>
      </c>
      <c r="I2048" s="3">
        <f t="shared" si="94"/>
        <v>1.4802576120308743E-2</v>
      </c>
    </row>
    <row r="2049" spans="2:9" x14ac:dyDescent="0.25">
      <c r="B2049" s="1">
        <v>38161</v>
      </c>
      <c r="C2049" s="2">
        <v>1446.1</v>
      </c>
      <c r="D2049" s="2">
        <v>1474.8</v>
      </c>
      <c r="E2049" s="2">
        <v>1481.45</v>
      </c>
      <c r="F2049" s="2">
        <v>1442.55</v>
      </c>
      <c r="G2049" s="3">
        <f t="shared" si="95"/>
        <v>-1.9393775005085878E-2</v>
      </c>
      <c r="H2049" s="2">
        <f t="shared" si="93"/>
        <v>38.900000000000091</v>
      </c>
      <c r="I2049" s="3">
        <f t="shared" si="94"/>
        <v>2.6376457824789864E-2</v>
      </c>
    </row>
    <row r="2050" spans="2:9" x14ac:dyDescent="0.25">
      <c r="B2050" s="1">
        <v>38162</v>
      </c>
      <c r="C2050" s="2">
        <v>1470.75</v>
      </c>
      <c r="D2050" s="2">
        <v>1445.35</v>
      </c>
      <c r="E2050" s="2">
        <v>1474.3</v>
      </c>
      <c r="F2050" s="2">
        <v>1437.9</v>
      </c>
      <c r="G2050" s="3">
        <f t="shared" si="95"/>
        <v>1.704584745176696E-2</v>
      </c>
      <c r="H2050" s="2">
        <f t="shared" si="93"/>
        <v>36.399999999999864</v>
      </c>
      <c r="I2050" s="3">
        <f t="shared" si="94"/>
        <v>2.5184211436676145E-2</v>
      </c>
    </row>
    <row r="2051" spans="2:9" x14ac:dyDescent="0.25">
      <c r="B2051" s="1">
        <v>38163</v>
      </c>
      <c r="C2051" s="2">
        <v>1488.5</v>
      </c>
      <c r="D2051" s="2">
        <v>1471.5</v>
      </c>
      <c r="E2051" s="2">
        <v>1494</v>
      </c>
      <c r="F2051" s="2">
        <v>1459.55</v>
      </c>
      <c r="G2051" s="3">
        <f t="shared" si="95"/>
        <v>1.2068672446030826E-2</v>
      </c>
      <c r="H2051" s="2">
        <f t="shared" si="93"/>
        <v>34.450000000000045</v>
      </c>
      <c r="I2051" s="3">
        <f t="shared" si="94"/>
        <v>2.3411484879374819E-2</v>
      </c>
    </row>
    <row r="2052" spans="2:9" x14ac:dyDescent="0.25">
      <c r="B2052" s="1">
        <v>38166</v>
      </c>
      <c r="C2052" s="2">
        <v>1514.35</v>
      </c>
      <c r="D2052" s="2">
        <v>1488.6</v>
      </c>
      <c r="E2052" s="2">
        <v>1516.95</v>
      </c>
      <c r="F2052" s="2">
        <v>1488.6</v>
      </c>
      <c r="G2052" s="3">
        <f t="shared" si="95"/>
        <v>1.7366476318441348E-2</v>
      </c>
      <c r="H2052" s="2">
        <f t="shared" si="93"/>
        <v>28.350000000000136</v>
      </c>
      <c r="I2052" s="3">
        <f t="shared" si="94"/>
        <v>1.9044740024183889E-2</v>
      </c>
    </row>
    <row r="2053" spans="2:9" x14ac:dyDescent="0.25">
      <c r="B2053" s="1">
        <v>38167</v>
      </c>
      <c r="C2053" s="2">
        <v>1518.3</v>
      </c>
      <c r="D2053" s="2">
        <v>1514.35</v>
      </c>
      <c r="E2053" s="2">
        <v>1528.5</v>
      </c>
      <c r="F2053" s="2">
        <v>1503.3</v>
      </c>
      <c r="G2053" s="3">
        <f t="shared" si="95"/>
        <v>2.6083798329317176E-3</v>
      </c>
      <c r="H2053" s="2">
        <f t="shared" ref="H2053:H2116" si="96">E2053-F2053</f>
        <v>25.200000000000045</v>
      </c>
      <c r="I2053" s="3">
        <f t="shared" si="94"/>
        <v>1.664080298477898E-2</v>
      </c>
    </row>
    <row r="2054" spans="2:9" x14ac:dyDescent="0.25">
      <c r="B2054" s="1">
        <v>38168</v>
      </c>
      <c r="C2054" s="2">
        <v>1505.6</v>
      </c>
      <c r="D2054" s="2">
        <v>1518.7</v>
      </c>
      <c r="E2054" s="2">
        <v>1532.15</v>
      </c>
      <c r="F2054" s="2">
        <v>1501.7</v>
      </c>
      <c r="G2054" s="3">
        <f t="shared" si="95"/>
        <v>-8.3646183231246285E-3</v>
      </c>
      <c r="H2054" s="2">
        <f t="shared" si="96"/>
        <v>30.450000000000045</v>
      </c>
      <c r="I2054" s="3">
        <f t="shared" ref="I2054:I2117" si="97">H2054/D2054</f>
        <v>2.0050042799762986E-2</v>
      </c>
    </row>
    <row r="2055" spans="2:9" x14ac:dyDescent="0.25">
      <c r="B2055" s="1">
        <v>38169</v>
      </c>
      <c r="C2055" s="2">
        <v>1537.2</v>
      </c>
      <c r="D2055" s="2">
        <v>1506.65</v>
      </c>
      <c r="E2055" s="2">
        <v>1539.15</v>
      </c>
      <c r="F2055" s="2">
        <v>1504.55</v>
      </c>
      <c r="G2055" s="3">
        <f t="shared" ref="G2055:G2118" si="98">C2055/C2054-1</f>
        <v>2.0988310308182934E-2</v>
      </c>
      <c r="H2055" s="2">
        <f t="shared" si="96"/>
        <v>34.600000000000136</v>
      </c>
      <c r="I2055" s="3">
        <f t="shared" si="97"/>
        <v>2.2964855805927147E-2</v>
      </c>
    </row>
    <row r="2056" spans="2:9" x14ac:dyDescent="0.25">
      <c r="B2056" s="1">
        <v>38170</v>
      </c>
      <c r="C2056" s="2">
        <v>1537.5</v>
      </c>
      <c r="D2056" s="2">
        <v>1537.05</v>
      </c>
      <c r="E2056" s="2">
        <v>1547.65</v>
      </c>
      <c r="F2056" s="2">
        <v>1516.15</v>
      </c>
      <c r="G2056" s="3">
        <f t="shared" si="98"/>
        <v>1.951600312255497E-4</v>
      </c>
      <c r="H2056" s="2">
        <f t="shared" si="96"/>
        <v>31.5</v>
      </c>
      <c r="I2056" s="3">
        <f t="shared" si="97"/>
        <v>2.0493803064311505E-2</v>
      </c>
    </row>
    <row r="2057" spans="2:9" x14ac:dyDescent="0.25">
      <c r="B2057" s="1">
        <v>38173</v>
      </c>
      <c r="C2057" s="2">
        <v>1526.85</v>
      </c>
      <c r="D2057" s="2">
        <v>1537.55</v>
      </c>
      <c r="E2057" s="2">
        <v>1546</v>
      </c>
      <c r="F2057" s="2">
        <v>1522.9</v>
      </c>
      <c r="G2057" s="3">
        <f t="shared" si="98"/>
        <v>-6.9268292682926891E-3</v>
      </c>
      <c r="H2057" s="2">
        <f t="shared" si="96"/>
        <v>23.099999999999909</v>
      </c>
      <c r="I2057" s="3">
        <f t="shared" si="97"/>
        <v>1.5023901661734519E-2</v>
      </c>
    </row>
    <row r="2058" spans="2:9" x14ac:dyDescent="0.25">
      <c r="B2058" s="1">
        <v>38174</v>
      </c>
      <c r="C2058" s="2">
        <v>1558.25</v>
      </c>
      <c r="D2058" s="2">
        <v>1526.65</v>
      </c>
      <c r="E2058" s="2">
        <v>1561</v>
      </c>
      <c r="F2058" s="2">
        <v>1524.15</v>
      </c>
      <c r="G2058" s="3">
        <f t="shared" si="98"/>
        <v>2.0565215967514927E-2</v>
      </c>
      <c r="H2058" s="2">
        <f t="shared" si="96"/>
        <v>36.849999999999909</v>
      </c>
      <c r="I2058" s="3">
        <f t="shared" si="97"/>
        <v>2.4137818098450795E-2</v>
      </c>
    </row>
    <row r="2059" spans="2:9" x14ac:dyDescent="0.25">
      <c r="B2059" s="1">
        <v>38175</v>
      </c>
      <c r="C2059" s="2">
        <v>1566.8</v>
      </c>
      <c r="D2059" s="2">
        <v>1558.05</v>
      </c>
      <c r="E2059" s="2">
        <v>1578.5</v>
      </c>
      <c r="F2059" s="2">
        <v>1551.35</v>
      </c>
      <c r="G2059" s="3">
        <f t="shared" si="98"/>
        <v>5.4869244344617485E-3</v>
      </c>
      <c r="H2059" s="2">
        <f t="shared" si="96"/>
        <v>27.150000000000091</v>
      </c>
      <c r="I2059" s="3">
        <f t="shared" si="97"/>
        <v>1.7425628189082564E-2</v>
      </c>
    </row>
    <row r="2060" spans="2:9" x14ac:dyDescent="0.25">
      <c r="B2060" s="1">
        <v>38176</v>
      </c>
      <c r="C2060" s="2">
        <v>1518.15</v>
      </c>
      <c r="D2060" s="2">
        <v>1567.25</v>
      </c>
      <c r="E2060" s="2">
        <v>1586.55</v>
      </c>
      <c r="F2060" s="2">
        <v>1504.5</v>
      </c>
      <c r="G2060" s="3">
        <f t="shared" si="98"/>
        <v>-3.1050548889456131E-2</v>
      </c>
      <c r="H2060" s="2">
        <f t="shared" si="96"/>
        <v>82.049999999999955</v>
      </c>
      <c r="I2060" s="3">
        <f t="shared" si="97"/>
        <v>5.2352847344073986E-2</v>
      </c>
    </row>
    <row r="2061" spans="2:9" x14ac:dyDescent="0.25">
      <c r="B2061" s="1">
        <v>38177</v>
      </c>
      <c r="C2061" s="2">
        <v>1553.2</v>
      </c>
      <c r="D2061" s="2">
        <v>1517.45</v>
      </c>
      <c r="E2061" s="2">
        <v>1557.75</v>
      </c>
      <c r="F2061" s="2">
        <v>1472.55</v>
      </c>
      <c r="G2061" s="3">
        <f t="shared" si="98"/>
        <v>2.3087310213088186E-2</v>
      </c>
      <c r="H2061" s="2">
        <f t="shared" si="96"/>
        <v>85.200000000000045</v>
      </c>
      <c r="I2061" s="3">
        <f t="shared" si="97"/>
        <v>5.6146825266071398E-2</v>
      </c>
    </row>
    <row r="2062" spans="2:9" x14ac:dyDescent="0.25">
      <c r="B2062" s="1">
        <v>38180</v>
      </c>
      <c r="C2062" s="2">
        <v>1556.95</v>
      </c>
      <c r="D2062" s="2">
        <v>1548.6</v>
      </c>
      <c r="E2062" s="2">
        <v>1562.8</v>
      </c>
      <c r="F2062" s="2">
        <v>1537.7</v>
      </c>
      <c r="G2062" s="3">
        <f t="shared" si="98"/>
        <v>2.4143703322172527E-3</v>
      </c>
      <c r="H2062" s="2">
        <f t="shared" si="96"/>
        <v>25.099999999999909</v>
      </c>
      <c r="I2062" s="3">
        <f t="shared" si="97"/>
        <v>1.6208188040810999E-2</v>
      </c>
    </row>
    <row r="2063" spans="2:9" x14ac:dyDescent="0.25">
      <c r="B2063" s="1">
        <v>38181</v>
      </c>
      <c r="C2063" s="2">
        <v>1539.3</v>
      </c>
      <c r="D2063" s="2">
        <v>1560</v>
      </c>
      <c r="E2063" s="2">
        <v>1569.75</v>
      </c>
      <c r="F2063" s="2">
        <v>1530.6</v>
      </c>
      <c r="G2063" s="3">
        <f t="shared" si="98"/>
        <v>-1.1336266418317975E-2</v>
      </c>
      <c r="H2063" s="2">
        <f t="shared" si="96"/>
        <v>39.150000000000091</v>
      </c>
      <c r="I2063" s="3">
        <f t="shared" si="97"/>
        <v>2.5096153846153903E-2</v>
      </c>
    </row>
    <row r="2064" spans="2:9" x14ac:dyDescent="0.25">
      <c r="B2064" s="1">
        <v>38182</v>
      </c>
      <c r="C2064" s="2">
        <v>1522.75</v>
      </c>
      <c r="D2064" s="2">
        <v>1535.1</v>
      </c>
      <c r="E2064" s="2">
        <v>1552.25</v>
      </c>
      <c r="F2064" s="2">
        <v>1519.35</v>
      </c>
      <c r="G2064" s="3">
        <f t="shared" si="98"/>
        <v>-1.0751640356005954E-2</v>
      </c>
      <c r="H2064" s="2">
        <f t="shared" si="96"/>
        <v>32.900000000000091</v>
      </c>
      <c r="I2064" s="3">
        <f t="shared" si="97"/>
        <v>2.1431828545371699E-2</v>
      </c>
    </row>
    <row r="2065" spans="2:9" x14ac:dyDescent="0.25">
      <c r="B2065" s="1">
        <v>38183</v>
      </c>
      <c r="C2065" s="2">
        <v>1539.4</v>
      </c>
      <c r="D2065" s="2">
        <v>1523.1</v>
      </c>
      <c r="E2065" s="2">
        <v>1543.25</v>
      </c>
      <c r="F2065" s="2">
        <v>1517.8</v>
      </c>
      <c r="G2065" s="3">
        <f t="shared" si="98"/>
        <v>1.0934165161714082E-2</v>
      </c>
      <c r="H2065" s="2">
        <f t="shared" si="96"/>
        <v>25.450000000000045</v>
      </c>
      <c r="I2065" s="3">
        <f t="shared" si="97"/>
        <v>1.670934278773557E-2</v>
      </c>
    </row>
    <row r="2066" spans="2:9" x14ac:dyDescent="0.25">
      <c r="B2066" s="1">
        <v>38184</v>
      </c>
      <c r="C2066" s="2">
        <v>1558.8</v>
      </c>
      <c r="D2066" s="2">
        <v>1538.15</v>
      </c>
      <c r="E2066" s="2">
        <v>1562</v>
      </c>
      <c r="F2066" s="2">
        <v>1533.65</v>
      </c>
      <c r="G2066" s="3">
        <f t="shared" si="98"/>
        <v>1.260231258932043E-2</v>
      </c>
      <c r="H2066" s="2">
        <f t="shared" si="96"/>
        <v>28.349999999999909</v>
      </c>
      <c r="I2066" s="3">
        <f t="shared" si="97"/>
        <v>1.843123232454566E-2</v>
      </c>
    </row>
    <row r="2067" spans="2:9" x14ac:dyDescent="0.25">
      <c r="B2067" s="1">
        <v>38187</v>
      </c>
      <c r="C2067" s="2">
        <v>1571.6</v>
      </c>
      <c r="D2067" s="2">
        <v>1559.2</v>
      </c>
      <c r="E2067" s="2">
        <v>1582.35</v>
      </c>
      <c r="F2067" s="2">
        <v>1556.55</v>
      </c>
      <c r="G2067" s="3">
        <f t="shared" si="98"/>
        <v>8.2114447010521729E-3</v>
      </c>
      <c r="H2067" s="2">
        <f t="shared" si="96"/>
        <v>25.799999999999955</v>
      </c>
      <c r="I2067" s="3">
        <f t="shared" si="97"/>
        <v>1.6546947152385808E-2</v>
      </c>
    </row>
    <row r="2068" spans="2:9" x14ac:dyDescent="0.25">
      <c r="B2068" s="1">
        <v>38188</v>
      </c>
      <c r="C2068" s="2">
        <v>1566.1</v>
      </c>
      <c r="D2068" s="2">
        <v>1571.7</v>
      </c>
      <c r="E2068" s="2">
        <v>1581.05</v>
      </c>
      <c r="F2068" s="2">
        <v>1555.55</v>
      </c>
      <c r="G2068" s="3">
        <f t="shared" si="98"/>
        <v>-3.4996182234665607E-3</v>
      </c>
      <c r="H2068" s="2">
        <f t="shared" si="96"/>
        <v>25.5</v>
      </c>
      <c r="I2068" s="3">
        <f t="shared" si="97"/>
        <v>1.6224470318763121E-2</v>
      </c>
    </row>
    <row r="2069" spans="2:9" x14ac:dyDescent="0.25">
      <c r="B2069" s="1">
        <v>38189</v>
      </c>
      <c r="C2069" s="2">
        <v>1581.4</v>
      </c>
      <c r="D2069" s="2">
        <v>1566.15</v>
      </c>
      <c r="E2069" s="2">
        <v>1600.7</v>
      </c>
      <c r="F2069" s="2">
        <v>1562.9</v>
      </c>
      <c r="G2069" s="3">
        <f t="shared" si="98"/>
        <v>9.7694910925230083E-3</v>
      </c>
      <c r="H2069" s="2">
        <f t="shared" si="96"/>
        <v>37.799999999999955</v>
      </c>
      <c r="I2069" s="3">
        <f t="shared" si="97"/>
        <v>2.4135619193563804E-2</v>
      </c>
    </row>
    <row r="2070" spans="2:9" x14ac:dyDescent="0.25">
      <c r="B2070" s="1">
        <v>38190</v>
      </c>
      <c r="C2070" s="2">
        <v>1598.1</v>
      </c>
      <c r="D2070" s="2">
        <v>1581.6</v>
      </c>
      <c r="E2070" s="2">
        <v>1609.55</v>
      </c>
      <c r="F2070" s="2">
        <v>1580.95</v>
      </c>
      <c r="G2070" s="3">
        <f t="shared" si="98"/>
        <v>1.056026305804969E-2</v>
      </c>
      <c r="H2070" s="2">
        <f t="shared" si="96"/>
        <v>28.599999999999909</v>
      </c>
      <c r="I2070" s="3">
        <f t="shared" si="97"/>
        <v>1.8082953970662563E-2</v>
      </c>
    </row>
    <row r="2071" spans="2:9" x14ac:dyDescent="0.25">
      <c r="B2071" s="1">
        <v>38191</v>
      </c>
      <c r="C2071" s="2">
        <v>1601.6</v>
      </c>
      <c r="D2071" s="2">
        <v>1587.6</v>
      </c>
      <c r="E2071" s="2">
        <v>1610.85</v>
      </c>
      <c r="F2071" s="2">
        <v>1587.6</v>
      </c>
      <c r="G2071" s="3">
        <f t="shared" si="98"/>
        <v>2.1901007446343268E-3</v>
      </c>
      <c r="H2071" s="2">
        <f t="shared" si="96"/>
        <v>23.25</v>
      </c>
      <c r="I2071" s="3">
        <f t="shared" si="97"/>
        <v>1.4644746787603932E-2</v>
      </c>
    </row>
    <row r="2072" spans="2:9" x14ac:dyDescent="0.25">
      <c r="B2072" s="1">
        <v>38194</v>
      </c>
      <c r="C2072" s="2">
        <v>1618</v>
      </c>
      <c r="D2072" s="2">
        <v>1602.15</v>
      </c>
      <c r="E2072" s="2">
        <v>1620.35</v>
      </c>
      <c r="F2072" s="2">
        <v>1584.65</v>
      </c>
      <c r="G2072" s="3">
        <f t="shared" si="98"/>
        <v>1.0239760239760365E-2</v>
      </c>
      <c r="H2072" s="2">
        <f t="shared" si="96"/>
        <v>35.699999999999818</v>
      </c>
      <c r="I2072" s="3">
        <f t="shared" si="97"/>
        <v>2.2282557812938749E-2</v>
      </c>
    </row>
    <row r="2073" spans="2:9" x14ac:dyDescent="0.25">
      <c r="B2073" s="1">
        <v>38195</v>
      </c>
      <c r="C2073" s="2">
        <v>1600.75</v>
      </c>
      <c r="D2073" s="2">
        <v>1617.95</v>
      </c>
      <c r="E2073" s="2">
        <v>1629.35</v>
      </c>
      <c r="F2073" s="2">
        <v>1597.2</v>
      </c>
      <c r="G2073" s="3">
        <f t="shared" si="98"/>
        <v>-1.0661310259579726E-2</v>
      </c>
      <c r="H2073" s="2">
        <f t="shared" si="96"/>
        <v>32.149999999999864</v>
      </c>
      <c r="I2073" s="3">
        <f t="shared" si="97"/>
        <v>1.9870824191105946E-2</v>
      </c>
    </row>
    <row r="2074" spans="2:9" x14ac:dyDescent="0.25">
      <c r="B2074" s="1">
        <v>38196</v>
      </c>
      <c r="C2074" s="2">
        <v>1594.15</v>
      </c>
      <c r="D2074" s="2">
        <v>1600.85</v>
      </c>
      <c r="E2074" s="2">
        <v>1609.45</v>
      </c>
      <c r="F2074" s="2">
        <v>1586.15</v>
      </c>
      <c r="G2074" s="3">
        <f t="shared" si="98"/>
        <v>-4.1230673121973593E-3</v>
      </c>
      <c r="H2074" s="2">
        <f t="shared" si="96"/>
        <v>23.299999999999955</v>
      </c>
      <c r="I2074" s="3">
        <f t="shared" si="97"/>
        <v>1.4554767779617051E-2</v>
      </c>
    </row>
    <row r="2075" spans="2:9" x14ac:dyDescent="0.25">
      <c r="B2075" s="1">
        <v>38197</v>
      </c>
      <c r="C2075" s="2">
        <v>1618.7</v>
      </c>
      <c r="D2075" s="2">
        <v>1594.7</v>
      </c>
      <c r="E2075" s="2">
        <v>1624.3</v>
      </c>
      <c r="F2075" s="2">
        <v>1590.15</v>
      </c>
      <c r="G2075" s="3">
        <f t="shared" si="98"/>
        <v>1.5400056456418731E-2</v>
      </c>
      <c r="H2075" s="2">
        <f t="shared" si="96"/>
        <v>34.149999999999864</v>
      </c>
      <c r="I2075" s="3">
        <f t="shared" si="97"/>
        <v>2.1414686147864716E-2</v>
      </c>
    </row>
    <row r="2076" spans="2:9" x14ac:dyDescent="0.25">
      <c r="B2076" s="1">
        <v>38198</v>
      </c>
      <c r="C2076" s="2">
        <v>1632.3</v>
      </c>
      <c r="D2076" s="2">
        <v>1618.9</v>
      </c>
      <c r="E2076" s="2">
        <v>1638.7</v>
      </c>
      <c r="F2076" s="2">
        <v>1609.9</v>
      </c>
      <c r="G2076" s="3">
        <f t="shared" si="98"/>
        <v>8.4018039167232939E-3</v>
      </c>
      <c r="H2076" s="2">
        <f t="shared" si="96"/>
        <v>28.799999999999955</v>
      </c>
      <c r="I2076" s="3">
        <f t="shared" si="97"/>
        <v>1.778985731051946E-2</v>
      </c>
    </row>
    <row r="2077" spans="2:9" x14ac:dyDescent="0.25">
      <c r="B2077" s="1">
        <v>38201</v>
      </c>
      <c r="C2077" s="2">
        <v>1639.05</v>
      </c>
      <c r="D2077" s="2">
        <v>1631.55</v>
      </c>
      <c r="E2077" s="2">
        <v>1643.8</v>
      </c>
      <c r="F2077" s="2">
        <v>1627.25</v>
      </c>
      <c r="G2077" s="3">
        <f t="shared" si="98"/>
        <v>4.1352692519758261E-3</v>
      </c>
      <c r="H2077" s="2">
        <f t="shared" si="96"/>
        <v>16.549999999999955</v>
      </c>
      <c r="I2077" s="3">
        <f t="shared" si="97"/>
        <v>1.0143728356470812E-2</v>
      </c>
    </row>
    <row r="2078" spans="2:9" x14ac:dyDescent="0.25">
      <c r="B2078" s="1">
        <v>38202</v>
      </c>
      <c r="C2078" s="2">
        <v>1630.6</v>
      </c>
      <c r="D2078" s="2">
        <v>1639.95</v>
      </c>
      <c r="E2078" s="2">
        <v>1648.35</v>
      </c>
      <c r="F2078" s="2">
        <v>1626.3</v>
      </c>
      <c r="G2078" s="3">
        <f t="shared" si="98"/>
        <v>-5.1554253988591592E-3</v>
      </c>
      <c r="H2078" s="2">
        <f t="shared" si="96"/>
        <v>22.049999999999955</v>
      </c>
      <c r="I2078" s="3">
        <f t="shared" si="97"/>
        <v>1.34455318759718E-2</v>
      </c>
    </row>
    <row r="2079" spans="2:9" x14ac:dyDescent="0.25">
      <c r="B2079" s="1">
        <v>38203</v>
      </c>
      <c r="C2079" s="2">
        <v>1626.55</v>
      </c>
      <c r="D2079" s="2">
        <v>1631.3</v>
      </c>
      <c r="E2079" s="2">
        <v>1635.95</v>
      </c>
      <c r="F2079" s="2">
        <v>1618.2</v>
      </c>
      <c r="G2079" s="3">
        <f t="shared" si="98"/>
        <v>-2.4837483135041749E-3</v>
      </c>
      <c r="H2079" s="2">
        <f t="shared" si="96"/>
        <v>17.75</v>
      </c>
      <c r="I2079" s="3">
        <f t="shared" si="97"/>
        <v>1.088089253969227E-2</v>
      </c>
    </row>
    <row r="2080" spans="2:9" x14ac:dyDescent="0.25">
      <c r="B2080" s="1">
        <v>38204</v>
      </c>
      <c r="C2080" s="2">
        <v>1654.95</v>
      </c>
      <c r="D2080" s="2">
        <v>1626.4</v>
      </c>
      <c r="E2080" s="2">
        <v>1656.25</v>
      </c>
      <c r="F2080" s="2">
        <v>1626.4</v>
      </c>
      <c r="G2080" s="3">
        <f t="shared" si="98"/>
        <v>1.7460268666810164E-2</v>
      </c>
      <c r="H2080" s="2">
        <f t="shared" si="96"/>
        <v>29.849999999999909</v>
      </c>
      <c r="I2080" s="3">
        <f t="shared" si="97"/>
        <v>1.8353418593211945E-2</v>
      </c>
    </row>
    <row r="2081" spans="2:9" x14ac:dyDescent="0.25">
      <c r="B2081" s="1">
        <v>38205</v>
      </c>
      <c r="C2081" s="2">
        <v>1633.4</v>
      </c>
      <c r="D2081" s="2">
        <v>1654.85</v>
      </c>
      <c r="E2081" s="2">
        <v>1658.7</v>
      </c>
      <c r="F2081" s="2">
        <v>1626.7</v>
      </c>
      <c r="G2081" s="3">
        <f t="shared" si="98"/>
        <v>-1.302154143629719E-2</v>
      </c>
      <c r="H2081" s="2">
        <f t="shared" si="96"/>
        <v>32</v>
      </c>
      <c r="I2081" s="3">
        <f t="shared" si="97"/>
        <v>1.9337100039278486E-2</v>
      </c>
    </row>
    <row r="2082" spans="2:9" x14ac:dyDescent="0.25">
      <c r="B2082" s="1">
        <v>38208</v>
      </c>
      <c r="C2082" s="2">
        <v>1642.6</v>
      </c>
      <c r="D2082" s="2">
        <v>1633.25</v>
      </c>
      <c r="E2082" s="2">
        <v>1644.4</v>
      </c>
      <c r="F2082" s="2">
        <v>1617.05</v>
      </c>
      <c r="G2082" s="3">
        <f t="shared" si="98"/>
        <v>5.6324231664013347E-3</v>
      </c>
      <c r="H2082" s="2">
        <f t="shared" si="96"/>
        <v>27.350000000000136</v>
      </c>
      <c r="I2082" s="3">
        <f t="shared" si="97"/>
        <v>1.6745752334302855E-2</v>
      </c>
    </row>
    <row r="2083" spans="2:9" x14ac:dyDescent="0.25">
      <c r="B2083" s="1">
        <v>38209</v>
      </c>
      <c r="C2083" s="2">
        <v>1652.15</v>
      </c>
      <c r="D2083" s="2">
        <v>1642.75</v>
      </c>
      <c r="E2083" s="2">
        <v>1656.6</v>
      </c>
      <c r="F2083" s="2">
        <v>1637.7</v>
      </c>
      <c r="G2083" s="3">
        <f t="shared" si="98"/>
        <v>5.8139534883721034E-3</v>
      </c>
      <c r="H2083" s="2">
        <f t="shared" si="96"/>
        <v>18.899999999999864</v>
      </c>
      <c r="I2083" s="3">
        <f t="shared" si="97"/>
        <v>1.1505098158575476E-2</v>
      </c>
    </row>
    <row r="2084" spans="2:9" x14ac:dyDescent="0.25">
      <c r="B2084" s="1">
        <v>38210</v>
      </c>
      <c r="C2084" s="2">
        <v>1621.6</v>
      </c>
      <c r="D2084" s="2">
        <v>1652.1</v>
      </c>
      <c r="E2084" s="2">
        <v>1658.9</v>
      </c>
      <c r="F2084" s="2">
        <v>1616.85</v>
      </c>
      <c r="G2084" s="3">
        <f t="shared" si="98"/>
        <v>-1.8491057107405617E-2</v>
      </c>
      <c r="H2084" s="2">
        <f t="shared" si="96"/>
        <v>42.050000000000182</v>
      </c>
      <c r="I2084" s="3">
        <f t="shared" si="97"/>
        <v>2.5452454451909801E-2</v>
      </c>
    </row>
    <row r="2085" spans="2:9" x14ac:dyDescent="0.25">
      <c r="B2085" s="1">
        <v>38211</v>
      </c>
      <c r="C2085" s="2">
        <v>1607.2</v>
      </c>
      <c r="D2085" s="2">
        <v>1624.3</v>
      </c>
      <c r="E2085" s="2">
        <v>1629.15</v>
      </c>
      <c r="F2085" s="2">
        <v>1599.5</v>
      </c>
      <c r="G2085" s="3">
        <f t="shared" si="98"/>
        <v>-8.8801184015786516E-3</v>
      </c>
      <c r="H2085" s="2">
        <f t="shared" si="96"/>
        <v>29.650000000000091</v>
      </c>
      <c r="I2085" s="3">
        <f t="shared" si="97"/>
        <v>1.8254017115065007E-2</v>
      </c>
    </row>
    <row r="2086" spans="2:9" x14ac:dyDescent="0.25">
      <c r="B2086" s="1">
        <v>38212</v>
      </c>
      <c r="C2086" s="2">
        <v>1598.2</v>
      </c>
      <c r="D2086" s="2">
        <v>1598.2</v>
      </c>
      <c r="E2086" s="2">
        <v>1612.7</v>
      </c>
      <c r="F2086" s="2">
        <v>1591.6</v>
      </c>
      <c r="G2086" s="3">
        <f t="shared" si="98"/>
        <v>-5.5998008959681211E-3</v>
      </c>
      <c r="H2086" s="2">
        <f t="shared" si="96"/>
        <v>21.100000000000136</v>
      </c>
      <c r="I2086" s="3">
        <f t="shared" si="97"/>
        <v>1.3202352646727653E-2</v>
      </c>
    </row>
    <row r="2087" spans="2:9" x14ac:dyDescent="0.25">
      <c r="B2087" s="1">
        <v>38215</v>
      </c>
      <c r="C2087" s="2">
        <v>1599.15</v>
      </c>
      <c r="D2087" s="2">
        <v>1598.2</v>
      </c>
      <c r="E2087" s="2">
        <v>1612.7</v>
      </c>
      <c r="F2087" s="2">
        <v>1591.6</v>
      </c>
      <c r="G2087" s="3">
        <f t="shared" si="98"/>
        <v>5.9441872106114069E-4</v>
      </c>
      <c r="H2087" s="2">
        <f t="shared" si="96"/>
        <v>21.100000000000136</v>
      </c>
      <c r="I2087" s="3">
        <f t="shared" si="97"/>
        <v>1.3202352646727653E-2</v>
      </c>
    </row>
    <row r="2088" spans="2:9" x14ac:dyDescent="0.25">
      <c r="B2088" s="1">
        <v>38216</v>
      </c>
      <c r="C2088" s="2">
        <v>1604.35</v>
      </c>
      <c r="D2088" s="2">
        <v>1624</v>
      </c>
      <c r="E2088" s="2">
        <v>1628.45</v>
      </c>
      <c r="F2088" s="2">
        <v>1597.45</v>
      </c>
      <c r="G2088" s="3">
        <f t="shared" si="98"/>
        <v>3.2517274802237317E-3</v>
      </c>
      <c r="H2088" s="2">
        <f t="shared" si="96"/>
        <v>31</v>
      </c>
      <c r="I2088" s="3">
        <f t="shared" si="97"/>
        <v>1.9088669950738917E-2</v>
      </c>
    </row>
    <row r="2089" spans="2:9" x14ac:dyDescent="0.25">
      <c r="B2089" s="1">
        <v>38217</v>
      </c>
      <c r="C2089" s="2">
        <v>1581.8</v>
      </c>
      <c r="D2089" s="2">
        <v>1604.15</v>
      </c>
      <c r="E2089" s="2">
        <v>1604.15</v>
      </c>
      <c r="F2089" s="2">
        <v>1577.25</v>
      </c>
      <c r="G2089" s="3">
        <f t="shared" si="98"/>
        <v>-1.4055536510113154E-2</v>
      </c>
      <c r="H2089" s="2">
        <f t="shared" si="96"/>
        <v>26.900000000000091</v>
      </c>
      <c r="I2089" s="3">
        <f t="shared" si="97"/>
        <v>1.6769005392263871E-2</v>
      </c>
    </row>
    <row r="2090" spans="2:9" x14ac:dyDescent="0.25">
      <c r="B2090" s="1">
        <v>38218</v>
      </c>
      <c r="C2090" s="2">
        <v>1609.2</v>
      </c>
      <c r="D2090" s="2">
        <v>1581.9</v>
      </c>
      <c r="E2090" s="2">
        <v>1612.5</v>
      </c>
      <c r="F2090" s="2">
        <v>1581.9</v>
      </c>
      <c r="G2090" s="3">
        <f t="shared" si="98"/>
        <v>1.7322038184347077E-2</v>
      </c>
      <c r="H2090" s="2">
        <f t="shared" si="96"/>
        <v>30.599999999999909</v>
      </c>
      <c r="I2090" s="3">
        <f t="shared" si="97"/>
        <v>1.934382704342873E-2</v>
      </c>
    </row>
    <row r="2091" spans="2:9" x14ac:dyDescent="0.25">
      <c r="B2091" s="1">
        <v>38219</v>
      </c>
      <c r="C2091" s="2">
        <v>1590.35</v>
      </c>
      <c r="D2091" s="2">
        <v>1609.2</v>
      </c>
      <c r="E2091" s="2">
        <v>1610.6</v>
      </c>
      <c r="F2091" s="2">
        <v>1584.05</v>
      </c>
      <c r="G2091" s="3">
        <f t="shared" si="98"/>
        <v>-1.1713895103156902E-2</v>
      </c>
      <c r="H2091" s="2">
        <f t="shared" si="96"/>
        <v>26.549999999999955</v>
      </c>
      <c r="I2091" s="3">
        <f t="shared" si="97"/>
        <v>1.6498881431767309E-2</v>
      </c>
    </row>
    <row r="2092" spans="2:9" x14ac:dyDescent="0.25">
      <c r="B2092" s="1">
        <v>38222</v>
      </c>
      <c r="C2092" s="2">
        <v>1578.2</v>
      </c>
      <c r="D2092" s="2">
        <v>1590.9</v>
      </c>
      <c r="E2092" s="2">
        <v>1595.55</v>
      </c>
      <c r="F2092" s="2">
        <v>1573.7</v>
      </c>
      <c r="G2092" s="3">
        <f t="shared" si="98"/>
        <v>-7.6398277108811197E-3</v>
      </c>
      <c r="H2092" s="2">
        <f t="shared" si="96"/>
        <v>21.849999999999909</v>
      </c>
      <c r="I2092" s="3">
        <f t="shared" si="97"/>
        <v>1.3734364196366778E-2</v>
      </c>
    </row>
    <row r="2093" spans="2:9" x14ac:dyDescent="0.25">
      <c r="B2093" s="1">
        <v>38223</v>
      </c>
      <c r="C2093" s="2">
        <v>1591.6</v>
      </c>
      <c r="D2093" s="2">
        <v>1578.2</v>
      </c>
      <c r="E2093" s="2">
        <v>1597.9</v>
      </c>
      <c r="F2093" s="2">
        <v>1578.05</v>
      </c>
      <c r="G2093" s="3">
        <f t="shared" si="98"/>
        <v>8.4906855911797141E-3</v>
      </c>
      <c r="H2093" s="2">
        <f t="shared" si="96"/>
        <v>19.850000000000136</v>
      </c>
      <c r="I2093" s="3">
        <f t="shared" si="97"/>
        <v>1.2577620073501543E-2</v>
      </c>
    </row>
    <row r="2094" spans="2:9" x14ac:dyDescent="0.25">
      <c r="B2094" s="1">
        <v>38224</v>
      </c>
      <c r="C2094" s="2">
        <v>1595.7</v>
      </c>
      <c r="D2094" s="2">
        <v>1592.2</v>
      </c>
      <c r="E2094" s="2">
        <v>1598.55</v>
      </c>
      <c r="F2094" s="2">
        <v>1586.35</v>
      </c>
      <c r="G2094" s="3">
        <f t="shared" si="98"/>
        <v>2.5760241266650219E-3</v>
      </c>
      <c r="H2094" s="2">
        <f t="shared" si="96"/>
        <v>12.200000000000045</v>
      </c>
      <c r="I2094" s="3">
        <f t="shared" si="97"/>
        <v>7.6623539756312305E-3</v>
      </c>
    </row>
    <row r="2095" spans="2:9" x14ac:dyDescent="0.25">
      <c r="B2095" s="1">
        <v>38225</v>
      </c>
      <c r="C2095" s="2">
        <v>1610.75</v>
      </c>
      <c r="D2095" s="2">
        <v>1595.75</v>
      </c>
      <c r="E2095" s="2">
        <v>1613.25</v>
      </c>
      <c r="F2095" s="2">
        <v>1593.45</v>
      </c>
      <c r="G2095" s="3">
        <f t="shared" si="98"/>
        <v>9.4315974180609885E-3</v>
      </c>
      <c r="H2095" s="2">
        <f t="shared" si="96"/>
        <v>19.799999999999955</v>
      </c>
      <c r="I2095" s="3">
        <f t="shared" si="97"/>
        <v>1.2407958640137837E-2</v>
      </c>
    </row>
    <row r="2096" spans="2:9" x14ac:dyDescent="0.25">
      <c r="B2096" s="1">
        <v>38226</v>
      </c>
      <c r="C2096" s="2">
        <v>1609</v>
      </c>
      <c r="D2096" s="2">
        <v>1610.85</v>
      </c>
      <c r="E2096" s="2">
        <v>1617.25</v>
      </c>
      <c r="F2096" s="2">
        <v>1600.15</v>
      </c>
      <c r="G2096" s="3">
        <f t="shared" si="98"/>
        <v>-1.0864504112990669E-3</v>
      </c>
      <c r="H2096" s="2">
        <f t="shared" si="96"/>
        <v>17.099999999999909</v>
      </c>
      <c r="I2096" s="3">
        <f t="shared" si="97"/>
        <v>1.0615513548747501E-2</v>
      </c>
    </row>
    <row r="2097" spans="2:9" x14ac:dyDescent="0.25">
      <c r="B2097" s="1">
        <v>38229</v>
      </c>
      <c r="C2097" s="2">
        <v>1628.45</v>
      </c>
      <c r="D2097" s="2">
        <v>1609.45</v>
      </c>
      <c r="E2097" s="2">
        <v>1629.9</v>
      </c>
      <c r="F2097" s="2">
        <v>1609.2</v>
      </c>
      <c r="G2097" s="3">
        <f t="shared" si="98"/>
        <v>1.2088253573648178E-2</v>
      </c>
      <c r="H2097" s="2">
        <f t="shared" si="96"/>
        <v>20.700000000000045</v>
      </c>
      <c r="I2097" s="3">
        <f t="shared" si="97"/>
        <v>1.2861536549753048E-2</v>
      </c>
    </row>
    <row r="2098" spans="2:9" x14ac:dyDescent="0.25">
      <c r="B2098" s="1">
        <v>38230</v>
      </c>
      <c r="C2098" s="2">
        <v>1631.75</v>
      </c>
      <c r="D2098" s="2">
        <v>1628.5</v>
      </c>
      <c r="E2098" s="2">
        <v>1634.8</v>
      </c>
      <c r="F2098" s="2">
        <v>1618.3</v>
      </c>
      <c r="G2098" s="3">
        <f t="shared" si="98"/>
        <v>2.0264668856888601E-3</v>
      </c>
      <c r="H2098" s="2">
        <f t="shared" si="96"/>
        <v>16.5</v>
      </c>
      <c r="I2098" s="3">
        <f t="shared" si="97"/>
        <v>1.013202333435677E-2</v>
      </c>
    </row>
    <row r="2099" spans="2:9" x14ac:dyDescent="0.25">
      <c r="B2099" s="1">
        <v>38231</v>
      </c>
      <c r="C2099" s="2">
        <v>1635.45</v>
      </c>
      <c r="D2099" s="2">
        <v>1631.7</v>
      </c>
      <c r="E2099" s="2">
        <v>1640.55</v>
      </c>
      <c r="F2099" s="2">
        <v>1631.1</v>
      </c>
      <c r="G2099" s="3">
        <f t="shared" si="98"/>
        <v>2.2675042132680456E-3</v>
      </c>
      <c r="H2099" s="2">
        <f t="shared" si="96"/>
        <v>9.4500000000000455</v>
      </c>
      <c r="I2099" s="3">
        <f t="shared" si="97"/>
        <v>5.791505791505819E-3</v>
      </c>
    </row>
    <row r="2100" spans="2:9" x14ac:dyDescent="0.25">
      <c r="B2100" s="1">
        <v>38232</v>
      </c>
      <c r="C2100" s="2">
        <v>1629.3</v>
      </c>
      <c r="D2100" s="2">
        <v>1635.5</v>
      </c>
      <c r="E2100" s="2">
        <v>1641.25</v>
      </c>
      <c r="F2100" s="2">
        <v>1619.9</v>
      </c>
      <c r="G2100" s="3">
        <f t="shared" si="98"/>
        <v>-3.7604329083739119E-3</v>
      </c>
      <c r="H2100" s="2">
        <f t="shared" si="96"/>
        <v>21.349999999999909</v>
      </c>
      <c r="I2100" s="3">
        <f t="shared" si="97"/>
        <v>1.3054111892387593E-2</v>
      </c>
    </row>
    <row r="2101" spans="2:9" x14ac:dyDescent="0.25">
      <c r="B2101" s="1">
        <v>38233</v>
      </c>
      <c r="C2101" s="2">
        <v>1634.1</v>
      </c>
      <c r="D2101" s="2">
        <v>1629.65</v>
      </c>
      <c r="E2101" s="2">
        <v>1636.1</v>
      </c>
      <c r="F2101" s="2">
        <v>1622.1</v>
      </c>
      <c r="G2101" s="3">
        <f t="shared" si="98"/>
        <v>2.9460504511138463E-3</v>
      </c>
      <c r="H2101" s="2">
        <f t="shared" si="96"/>
        <v>14</v>
      </c>
      <c r="I2101" s="3">
        <f t="shared" si="97"/>
        <v>8.590801705887767E-3</v>
      </c>
    </row>
    <row r="2102" spans="2:9" x14ac:dyDescent="0.25">
      <c r="B2102" s="1">
        <v>38236</v>
      </c>
      <c r="C2102" s="2">
        <v>1644</v>
      </c>
      <c r="D2102" s="2">
        <v>1634.6</v>
      </c>
      <c r="E2102" s="2">
        <v>1649.15</v>
      </c>
      <c r="F2102" s="2">
        <v>1634.45</v>
      </c>
      <c r="G2102" s="3">
        <f t="shared" si="98"/>
        <v>6.058380760051385E-3</v>
      </c>
      <c r="H2102" s="2">
        <f t="shared" si="96"/>
        <v>14.700000000000045</v>
      </c>
      <c r="I2102" s="3">
        <f t="shared" si="97"/>
        <v>8.9930258167135978E-3</v>
      </c>
    </row>
    <row r="2103" spans="2:9" x14ac:dyDescent="0.25">
      <c r="B2103" s="1">
        <v>38237</v>
      </c>
      <c r="C2103" s="2">
        <v>1650.15</v>
      </c>
      <c r="D2103" s="2">
        <v>1643.95</v>
      </c>
      <c r="E2103" s="2">
        <v>1653.15</v>
      </c>
      <c r="F2103" s="2">
        <v>1641.8</v>
      </c>
      <c r="G2103" s="3">
        <f t="shared" si="98"/>
        <v>3.740875912408903E-3</v>
      </c>
      <c r="H2103" s="2">
        <f t="shared" si="96"/>
        <v>11.350000000000136</v>
      </c>
      <c r="I2103" s="3">
        <f t="shared" si="97"/>
        <v>6.9041029228383687E-3</v>
      </c>
    </row>
    <row r="2104" spans="2:9" x14ac:dyDescent="0.25">
      <c r="B2104" s="1">
        <v>38238</v>
      </c>
      <c r="C2104" s="2">
        <v>1656.25</v>
      </c>
      <c r="D2104" s="2">
        <v>1650.6</v>
      </c>
      <c r="E2104" s="2">
        <v>1658.85</v>
      </c>
      <c r="F2104" s="2">
        <v>1648.25</v>
      </c>
      <c r="G2104" s="3">
        <f t="shared" si="98"/>
        <v>3.6966336393660093E-3</v>
      </c>
      <c r="H2104" s="2">
        <f t="shared" si="96"/>
        <v>10.599999999999909</v>
      </c>
      <c r="I2104" s="3">
        <f t="shared" si="97"/>
        <v>6.4219071852659095E-3</v>
      </c>
    </row>
    <row r="2105" spans="2:9" x14ac:dyDescent="0.25">
      <c r="B2105" s="1">
        <v>38239</v>
      </c>
      <c r="C2105" s="2">
        <v>1649</v>
      </c>
      <c r="D2105" s="2">
        <v>1656.25</v>
      </c>
      <c r="E2105" s="2">
        <v>1662.4</v>
      </c>
      <c r="F2105" s="2">
        <v>1640.25</v>
      </c>
      <c r="G2105" s="3">
        <f t="shared" si="98"/>
        <v>-4.3773584905660856E-3</v>
      </c>
      <c r="H2105" s="2">
        <f t="shared" si="96"/>
        <v>22.150000000000091</v>
      </c>
      <c r="I2105" s="3">
        <f t="shared" si="97"/>
        <v>1.3373584905660433E-2</v>
      </c>
    </row>
    <row r="2106" spans="2:9" x14ac:dyDescent="0.25">
      <c r="B2106" s="1">
        <v>38240</v>
      </c>
      <c r="C2106" s="2">
        <v>1668.75</v>
      </c>
      <c r="D2106" s="2">
        <v>1649.45</v>
      </c>
      <c r="E2106" s="2">
        <v>1670.95</v>
      </c>
      <c r="F2106" s="2">
        <v>1642.35</v>
      </c>
      <c r="G2106" s="3">
        <f t="shared" si="98"/>
        <v>1.1976955730745864E-2</v>
      </c>
      <c r="H2106" s="2">
        <f t="shared" si="96"/>
        <v>28.600000000000136</v>
      </c>
      <c r="I2106" s="3">
        <f t="shared" si="97"/>
        <v>1.7339113037679307E-2</v>
      </c>
    </row>
    <row r="2107" spans="2:9" x14ac:dyDescent="0.25">
      <c r="B2107" s="1">
        <v>38243</v>
      </c>
      <c r="C2107" s="2">
        <v>1675.2</v>
      </c>
      <c r="D2107" s="2">
        <v>1668.25</v>
      </c>
      <c r="E2107" s="2">
        <v>1681.75</v>
      </c>
      <c r="F2107" s="2">
        <v>1668.05</v>
      </c>
      <c r="G2107" s="3">
        <f t="shared" si="98"/>
        <v>3.8651685393258362E-3</v>
      </c>
      <c r="H2107" s="2">
        <f t="shared" si="96"/>
        <v>13.700000000000045</v>
      </c>
      <c r="I2107" s="3">
        <f t="shared" si="97"/>
        <v>8.2121984115090928E-3</v>
      </c>
    </row>
    <row r="2108" spans="2:9" x14ac:dyDescent="0.25">
      <c r="B2108" s="1">
        <v>38244</v>
      </c>
      <c r="C2108" s="2">
        <v>1685.55</v>
      </c>
      <c r="D2108" s="2">
        <v>1675.2</v>
      </c>
      <c r="E2108" s="2">
        <v>1686.8</v>
      </c>
      <c r="F2108" s="2">
        <v>1668.45</v>
      </c>
      <c r="G2108" s="3">
        <f t="shared" si="98"/>
        <v>6.178366762177534E-3</v>
      </c>
      <c r="H2108" s="2">
        <f t="shared" si="96"/>
        <v>18.349999999999909</v>
      </c>
      <c r="I2108" s="3">
        <f t="shared" si="97"/>
        <v>1.0953915950334233E-2</v>
      </c>
    </row>
    <row r="2109" spans="2:9" x14ac:dyDescent="0.25">
      <c r="B2109" s="1">
        <v>38245</v>
      </c>
      <c r="C2109" s="2">
        <v>1683.2</v>
      </c>
      <c r="D2109" s="2">
        <v>1685.7</v>
      </c>
      <c r="E2109" s="2">
        <v>1694.45</v>
      </c>
      <c r="F2109" s="2">
        <v>1675.85</v>
      </c>
      <c r="G2109" s="3">
        <f t="shared" si="98"/>
        <v>-1.3942036723917361E-3</v>
      </c>
      <c r="H2109" s="2">
        <f t="shared" si="96"/>
        <v>18.600000000000136</v>
      </c>
      <c r="I2109" s="3">
        <f t="shared" si="97"/>
        <v>1.1033991813490025E-2</v>
      </c>
    </row>
    <row r="2110" spans="2:9" x14ac:dyDescent="0.25">
      <c r="B2110" s="1">
        <v>38246</v>
      </c>
      <c r="C2110" s="2">
        <v>1705.7</v>
      </c>
      <c r="D2110" s="2">
        <v>1683.6</v>
      </c>
      <c r="E2110" s="2">
        <v>1708</v>
      </c>
      <c r="F2110" s="2">
        <v>1677.35</v>
      </c>
      <c r="G2110" s="3">
        <f t="shared" si="98"/>
        <v>1.3367395437262397E-2</v>
      </c>
      <c r="H2110" s="2">
        <f t="shared" si="96"/>
        <v>30.650000000000091</v>
      </c>
      <c r="I2110" s="3">
        <f t="shared" si="97"/>
        <v>1.8205036825849424E-2</v>
      </c>
    </row>
    <row r="2111" spans="2:9" x14ac:dyDescent="0.25">
      <c r="B2111" s="1">
        <v>38247</v>
      </c>
      <c r="C2111" s="2">
        <v>1733.65</v>
      </c>
      <c r="D2111" s="2">
        <v>1702.7</v>
      </c>
      <c r="E2111" s="2">
        <v>1736.4</v>
      </c>
      <c r="F2111" s="2">
        <v>1702.7</v>
      </c>
      <c r="G2111" s="3">
        <f t="shared" si="98"/>
        <v>1.638623439057274E-2</v>
      </c>
      <c r="H2111" s="2">
        <f t="shared" si="96"/>
        <v>33.700000000000045</v>
      </c>
      <c r="I2111" s="3">
        <f t="shared" si="97"/>
        <v>1.9792094908087181E-2</v>
      </c>
    </row>
    <row r="2112" spans="2:9" x14ac:dyDescent="0.25">
      <c r="B2112" s="1">
        <v>38250</v>
      </c>
      <c r="C2112" s="2">
        <v>1728.8</v>
      </c>
      <c r="D2112" s="2">
        <v>1734.05</v>
      </c>
      <c r="E2112" s="2">
        <v>1741.55</v>
      </c>
      <c r="F2112" s="2">
        <v>1725.3</v>
      </c>
      <c r="G2112" s="3">
        <f t="shared" si="98"/>
        <v>-2.7975658293196703E-3</v>
      </c>
      <c r="H2112" s="2">
        <f t="shared" si="96"/>
        <v>16.25</v>
      </c>
      <c r="I2112" s="3">
        <f t="shared" si="97"/>
        <v>9.3711254000749689E-3</v>
      </c>
    </row>
    <row r="2113" spans="2:9" x14ac:dyDescent="0.25">
      <c r="B2113" s="1">
        <v>38251</v>
      </c>
      <c r="C2113" s="2">
        <v>1750.2</v>
      </c>
      <c r="D2113" s="2">
        <v>1728.75</v>
      </c>
      <c r="E2113" s="2">
        <v>1753</v>
      </c>
      <c r="F2113" s="2">
        <v>1724.7</v>
      </c>
      <c r="G2113" s="3">
        <f t="shared" si="98"/>
        <v>1.2378528459046745E-2</v>
      </c>
      <c r="H2113" s="2">
        <f t="shared" si="96"/>
        <v>28.299999999999955</v>
      </c>
      <c r="I2113" s="3">
        <f t="shared" si="97"/>
        <v>1.6370209689081681E-2</v>
      </c>
    </row>
    <row r="2114" spans="2:9" x14ac:dyDescent="0.25">
      <c r="B2114" s="1">
        <v>38252</v>
      </c>
      <c r="C2114" s="2">
        <v>1753.9</v>
      </c>
      <c r="D2114" s="2">
        <v>1749.75</v>
      </c>
      <c r="E2114" s="2">
        <v>1760.8</v>
      </c>
      <c r="F2114" s="2">
        <v>1736.3</v>
      </c>
      <c r="G2114" s="3">
        <f t="shared" si="98"/>
        <v>2.1140441092446505E-3</v>
      </c>
      <c r="H2114" s="2">
        <f t="shared" si="96"/>
        <v>24.5</v>
      </c>
      <c r="I2114" s="3">
        <f t="shared" si="97"/>
        <v>1.4002000285755108E-2</v>
      </c>
    </row>
    <row r="2115" spans="2:9" x14ac:dyDescent="0.25">
      <c r="B2115" s="1">
        <v>38253</v>
      </c>
      <c r="C2115" s="2">
        <v>1726.15</v>
      </c>
      <c r="D2115" s="2">
        <v>1753.1</v>
      </c>
      <c r="E2115" s="2">
        <v>1753.15</v>
      </c>
      <c r="F2115" s="2">
        <v>1723.4</v>
      </c>
      <c r="G2115" s="3">
        <f t="shared" si="98"/>
        <v>-1.58218826614972E-2</v>
      </c>
      <c r="H2115" s="2">
        <f t="shared" si="96"/>
        <v>29.75</v>
      </c>
      <c r="I2115" s="3">
        <f t="shared" si="97"/>
        <v>1.6969938965261538E-2</v>
      </c>
    </row>
    <row r="2116" spans="2:9" x14ac:dyDescent="0.25">
      <c r="B2116" s="1">
        <v>38254</v>
      </c>
      <c r="C2116" s="2">
        <v>1722.5</v>
      </c>
      <c r="D2116" s="2">
        <v>1726.15</v>
      </c>
      <c r="E2116" s="2">
        <v>1736.9</v>
      </c>
      <c r="F2116" s="2">
        <v>1717.2</v>
      </c>
      <c r="G2116" s="3">
        <f t="shared" si="98"/>
        <v>-2.1145323407584238E-3</v>
      </c>
      <c r="H2116" s="2">
        <f t="shared" si="96"/>
        <v>19.700000000000045</v>
      </c>
      <c r="I2116" s="3">
        <f t="shared" si="97"/>
        <v>1.1412681400805286E-2</v>
      </c>
    </row>
    <row r="2117" spans="2:9" x14ac:dyDescent="0.25">
      <c r="B2117" s="1">
        <v>38257</v>
      </c>
      <c r="C2117" s="2">
        <v>1717.5</v>
      </c>
      <c r="D2117" s="2">
        <v>1722.4</v>
      </c>
      <c r="E2117" s="2">
        <v>1726.15</v>
      </c>
      <c r="F2117" s="2">
        <v>1707.95</v>
      </c>
      <c r="G2117" s="3">
        <f t="shared" si="98"/>
        <v>-2.9027576197387939E-3</v>
      </c>
      <c r="H2117" s="2">
        <f t="shared" ref="H2117:H2180" si="99">E2117-F2117</f>
        <v>18.200000000000045</v>
      </c>
      <c r="I2117" s="3">
        <f t="shared" si="97"/>
        <v>1.0566651184393894E-2</v>
      </c>
    </row>
    <row r="2118" spans="2:9" x14ac:dyDescent="0.25">
      <c r="B2118" s="1">
        <v>38258</v>
      </c>
      <c r="C2118" s="2">
        <v>1700.25</v>
      </c>
      <c r="D2118" s="2">
        <v>1717.45</v>
      </c>
      <c r="E2118" s="2">
        <v>1717.9</v>
      </c>
      <c r="F2118" s="2">
        <v>1697.4</v>
      </c>
      <c r="G2118" s="3">
        <f t="shared" si="98"/>
        <v>-1.0043668122270755E-2</v>
      </c>
      <c r="H2118" s="2">
        <f t="shared" si="99"/>
        <v>20.5</v>
      </c>
      <c r="I2118" s="3">
        <f t="shared" ref="I2118:I2181" si="100">H2118/D2118</f>
        <v>1.1936300911234678E-2</v>
      </c>
    </row>
    <row r="2119" spans="2:9" x14ac:dyDescent="0.25">
      <c r="B2119" s="1">
        <v>38259</v>
      </c>
      <c r="C2119" s="2">
        <v>1727.95</v>
      </c>
      <c r="D2119" s="2">
        <v>1700.55</v>
      </c>
      <c r="E2119" s="2">
        <v>1730.3</v>
      </c>
      <c r="F2119" s="2">
        <v>1695.7</v>
      </c>
      <c r="G2119" s="3">
        <f t="shared" ref="G2119:G2182" si="101">C2119/C2118-1</f>
        <v>1.6291721805616888E-2</v>
      </c>
      <c r="H2119" s="2">
        <f t="shared" si="99"/>
        <v>34.599999999999909</v>
      </c>
      <c r="I2119" s="3">
        <f t="shared" si="100"/>
        <v>2.0346358531063428E-2</v>
      </c>
    </row>
    <row r="2120" spans="2:9" x14ac:dyDescent="0.25">
      <c r="B2120" s="1">
        <v>38260</v>
      </c>
      <c r="C2120" s="2">
        <v>1745.5</v>
      </c>
      <c r="D2120" s="2">
        <v>1728.3</v>
      </c>
      <c r="E2120" s="2">
        <v>1748.2</v>
      </c>
      <c r="F2120" s="2">
        <v>1728.2</v>
      </c>
      <c r="G2120" s="3">
        <f t="shared" si="101"/>
        <v>1.0156543881478131E-2</v>
      </c>
      <c r="H2120" s="2">
        <f t="shared" si="99"/>
        <v>20</v>
      </c>
      <c r="I2120" s="3">
        <f t="shared" si="100"/>
        <v>1.1572065035005496E-2</v>
      </c>
    </row>
    <row r="2121" spans="2:9" x14ac:dyDescent="0.25">
      <c r="B2121" s="1">
        <v>38261</v>
      </c>
      <c r="C2121" s="2">
        <v>1775.15</v>
      </c>
      <c r="D2121" s="2">
        <v>1744.4</v>
      </c>
      <c r="E2121" s="2">
        <v>1778.65</v>
      </c>
      <c r="F2121" s="2">
        <v>1737.85</v>
      </c>
      <c r="G2121" s="3">
        <f t="shared" si="101"/>
        <v>1.6986536808937247E-2</v>
      </c>
      <c r="H2121" s="2">
        <f t="shared" si="99"/>
        <v>40.800000000000182</v>
      </c>
      <c r="I2121" s="3">
        <f t="shared" si="100"/>
        <v>2.3389130933272287E-2</v>
      </c>
    </row>
    <row r="2122" spans="2:9" x14ac:dyDescent="0.25">
      <c r="B2122" s="1">
        <v>38264</v>
      </c>
      <c r="C2122" s="2">
        <v>1805.65</v>
      </c>
      <c r="D2122" s="2">
        <v>1776.75</v>
      </c>
      <c r="E2122" s="2">
        <v>1813.9</v>
      </c>
      <c r="F2122" s="2">
        <v>1775.45</v>
      </c>
      <c r="G2122" s="3">
        <f t="shared" si="101"/>
        <v>1.7181646621412305E-2</v>
      </c>
      <c r="H2122" s="2">
        <f t="shared" si="99"/>
        <v>38.450000000000045</v>
      </c>
      <c r="I2122" s="3">
        <f t="shared" si="100"/>
        <v>2.1640635992683295E-2</v>
      </c>
    </row>
    <row r="2123" spans="2:9" x14ac:dyDescent="0.25">
      <c r="B2123" s="1">
        <v>38265</v>
      </c>
      <c r="C2123" s="2">
        <v>1812.45</v>
      </c>
      <c r="D2123" s="2">
        <v>1805.85</v>
      </c>
      <c r="E2123" s="2">
        <v>1816.55</v>
      </c>
      <c r="F2123" s="2">
        <v>1798.6</v>
      </c>
      <c r="G2123" s="3">
        <f t="shared" si="101"/>
        <v>3.7659568576413616E-3</v>
      </c>
      <c r="H2123" s="2">
        <f t="shared" si="99"/>
        <v>17.950000000000045</v>
      </c>
      <c r="I2123" s="3">
        <f t="shared" si="100"/>
        <v>9.9399174903785185E-3</v>
      </c>
    </row>
    <row r="2124" spans="2:9" x14ac:dyDescent="0.25">
      <c r="B2124" s="1">
        <v>38266</v>
      </c>
      <c r="C2124" s="2">
        <v>1794.9</v>
      </c>
      <c r="D2124" s="2">
        <v>1811.7</v>
      </c>
      <c r="E2124" s="2">
        <v>1824.8</v>
      </c>
      <c r="F2124" s="2">
        <v>1790.6</v>
      </c>
      <c r="G2124" s="3">
        <f t="shared" si="101"/>
        <v>-9.6830257386409935E-3</v>
      </c>
      <c r="H2124" s="2">
        <f t="shared" si="99"/>
        <v>34.200000000000045</v>
      </c>
      <c r="I2124" s="3">
        <f t="shared" si="100"/>
        <v>1.8877297565822182E-2</v>
      </c>
    </row>
    <row r="2125" spans="2:9" x14ac:dyDescent="0.25">
      <c r="B2125" s="1">
        <v>38267</v>
      </c>
      <c r="C2125" s="2">
        <v>1815.7</v>
      </c>
      <c r="D2125" s="2">
        <v>1793</v>
      </c>
      <c r="E2125" s="2">
        <v>1821.85</v>
      </c>
      <c r="F2125" s="2">
        <v>1793</v>
      </c>
      <c r="G2125" s="3">
        <f t="shared" si="101"/>
        <v>1.1588389325310589E-2</v>
      </c>
      <c r="H2125" s="2">
        <f t="shared" si="99"/>
        <v>28.849999999999909</v>
      </c>
      <c r="I2125" s="3">
        <f t="shared" si="100"/>
        <v>1.6090351366424935E-2</v>
      </c>
    </row>
    <row r="2126" spans="2:9" x14ac:dyDescent="0.25">
      <c r="B2126" s="1">
        <v>38268</v>
      </c>
      <c r="C2126" s="2">
        <v>1820.2</v>
      </c>
      <c r="D2126" s="2">
        <v>1815.65</v>
      </c>
      <c r="E2126" s="2">
        <v>1825.15</v>
      </c>
      <c r="F2126" s="2">
        <v>1808.75</v>
      </c>
      <c r="G2126" s="3">
        <f t="shared" si="101"/>
        <v>2.4783829927852441E-3</v>
      </c>
      <c r="H2126" s="2">
        <f t="shared" si="99"/>
        <v>16.400000000000091</v>
      </c>
      <c r="I2126" s="3">
        <f t="shared" si="100"/>
        <v>9.0325778646766115E-3</v>
      </c>
    </row>
    <row r="2127" spans="2:9" x14ac:dyDescent="0.25">
      <c r="B2127" s="1">
        <v>38269</v>
      </c>
      <c r="C2127" s="2">
        <v>1817.8</v>
      </c>
      <c r="D2127" s="2">
        <v>1812.85</v>
      </c>
      <c r="E2127" s="2">
        <v>1824.9</v>
      </c>
      <c r="F2127" s="2">
        <v>1812.8</v>
      </c>
      <c r="G2127" s="3">
        <f t="shared" si="101"/>
        <v>-1.3185364245688058E-3</v>
      </c>
      <c r="H2127" s="2">
        <f t="shared" si="99"/>
        <v>12.100000000000136</v>
      </c>
      <c r="I2127" s="3">
        <f t="shared" si="100"/>
        <v>6.6745731858676325E-3</v>
      </c>
    </row>
    <row r="2128" spans="2:9" x14ac:dyDescent="0.25">
      <c r="B2128" s="1">
        <v>38271</v>
      </c>
      <c r="C2128" s="2">
        <v>1807.75</v>
      </c>
      <c r="D2128" s="2">
        <v>1817.85</v>
      </c>
      <c r="E2128" s="2">
        <v>1829.45</v>
      </c>
      <c r="F2128" s="2">
        <v>1803.5</v>
      </c>
      <c r="G2128" s="3">
        <f t="shared" si="101"/>
        <v>-5.5286610188138852E-3</v>
      </c>
      <c r="H2128" s="2">
        <f t="shared" si="99"/>
        <v>25.950000000000045</v>
      </c>
      <c r="I2128" s="3">
        <f t="shared" si="100"/>
        <v>1.4275105206700249E-2</v>
      </c>
    </row>
    <row r="2129" spans="2:9" x14ac:dyDescent="0.25">
      <c r="B2129" s="1">
        <v>38272</v>
      </c>
      <c r="C2129" s="2">
        <v>1786.9</v>
      </c>
      <c r="D2129" s="2">
        <v>1808.45</v>
      </c>
      <c r="E2129" s="2">
        <v>1820.9</v>
      </c>
      <c r="F2129" s="2">
        <v>1783.05</v>
      </c>
      <c r="G2129" s="3">
        <f t="shared" si="101"/>
        <v>-1.1533674457198106E-2</v>
      </c>
      <c r="H2129" s="2">
        <f t="shared" si="99"/>
        <v>37.850000000000136</v>
      </c>
      <c r="I2129" s="3">
        <f t="shared" si="100"/>
        <v>2.0929525284083129E-2</v>
      </c>
    </row>
    <row r="2130" spans="2:9" x14ac:dyDescent="0.25">
      <c r="B2130" s="1">
        <v>38274</v>
      </c>
      <c r="C2130" s="2">
        <v>1794.75</v>
      </c>
      <c r="D2130" s="2">
        <v>1784.8</v>
      </c>
      <c r="E2130" s="2">
        <v>1805.7</v>
      </c>
      <c r="F2130" s="2">
        <v>1773</v>
      </c>
      <c r="G2130" s="3">
        <f t="shared" si="101"/>
        <v>4.3930829928926496E-3</v>
      </c>
      <c r="H2130" s="2">
        <f t="shared" si="99"/>
        <v>32.700000000000045</v>
      </c>
      <c r="I2130" s="3">
        <f t="shared" si="100"/>
        <v>1.8321380546840009E-2</v>
      </c>
    </row>
    <row r="2131" spans="2:9" x14ac:dyDescent="0.25">
      <c r="B2131" s="1">
        <v>38275</v>
      </c>
      <c r="C2131" s="2">
        <v>1795</v>
      </c>
      <c r="D2131" s="2">
        <v>1794.8</v>
      </c>
      <c r="E2131" s="2">
        <v>1814.05</v>
      </c>
      <c r="F2131" s="2">
        <v>1789.55</v>
      </c>
      <c r="G2131" s="3">
        <f t="shared" si="101"/>
        <v>1.3929516645783124E-4</v>
      </c>
      <c r="H2131" s="2">
        <f t="shared" si="99"/>
        <v>24.5</v>
      </c>
      <c r="I2131" s="3">
        <f t="shared" si="100"/>
        <v>1.3650546021840874E-2</v>
      </c>
    </row>
    <row r="2132" spans="2:9" x14ac:dyDescent="0.25">
      <c r="B2132" s="1">
        <v>38278</v>
      </c>
      <c r="C2132" s="2">
        <v>1786</v>
      </c>
      <c r="D2132" s="2">
        <v>1796.05</v>
      </c>
      <c r="E2132" s="2">
        <v>1806.15</v>
      </c>
      <c r="F2132" s="2">
        <v>1782.95</v>
      </c>
      <c r="G2132" s="3">
        <f t="shared" si="101"/>
        <v>-5.0139275766016844E-3</v>
      </c>
      <c r="H2132" s="2">
        <f t="shared" si="99"/>
        <v>23.200000000000045</v>
      </c>
      <c r="I2132" s="3">
        <f t="shared" si="100"/>
        <v>1.2917235043567855E-2</v>
      </c>
    </row>
    <row r="2133" spans="2:9" x14ac:dyDescent="0.25">
      <c r="B2133" s="1">
        <v>38279</v>
      </c>
      <c r="C2133" s="2">
        <v>1808.4</v>
      </c>
      <c r="D2133" s="2">
        <v>1787.2</v>
      </c>
      <c r="E2133" s="2">
        <v>1813.9</v>
      </c>
      <c r="F2133" s="2">
        <v>1787.2</v>
      </c>
      <c r="G2133" s="3">
        <f t="shared" si="101"/>
        <v>1.2541993281075081E-2</v>
      </c>
      <c r="H2133" s="2">
        <f t="shared" si="99"/>
        <v>26.700000000000045</v>
      </c>
      <c r="I2133" s="3">
        <f t="shared" si="100"/>
        <v>1.493957027752912E-2</v>
      </c>
    </row>
    <row r="2134" spans="2:9" x14ac:dyDescent="0.25">
      <c r="B2134" s="1">
        <v>38280</v>
      </c>
      <c r="C2134" s="2">
        <v>1790.05</v>
      </c>
      <c r="D2134" s="2">
        <v>1808.6</v>
      </c>
      <c r="E2134" s="2">
        <v>1815.2</v>
      </c>
      <c r="F2134" s="2">
        <v>1785.45</v>
      </c>
      <c r="G2134" s="3">
        <f t="shared" si="101"/>
        <v>-1.014709135147096E-2</v>
      </c>
      <c r="H2134" s="2">
        <f t="shared" si="99"/>
        <v>29.75</v>
      </c>
      <c r="I2134" s="3">
        <f t="shared" si="100"/>
        <v>1.6449187216631651E-2</v>
      </c>
    </row>
    <row r="2135" spans="2:9" x14ac:dyDescent="0.25">
      <c r="B2135" s="1">
        <v>38281</v>
      </c>
      <c r="C2135" s="2">
        <v>1779.75</v>
      </c>
      <c r="D2135" s="2">
        <v>1790.35</v>
      </c>
      <c r="E2135" s="2">
        <v>1795.4</v>
      </c>
      <c r="F2135" s="2">
        <v>1772.4</v>
      </c>
      <c r="G2135" s="3">
        <f t="shared" si="101"/>
        <v>-5.7540292170609186E-3</v>
      </c>
      <c r="H2135" s="2">
        <f t="shared" si="99"/>
        <v>23</v>
      </c>
      <c r="I2135" s="3">
        <f t="shared" si="100"/>
        <v>1.2846650096349877E-2</v>
      </c>
    </row>
    <row r="2136" spans="2:9" x14ac:dyDescent="0.25">
      <c r="B2136" s="1">
        <v>38285</v>
      </c>
      <c r="C2136" s="2">
        <v>1757.25</v>
      </c>
      <c r="D2136" s="2">
        <v>1780</v>
      </c>
      <c r="E2136" s="2">
        <v>1783.55</v>
      </c>
      <c r="F2136" s="2">
        <v>1753.5</v>
      </c>
      <c r="G2136" s="3">
        <f t="shared" si="101"/>
        <v>-1.2642225031605614E-2</v>
      </c>
      <c r="H2136" s="2">
        <f t="shared" si="99"/>
        <v>30.049999999999955</v>
      </c>
      <c r="I2136" s="3">
        <f t="shared" si="100"/>
        <v>1.6882022471910087E-2</v>
      </c>
    </row>
    <row r="2137" spans="2:9" x14ac:dyDescent="0.25">
      <c r="B2137" s="1">
        <v>38286</v>
      </c>
      <c r="C2137" s="2">
        <v>1781.05</v>
      </c>
      <c r="D2137" s="2">
        <v>1777.85</v>
      </c>
      <c r="E2137" s="2">
        <v>1782.1</v>
      </c>
      <c r="F2137" s="2">
        <v>1750.3</v>
      </c>
      <c r="G2137" s="3">
        <f t="shared" si="101"/>
        <v>1.3543889600227565E-2</v>
      </c>
      <c r="H2137" s="2">
        <f t="shared" si="99"/>
        <v>31.799999999999955</v>
      </c>
      <c r="I2137" s="3">
        <f t="shared" si="100"/>
        <v>1.7886773349832637E-2</v>
      </c>
    </row>
    <row r="2138" spans="2:9" x14ac:dyDescent="0.25">
      <c r="B2138" s="1">
        <v>38287</v>
      </c>
      <c r="C2138" s="2">
        <v>1783.85</v>
      </c>
      <c r="D2138" s="2">
        <v>1781.15</v>
      </c>
      <c r="E2138" s="2">
        <v>1797.55</v>
      </c>
      <c r="F2138" s="2">
        <v>1774.2</v>
      </c>
      <c r="G2138" s="3">
        <f t="shared" si="101"/>
        <v>1.5721063417646342E-3</v>
      </c>
      <c r="H2138" s="2">
        <f t="shared" si="99"/>
        <v>23.349999999999909</v>
      </c>
      <c r="I2138" s="3">
        <f t="shared" si="100"/>
        <v>1.3109507902197967E-2</v>
      </c>
    </row>
    <row r="2139" spans="2:9" x14ac:dyDescent="0.25">
      <c r="B2139" s="1">
        <v>38288</v>
      </c>
      <c r="C2139" s="2">
        <v>1800.1</v>
      </c>
      <c r="D2139" s="2">
        <v>1783.9</v>
      </c>
      <c r="E2139" s="2">
        <v>1808.15</v>
      </c>
      <c r="F2139" s="2">
        <v>1783.9</v>
      </c>
      <c r="G2139" s="3">
        <f t="shared" si="101"/>
        <v>9.1095103287832657E-3</v>
      </c>
      <c r="H2139" s="2">
        <f t="shared" si="99"/>
        <v>24.25</v>
      </c>
      <c r="I2139" s="3">
        <f t="shared" si="100"/>
        <v>1.3593811312293289E-2</v>
      </c>
    </row>
    <row r="2140" spans="2:9" x14ac:dyDescent="0.25">
      <c r="B2140" s="1">
        <v>38289</v>
      </c>
      <c r="C2140" s="2">
        <v>1786.9</v>
      </c>
      <c r="D2140" s="2">
        <v>1800.85</v>
      </c>
      <c r="E2140" s="2">
        <v>1808.85</v>
      </c>
      <c r="F2140" s="2">
        <v>1783.1</v>
      </c>
      <c r="G2140" s="3">
        <f t="shared" si="101"/>
        <v>-7.3329259485582776E-3</v>
      </c>
      <c r="H2140" s="2">
        <f t="shared" si="99"/>
        <v>25.75</v>
      </c>
      <c r="I2140" s="3">
        <f t="shared" si="100"/>
        <v>1.429880334286587E-2</v>
      </c>
    </row>
    <row r="2141" spans="2:9" x14ac:dyDescent="0.25">
      <c r="B2141" s="1">
        <v>38292</v>
      </c>
      <c r="C2141" s="2">
        <v>1797.75</v>
      </c>
      <c r="D2141" s="2">
        <v>1787.3</v>
      </c>
      <c r="E2141" s="2">
        <v>1800.25</v>
      </c>
      <c r="F2141" s="2">
        <v>1776.7</v>
      </c>
      <c r="G2141" s="3">
        <f t="shared" si="101"/>
        <v>6.0719682131065156E-3</v>
      </c>
      <c r="H2141" s="2">
        <f t="shared" si="99"/>
        <v>23.549999999999955</v>
      </c>
      <c r="I2141" s="3">
        <f t="shared" si="100"/>
        <v>1.3176299446091845E-2</v>
      </c>
    </row>
    <row r="2142" spans="2:9" x14ac:dyDescent="0.25">
      <c r="B2142" s="1">
        <v>38293</v>
      </c>
      <c r="C2142" s="2">
        <v>1813.7</v>
      </c>
      <c r="D2142" s="2">
        <v>1798.3</v>
      </c>
      <c r="E2142" s="2">
        <v>1817.1</v>
      </c>
      <c r="F2142" s="2">
        <v>1798.3</v>
      </c>
      <c r="G2142" s="3">
        <f t="shared" si="101"/>
        <v>8.8722013628146357E-3</v>
      </c>
      <c r="H2142" s="2">
        <f t="shared" si="99"/>
        <v>18.799999999999955</v>
      </c>
      <c r="I2142" s="3">
        <f t="shared" si="100"/>
        <v>1.0454317966968779E-2</v>
      </c>
    </row>
    <row r="2143" spans="2:9" x14ac:dyDescent="0.25">
      <c r="B2143" s="1">
        <v>38294</v>
      </c>
      <c r="C2143" s="2">
        <v>1837.4</v>
      </c>
      <c r="D2143" s="2">
        <v>1814.15</v>
      </c>
      <c r="E2143" s="2">
        <v>1838.4</v>
      </c>
      <c r="F2143" s="2">
        <v>1814.15</v>
      </c>
      <c r="G2143" s="3">
        <f t="shared" si="101"/>
        <v>1.3067210674312157E-2</v>
      </c>
      <c r="H2143" s="2">
        <f t="shared" si="99"/>
        <v>24.25</v>
      </c>
      <c r="I2143" s="3">
        <f t="shared" si="100"/>
        <v>1.3367141636579113E-2</v>
      </c>
    </row>
    <row r="2144" spans="2:9" x14ac:dyDescent="0.25">
      <c r="B2144" s="1">
        <v>38295</v>
      </c>
      <c r="C2144" s="2">
        <v>1834.85</v>
      </c>
      <c r="D2144" s="2">
        <v>1837.8</v>
      </c>
      <c r="E2144" s="2">
        <v>1853.05</v>
      </c>
      <c r="F2144" s="2">
        <v>1830.5</v>
      </c>
      <c r="G2144" s="3">
        <f t="shared" si="101"/>
        <v>-1.3878306302385068E-3</v>
      </c>
      <c r="H2144" s="2">
        <f t="shared" si="99"/>
        <v>22.549999999999955</v>
      </c>
      <c r="I2144" s="3">
        <f t="shared" si="100"/>
        <v>1.227010556099682E-2</v>
      </c>
    </row>
    <row r="2145" spans="2:9" x14ac:dyDescent="0.25">
      <c r="B2145" s="1">
        <v>38296</v>
      </c>
      <c r="C2145" s="2">
        <v>1852.3</v>
      </c>
      <c r="D2145" s="2">
        <v>1836.05</v>
      </c>
      <c r="E2145" s="2">
        <v>1854.4</v>
      </c>
      <c r="F2145" s="2">
        <v>1836</v>
      </c>
      <c r="G2145" s="3">
        <f t="shared" si="101"/>
        <v>9.5103141946208947E-3</v>
      </c>
      <c r="H2145" s="2">
        <f t="shared" si="99"/>
        <v>18.400000000000091</v>
      </c>
      <c r="I2145" s="3">
        <f t="shared" si="100"/>
        <v>1.0021513575338412E-2</v>
      </c>
    </row>
    <row r="2146" spans="2:9" x14ac:dyDescent="0.25">
      <c r="B2146" s="1">
        <v>38299</v>
      </c>
      <c r="C2146" s="2">
        <v>1862.8</v>
      </c>
      <c r="D2146" s="2">
        <v>1852.45</v>
      </c>
      <c r="E2146" s="2">
        <v>1871.05</v>
      </c>
      <c r="F2146" s="2">
        <v>1852.45</v>
      </c>
      <c r="G2146" s="3">
        <f t="shared" si="101"/>
        <v>5.6686281919775539E-3</v>
      </c>
      <c r="H2146" s="2">
        <f t="shared" si="99"/>
        <v>18.599999999999909</v>
      </c>
      <c r="I2146" s="3">
        <f t="shared" si="100"/>
        <v>1.0040756835542071E-2</v>
      </c>
    </row>
    <row r="2147" spans="2:9" x14ac:dyDescent="0.25">
      <c r="B2147" s="1">
        <v>38300</v>
      </c>
      <c r="C2147" s="2">
        <v>1858.75</v>
      </c>
      <c r="D2147" s="2">
        <v>1863.55</v>
      </c>
      <c r="E2147" s="2">
        <v>1869.45</v>
      </c>
      <c r="F2147" s="2">
        <v>1853.45</v>
      </c>
      <c r="G2147" s="3">
        <f t="shared" si="101"/>
        <v>-2.1741464462099458E-3</v>
      </c>
      <c r="H2147" s="2">
        <f t="shared" si="99"/>
        <v>16</v>
      </c>
      <c r="I2147" s="3">
        <f t="shared" si="100"/>
        <v>8.5857637305143415E-3</v>
      </c>
    </row>
    <row r="2148" spans="2:9" x14ac:dyDescent="0.25">
      <c r="B2148" s="1">
        <v>38301</v>
      </c>
      <c r="C2148" s="2">
        <v>1876.1</v>
      </c>
      <c r="D2148" s="2">
        <v>1859.65</v>
      </c>
      <c r="E2148" s="2">
        <v>1878.2</v>
      </c>
      <c r="F2148" s="2">
        <v>1857.7</v>
      </c>
      <c r="G2148" s="3">
        <f t="shared" si="101"/>
        <v>9.334229993275045E-3</v>
      </c>
      <c r="H2148" s="2">
        <f t="shared" si="99"/>
        <v>20.5</v>
      </c>
      <c r="I2148" s="3">
        <f t="shared" si="100"/>
        <v>1.1023579705858629E-2</v>
      </c>
    </row>
    <row r="2149" spans="2:9" x14ac:dyDescent="0.25">
      <c r="B2149" s="1">
        <v>38302</v>
      </c>
      <c r="C2149" s="2">
        <v>1870.55</v>
      </c>
      <c r="D2149" s="2">
        <v>1876.45</v>
      </c>
      <c r="E2149" s="2">
        <v>1884.65</v>
      </c>
      <c r="F2149" s="2">
        <v>1866.95</v>
      </c>
      <c r="G2149" s="3">
        <f t="shared" si="101"/>
        <v>-2.9582644848354933E-3</v>
      </c>
      <c r="H2149" s="2">
        <f t="shared" si="99"/>
        <v>17.700000000000045</v>
      </c>
      <c r="I2149" s="3">
        <f t="shared" si="100"/>
        <v>9.4327053745104032E-3</v>
      </c>
    </row>
    <row r="2150" spans="2:9" x14ac:dyDescent="0.25">
      <c r="B2150" s="1">
        <v>38303</v>
      </c>
      <c r="C2150" s="2">
        <v>1872.95</v>
      </c>
      <c r="D2150" s="2">
        <v>1871.9</v>
      </c>
      <c r="E2150" s="2">
        <v>1885.05</v>
      </c>
      <c r="F2150" s="2">
        <v>1866.75</v>
      </c>
      <c r="G2150" s="3">
        <f t="shared" si="101"/>
        <v>1.2830450936891502E-3</v>
      </c>
      <c r="H2150" s="2">
        <f t="shared" si="99"/>
        <v>18.299999999999955</v>
      </c>
      <c r="I2150" s="3">
        <f t="shared" si="100"/>
        <v>9.776163256584194E-3</v>
      </c>
    </row>
    <row r="2151" spans="2:9" x14ac:dyDescent="0.25">
      <c r="B2151" s="1">
        <v>38307</v>
      </c>
      <c r="C2151" s="2">
        <v>1879</v>
      </c>
      <c r="D2151" s="2">
        <v>1872.8</v>
      </c>
      <c r="E2151" s="2">
        <v>1881.4</v>
      </c>
      <c r="F2151" s="2">
        <v>1862.8</v>
      </c>
      <c r="G2151" s="3">
        <f t="shared" si="101"/>
        <v>3.2301983501961118E-3</v>
      </c>
      <c r="H2151" s="2">
        <f t="shared" si="99"/>
        <v>18.600000000000136</v>
      </c>
      <c r="I2151" s="3">
        <f t="shared" si="100"/>
        <v>9.9316531396839696E-3</v>
      </c>
    </row>
    <row r="2152" spans="2:9" x14ac:dyDescent="0.25">
      <c r="B2152" s="1">
        <v>38308</v>
      </c>
      <c r="C2152" s="2">
        <v>1888.65</v>
      </c>
      <c r="D2152" s="2">
        <v>1879.05</v>
      </c>
      <c r="E2152" s="2">
        <v>1892.15</v>
      </c>
      <c r="F2152" s="2">
        <v>1874.35</v>
      </c>
      <c r="G2152" s="3">
        <f t="shared" si="101"/>
        <v>5.1357104843001711E-3</v>
      </c>
      <c r="H2152" s="2">
        <f t="shared" si="99"/>
        <v>17.800000000000182</v>
      </c>
      <c r="I2152" s="3">
        <f t="shared" si="100"/>
        <v>9.4728719299647067E-3</v>
      </c>
    </row>
    <row r="2153" spans="2:9" x14ac:dyDescent="0.25">
      <c r="B2153" s="1">
        <v>38309</v>
      </c>
      <c r="C2153" s="2">
        <v>1892.05</v>
      </c>
      <c r="D2153" s="2">
        <v>1890.45</v>
      </c>
      <c r="E2153" s="2">
        <v>1895.3</v>
      </c>
      <c r="F2153" s="2">
        <v>1880.8</v>
      </c>
      <c r="G2153" s="3">
        <f t="shared" si="101"/>
        <v>1.8002276758530833E-3</v>
      </c>
      <c r="H2153" s="2">
        <f t="shared" si="99"/>
        <v>14.5</v>
      </c>
      <c r="I2153" s="3">
        <f t="shared" si="100"/>
        <v>7.6701314501838183E-3</v>
      </c>
    </row>
    <row r="2154" spans="2:9" x14ac:dyDescent="0.25">
      <c r="B2154" s="1">
        <v>38310</v>
      </c>
      <c r="C2154" s="2">
        <v>1872.35</v>
      </c>
      <c r="D2154" s="2">
        <v>1891.95</v>
      </c>
      <c r="E2154" s="2">
        <v>1898.15</v>
      </c>
      <c r="F2154" s="2">
        <v>1869.35</v>
      </c>
      <c r="G2154" s="3">
        <f t="shared" si="101"/>
        <v>-1.0411986998229428E-2</v>
      </c>
      <c r="H2154" s="2">
        <f t="shared" si="99"/>
        <v>28.800000000000182</v>
      </c>
      <c r="I2154" s="3">
        <f t="shared" si="100"/>
        <v>1.522238959803387E-2</v>
      </c>
    </row>
    <row r="2155" spans="2:9" x14ac:dyDescent="0.25">
      <c r="B2155" s="1">
        <v>38313</v>
      </c>
      <c r="C2155" s="2">
        <v>1873.35</v>
      </c>
      <c r="D2155" s="2">
        <v>1872.55</v>
      </c>
      <c r="E2155" s="2">
        <v>1878.05</v>
      </c>
      <c r="F2155" s="2">
        <v>1845.1</v>
      </c>
      <c r="G2155" s="3">
        <f t="shared" si="101"/>
        <v>5.3408817795808083E-4</v>
      </c>
      <c r="H2155" s="2">
        <f t="shared" si="99"/>
        <v>32.950000000000045</v>
      </c>
      <c r="I2155" s="3">
        <f t="shared" si="100"/>
        <v>1.7596325865798002E-2</v>
      </c>
    </row>
    <row r="2156" spans="2:9" x14ac:dyDescent="0.25">
      <c r="B2156" s="1">
        <v>38314</v>
      </c>
      <c r="C2156" s="2">
        <v>1892.6</v>
      </c>
      <c r="D2156" s="2">
        <v>1873.35</v>
      </c>
      <c r="E2156" s="2">
        <v>1900.05</v>
      </c>
      <c r="F2156" s="2">
        <v>1873.35</v>
      </c>
      <c r="G2156" s="3">
        <f t="shared" si="101"/>
        <v>1.0275709290842538E-2</v>
      </c>
      <c r="H2156" s="2">
        <f t="shared" si="99"/>
        <v>26.700000000000045</v>
      </c>
      <c r="I2156" s="3">
        <f t="shared" si="100"/>
        <v>1.4252542237168734E-2</v>
      </c>
    </row>
    <row r="2157" spans="2:9" x14ac:dyDescent="0.25">
      <c r="B2157" s="1">
        <v>38315</v>
      </c>
      <c r="C2157" s="2">
        <v>1904.05</v>
      </c>
      <c r="D2157" s="2">
        <v>1893.15</v>
      </c>
      <c r="E2157" s="2">
        <v>1907.35</v>
      </c>
      <c r="F2157" s="2">
        <v>1889.85</v>
      </c>
      <c r="G2157" s="3">
        <f t="shared" si="101"/>
        <v>6.0498784740568023E-3</v>
      </c>
      <c r="H2157" s="2">
        <f t="shared" si="99"/>
        <v>17.5</v>
      </c>
      <c r="I2157" s="3">
        <f t="shared" si="100"/>
        <v>9.2438528378628211E-3</v>
      </c>
    </row>
    <row r="2158" spans="2:9" x14ac:dyDescent="0.25">
      <c r="B2158" s="1">
        <v>38316</v>
      </c>
      <c r="C2158" s="2">
        <v>1901.05</v>
      </c>
      <c r="D2158" s="2">
        <v>1904.25</v>
      </c>
      <c r="E2158" s="2">
        <v>1915.8</v>
      </c>
      <c r="F2158" s="2">
        <v>1892.6</v>
      </c>
      <c r="G2158" s="3">
        <f t="shared" si="101"/>
        <v>-1.5755888763425707E-3</v>
      </c>
      <c r="H2158" s="2">
        <f t="shared" si="99"/>
        <v>23.200000000000045</v>
      </c>
      <c r="I2158" s="3">
        <f t="shared" si="100"/>
        <v>1.2183274254956043E-2</v>
      </c>
    </row>
    <row r="2159" spans="2:9" x14ac:dyDescent="0.25">
      <c r="B2159" s="1">
        <v>38320</v>
      </c>
      <c r="C2159" s="2">
        <v>1939.65</v>
      </c>
      <c r="D2159" s="2">
        <v>1899.3</v>
      </c>
      <c r="E2159" s="2">
        <v>1942.95</v>
      </c>
      <c r="F2159" s="2">
        <v>1894.6</v>
      </c>
      <c r="G2159" s="3">
        <f t="shared" si="101"/>
        <v>2.0304568527918843E-2</v>
      </c>
      <c r="H2159" s="2">
        <f t="shared" si="99"/>
        <v>48.350000000000136</v>
      </c>
      <c r="I2159" s="3">
        <f t="shared" si="100"/>
        <v>2.5456747222661051E-2</v>
      </c>
    </row>
    <row r="2160" spans="2:9" x14ac:dyDescent="0.25">
      <c r="B2160" s="1">
        <v>38321</v>
      </c>
      <c r="C2160" s="2">
        <v>1958.8</v>
      </c>
      <c r="D2160" s="2">
        <v>1940.25</v>
      </c>
      <c r="E2160" s="2">
        <v>1963.8</v>
      </c>
      <c r="F2160" s="2">
        <v>1940.25</v>
      </c>
      <c r="G2160" s="3">
        <f t="shared" si="101"/>
        <v>9.8729152166627809E-3</v>
      </c>
      <c r="H2160" s="2">
        <f t="shared" si="99"/>
        <v>23.549999999999955</v>
      </c>
      <c r="I2160" s="3">
        <f t="shared" si="100"/>
        <v>1.2137611132585983E-2</v>
      </c>
    </row>
    <row r="2161" spans="2:9" x14ac:dyDescent="0.25">
      <c r="B2161" s="1">
        <v>38322</v>
      </c>
      <c r="C2161" s="2">
        <v>1962.05</v>
      </c>
      <c r="D2161" s="2">
        <v>1960.75</v>
      </c>
      <c r="E2161" s="2">
        <v>1971.6</v>
      </c>
      <c r="F2161" s="2">
        <v>1944.5</v>
      </c>
      <c r="G2161" s="3">
        <f t="shared" si="101"/>
        <v>1.6591790892384051E-3</v>
      </c>
      <c r="H2161" s="2">
        <f t="shared" si="99"/>
        <v>27.099999999999909</v>
      </c>
      <c r="I2161" s="3">
        <f t="shared" si="100"/>
        <v>1.3821241871732708E-2</v>
      </c>
    </row>
    <row r="2162" spans="2:9" x14ac:dyDescent="0.25">
      <c r="B2162" s="1">
        <v>38323</v>
      </c>
      <c r="C2162" s="2">
        <v>1999</v>
      </c>
      <c r="D2162" s="2">
        <v>1962.75</v>
      </c>
      <c r="E2162" s="2">
        <v>2001.55</v>
      </c>
      <c r="F2162" s="2">
        <v>1962.75</v>
      </c>
      <c r="G2162" s="3">
        <f t="shared" si="101"/>
        <v>1.8832343722127387E-2</v>
      </c>
      <c r="H2162" s="2">
        <f t="shared" si="99"/>
        <v>38.799999999999955</v>
      </c>
      <c r="I2162" s="3">
        <f t="shared" si="100"/>
        <v>1.9768182397146838E-2</v>
      </c>
    </row>
    <row r="2163" spans="2:9" x14ac:dyDescent="0.25">
      <c r="B2163" s="1">
        <v>38324</v>
      </c>
      <c r="C2163" s="2">
        <v>1996.2</v>
      </c>
      <c r="D2163" s="2">
        <v>1991.9</v>
      </c>
      <c r="E2163" s="2">
        <v>2011.9</v>
      </c>
      <c r="F2163" s="2">
        <v>1990.3</v>
      </c>
      <c r="G2163" s="3">
        <f t="shared" si="101"/>
        <v>-1.4007003501750326E-3</v>
      </c>
      <c r="H2163" s="2">
        <f t="shared" si="99"/>
        <v>21.600000000000136</v>
      </c>
      <c r="I2163" s="3">
        <f t="shared" si="100"/>
        <v>1.0843917867362888E-2</v>
      </c>
    </row>
    <row r="2164" spans="2:9" x14ac:dyDescent="0.25">
      <c r="B2164" s="1">
        <v>38327</v>
      </c>
      <c r="C2164" s="2">
        <v>1993.15</v>
      </c>
      <c r="D2164" s="2">
        <v>1996.3</v>
      </c>
      <c r="E2164" s="2">
        <v>2012.25</v>
      </c>
      <c r="F2164" s="2">
        <v>1989.95</v>
      </c>
      <c r="G2164" s="3">
        <f t="shared" si="101"/>
        <v>-1.5279030157299145E-3</v>
      </c>
      <c r="H2164" s="2">
        <f t="shared" si="99"/>
        <v>22.299999999999955</v>
      </c>
      <c r="I2164" s="3">
        <f t="shared" si="100"/>
        <v>1.1170665731603444E-2</v>
      </c>
    </row>
    <row r="2165" spans="2:9" x14ac:dyDescent="0.25">
      <c r="B2165" s="1">
        <v>38328</v>
      </c>
      <c r="C2165" s="2">
        <v>1992.7</v>
      </c>
      <c r="D2165" s="2">
        <v>1990.6</v>
      </c>
      <c r="E2165" s="2">
        <v>2002.6</v>
      </c>
      <c r="F2165" s="2">
        <v>1981.15</v>
      </c>
      <c r="G2165" s="3">
        <f t="shared" si="101"/>
        <v>-2.257732734616269E-4</v>
      </c>
      <c r="H2165" s="2">
        <f t="shared" si="99"/>
        <v>21.449999999999818</v>
      </c>
      <c r="I2165" s="3">
        <f t="shared" si="100"/>
        <v>1.0775645534009755E-2</v>
      </c>
    </row>
    <row r="2166" spans="2:9" x14ac:dyDescent="0.25">
      <c r="B2166" s="1">
        <v>38329</v>
      </c>
      <c r="C2166" s="2">
        <v>1977.95</v>
      </c>
      <c r="D2166" s="2">
        <v>1994.15</v>
      </c>
      <c r="E2166" s="2">
        <v>2009.7</v>
      </c>
      <c r="F2166" s="2">
        <v>1973.15</v>
      </c>
      <c r="G2166" s="3">
        <f t="shared" si="101"/>
        <v>-7.402017363376312E-3</v>
      </c>
      <c r="H2166" s="2">
        <f t="shared" si="99"/>
        <v>36.549999999999955</v>
      </c>
      <c r="I2166" s="3">
        <f t="shared" si="100"/>
        <v>1.8328611187724071E-2</v>
      </c>
    </row>
    <row r="2167" spans="2:9" x14ac:dyDescent="0.25">
      <c r="B2167" s="1">
        <v>38330</v>
      </c>
      <c r="C2167" s="2">
        <v>1989.95</v>
      </c>
      <c r="D2167" s="2">
        <v>1977.8</v>
      </c>
      <c r="E2167" s="2">
        <v>1995.7</v>
      </c>
      <c r="F2167" s="2">
        <v>1964.5</v>
      </c>
      <c r="G2167" s="3">
        <f t="shared" si="101"/>
        <v>6.0668874339593337E-3</v>
      </c>
      <c r="H2167" s="2">
        <f t="shared" si="99"/>
        <v>31.200000000000045</v>
      </c>
      <c r="I2167" s="3">
        <f t="shared" si="100"/>
        <v>1.5775103650520803E-2</v>
      </c>
    </row>
    <row r="2168" spans="2:9" x14ac:dyDescent="0.25">
      <c r="B2168" s="1">
        <v>38331</v>
      </c>
      <c r="C2168" s="2">
        <v>1969</v>
      </c>
      <c r="D2168" s="2">
        <v>1990.2</v>
      </c>
      <c r="E2168" s="2">
        <v>1999.7</v>
      </c>
      <c r="F2168" s="2">
        <v>1964.65</v>
      </c>
      <c r="G2168" s="3">
        <f t="shared" si="101"/>
        <v>-1.0527902711123471E-2</v>
      </c>
      <c r="H2168" s="2">
        <f t="shared" si="99"/>
        <v>35.049999999999955</v>
      </c>
      <c r="I2168" s="3">
        <f t="shared" si="100"/>
        <v>1.7611295347201263E-2</v>
      </c>
    </row>
    <row r="2169" spans="2:9" x14ac:dyDescent="0.25">
      <c r="B2169" s="1">
        <v>38334</v>
      </c>
      <c r="C2169" s="2">
        <v>1985.35</v>
      </c>
      <c r="D2169" s="2">
        <v>1970.6</v>
      </c>
      <c r="E2169" s="2">
        <v>1987</v>
      </c>
      <c r="F2169" s="2">
        <v>1964.8</v>
      </c>
      <c r="G2169" s="3">
        <f t="shared" si="101"/>
        <v>8.3037074657186238E-3</v>
      </c>
      <c r="H2169" s="2">
        <f t="shared" si="99"/>
        <v>22.200000000000045</v>
      </c>
      <c r="I2169" s="3">
        <f t="shared" si="100"/>
        <v>1.126560438445146E-2</v>
      </c>
    </row>
    <row r="2170" spans="2:9" x14ac:dyDescent="0.25">
      <c r="B2170" s="1">
        <v>38335</v>
      </c>
      <c r="C2170" s="2">
        <v>2006.8</v>
      </c>
      <c r="D2170" s="2">
        <v>1985.2</v>
      </c>
      <c r="E2170" s="2">
        <v>2008.8</v>
      </c>
      <c r="F2170" s="2">
        <v>1972.85</v>
      </c>
      <c r="G2170" s="3">
        <f t="shared" si="101"/>
        <v>1.0804140327902001E-2</v>
      </c>
      <c r="H2170" s="2">
        <f t="shared" si="99"/>
        <v>35.950000000000045</v>
      </c>
      <c r="I2170" s="3">
        <f t="shared" si="100"/>
        <v>1.8109006649204132E-2</v>
      </c>
    </row>
    <row r="2171" spans="2:9" x14ac:dyDescent="0.25">
      <c r="B2171" s="1">
        <v>38336</v>
      </c>
      <c r="C2171" s="2">
        <v>2028.7</v>
      </c>
      <c r="D2171" s="2">
        <v>2006.8</v>
      </c>
      <c r="E2171" s="2">
        <v>2034.35</v>
      </c>
      <c r="F2171" s="2">
        <v>2006.8</v>
      </c>
      <c r="G2171" s="3">
        <f t="shared" si="101"/>
        <v>1.0912896153079554E-2</v>
      </c>
      <c r="H2171" s="2">
        <f t="shared" si="99"/>
        <v>27.549999999999955</v>
      </c>
      <c r="I2171" s="3">
        <f t="shared" si="100"/>
        <v>1.3728323699421943E-2</v>
      </c>
    </row>
    <row r="2172" spans="2:9" x14ac:dyDescent="0.25">
      <c r="B2172" s="1">
        <v>38337</v>
      </c>
      <c r="C2172" s="2">
        <v>2033.2</v>
      </c>
      <c r="D2172" s="2">
        <v>2028.8</v>
      </c>
      <c r="E2172" s="2">
        <v>2039.2</v>
      </c>
      <c r="F2172" s="2">
        <v>2019.5</v>
      </c>
      <c r="G2172" s="3">
        <f t="shared" si="101"/>
        <v>2.2181692709617451E-3</v>
      </c>
      <c r="H2172" s="2">
        <f t="shared" si="99"/>
        <v>19.700000000000045</v>
      </c>
      <c r="I2172" s="3">
        <f t="shared" si="100"/>
        <v>9.71017350157731E-3</v>
      </c>
    </row>
    <row r="2173" spans="2:9" x14ac:dyDescent="0.25">
      <c r="B2173" s="1">
        <v>38338</v>
      </c>
      <c r="C2173" s="2">
        <v>2012.1</v>
      </c>
      <c r="D2173" s="2">
        <v>2032.85</v>
      </c>
      <c r="E2173" s="2">
        <v>2037.7</v>
      </c>
      <c r="F2173" s="2">
        <v>2007.2</v>
      </c>
      <c r="G2173" s="3">
        <f t="shared" si="101"/>
        <v>-1.0377729687192638E-2</v>
      </c>
      <c r="H2173" s="2">
        <f t="shared" si="99"/>
        <v>30.5</v>
      </c>
      <c r="I2173" s="3">
        <f t="shared" si="100"/>
        <v>1.500356642152643E-2</v>
      </c>
    </row>
    <row r="2174" spans="2:9" x14ac:dyDescent="0.25">
      <c r="B2174" s="1">
        <v>38341</v>
      </c>
      <c r="C2174" s="2">
        <v>2026.85</v>
      </c>
      <c r="D2174" s="2">
        <v>2012.5</v>
      </c>
      <c r="E2174" s="2">
        <v>2029.5</v>
      </c>
      <c r="F2174" s="2">
        <v>2007.15</v>
      </c>
      <c r="G2174" s="3">
        <f t="shared" si="101"/>
        <v>7.3306495701008778E-3</v>
      </c>
      <c r="H2174" s="2">
        <f t="shared" si="99"/>
        <v>22.349999999999909</v>
      </c>
      <c r="I2174" s="3">
        <f t="shared" si="100"/>
        <v>1.1105590062111755E-2</v>
      </c>
    </row>
    <row r="2175" spans="2:9" x14ac:dyDescent="0.25">
      <c r="B2175" s="1">
        <v>38342</v>
      </c>
      <c r="C2175" s="2">
        <v>2044.65</v>
      </c>
      <c r="D2175" s="2">
        <v>2027.8</v>
      </c>
      <c r="E2175" s="2">
        <v>2047.5</v>
      </c>
      <c r="F2175" s="2">
        <v>2025.25</v>
      </c>
      <c r="G2175" s="3">
        <f t="shared" si="101"/>
        <v>8.782100303426521E-3</v>
      </c>
      <c r="H2175" s="2">
        <f t="shared" si="99"/>
        <v>22.25</v>
      </c>
      <c r="I2175" s="3">
        <f t="shared" si="100"/>
        <v>1.0972482493342539E-2</v>
      </c>
    </row>
    <row r="2176" spans="2:9" x14ac:dyDescent="0.25">
      <c r="B2176" s="1">
        <v>38343</v>
      </c>
      <c r="C2176" s="2">
        <v>2035.35</v>
      </c>
      <c r="D2176" s="2">
        <v>2040.6</v>
      </c>
      <c r="E2176" s="2">
        <v>2053.9</v>
      </c>
      <c r="F2176" s="2">
        <v>2029.85</v>
      </c>
      <c r="G2176" s="3">
        <f t="shared" si="101"/>
        <v>-4.5484557259189984E-3</v>
      </c>
      <c r="H2176" s="2">
        <f t="shared" si="99"/>
        <v>24.050000000000182</v>
      </c>
      <c r="I2176" s="3">
        <f t="shared" si="100"/>
        <v>1.1785749289424769E-2</v>
      </c>
    </row>
    <row r="2177" spans="2:9" x14ac:dyDescent="0.25">
      <c r="B2177" s="1">
        <v>38344</v>
      </c>
      <c r="C2177" s="2">
        <v>2045.15</v>
      </c>
      <c r="D2177" s="2">
        <v>2035.6</v>
      </c>
      <c r="E2177" s="2">
        <v>2049.3000000000002</v>
      </c>
      <c r="F2177" s="2">
        <v>2031.9</v>
      </c>
      <c r="G2177" s="3">
        <f t="shared" si="101"/>
        <v>4.8148967008132537E-3</v>
      </c>
      <c r="H2177" s="2">
        <f t="shared" si="99"/>
        <v>17.400000000000091</v>
      </c>
      <c r="I2177" s="3">
        <f t="shared" si="100"/>
        <v>8.5478483002554978E-3</v>
      </c>
    </row>
    <row r="2178" spans="2:9" x14ac:dyDescent="0.25">
      <c r="B2178" s="1">
        <v>38345</v>
      </c>
      <c r="C2178" s="2">
        <v>2062.6999999999998</v>
      </c>
      <c r="D2178" s="2">
        <v>2045.35</v>
      </c>
      <c r="E2178" s="2">
        <v>2065.6</v>
      </c>
      <c r="F2178" s="2">
        <v>2045.3</v>
      </c>
      <c r="G2178" s="3">
        <f t="shared" si="101"/>
        <v>8.5812776568954252E-3</v>
      </c>
      <c r="H2178" s="2">
        <f t="shared" si="99"/>
        <v>20.299999999999955</v>
      </c>
      <c r="I2178" s="3">
        <f t="shared" si="100"/>
        <v>9.9249517197545437E-3</v>
      </c>
    </row>
    <row r="2179" spans="2:9" x14ac:dyDescent="0.25">
      <c r="B2179" s="1">
        <v>38348</v>
      </c>
      <c r="C2179" s="2">
        <v>2062.6</v>
      </c>
      <c r="D2179" s="2">
        <v>2061.6</v>
      </c>
      <c r="E2179" s="2">
        <v>2079.0500000000002</v>
      </c>
      <c r="F2179" s="2">
        <v>2046.25</v>
      </c>
      <c r="G2179" s="3">
        <f t="shared" si="101"/>
        <v>-4.8480147379570404E-5</v>
      </c>
      <c r="H2179" s="2">
        <f t="shared" si="99"/>
        <v>32.800000000000182</v>
      </c>
      <c r="I2179" s="3">
        <f t="shared" si="100"/>
        <v>1.5909972836631831E-2</v>
      </c>
    </row>
    <row r="2180" spans="2:9" x14ac:dyDescent="0.25">
      <c r="B2180" s="1">
        <v>38349</v>
      </c>
      <c r="C2180" s="2">
        <v>2071.35</v>
      </c>
      <c r="D2180" s="2">
        <v>2063.6</v>
      </c>
      <c r="E2180" s="2">
        <v>2074.6</v>
      </c>
      <c r="F2180" s="2">
        <v>2060.0500000000002</v>
      </c>
      <c r="G2180" s="3">
        <f t="shared" si="101"/>
        <v>4.2422185591002304E-3</v>
      </c>
      <c r="H2180" s="2">
        <f t="shared" si="99"/>
        <v>14.549999999999727</v>
      </c>
      <c r="I2180" s="3">
        <f t="shared" si="100"/>
        <v>7.050785035859531E-3</v>
      </c>
    </row>
    <row r="2181" spans="2:9" x14ac:dyDescent="0.25">
      <c r="B2181" s="1">
        <v>38350</v>
      </c>
      <c r="C2181" s="2">
        <v>2069.6</v>
      </c>
      <c r="D2181" s="2">
        <v>2071.5500000000002</v>
      </c>
      <c r="E2181" s="2">
        <v>2086.15</v>
      </c>
      <c r="F2181" s="2">
        <v>2062.35</v>
      </c>
      <c r="G2181" s="3">
        <f t="shared" si="101"/>
        <v>-8.4485963260672037E-4</v>
      </c>
      <c r="H2181" s="2">
        <f t="shared" ref="H2181:H2244" si="102">E2181-F2181</f>
        <v>23.800000000000182</v>
      </c>
      <c r="I2181" s="3">
        <f t="shared" si="100"/>
        <v>1.148898168038434E-2</v>
      </c>
    </row>
    <row r="2182" spans="2:9" x14ac:dyDescent="0.25">
      <c r="B2182" s="1">
        <v>38351</v>
      </c>
      <c r="C2182" s="2">
        <v>2059.8000000000002</v>
      </c>
      <c r="D2182" s="2">
        <v>2070.5500000000002</v>
      </c>
      <c r="E2182" s="2">
        <v>2088.4499999999998</v>
      </c>
      <c r="F2182" s="2">
        <v>2052.25</v>
      </c>
      <c r="G2182" s="3">
        <f t="shared" si="101"/>
        <v>-4.735214534209331E-3</v>
      </c>
      <c r="H2182" s="2">
        <f t="shared" si="102"/>
        <v>36.199999999999818</v>
      </c>
      <c r="I2182" s="3">
        <f t="shared" ref="I2182:I2245" si="103">H2182/D2182</f>
        <v>1.7483277390065353E-2</v>
      </c>
    </row>
    <row r="2183" spans="2:9" x14ac:dyDescent="0.25">
      <c r="B2183" s="1">
        <v>38352</v>
      </c>
      <c r="C2183" s="2">
        <v>2080.5</v>
      </c>
      <c r="D2183" s="2">
        <v>2059.85</v>
      </c>
      <c r="E2183" s="2">
        <v>2083</v>
      </c>
      <c r="F2183" s="2">
        <v>2059.85</v>
      </c>
      <c r="G2183" s="3">
        <f t="shared" ref="G2183:G2246" si="104">C2183/C2182-1</f>
        <v>1.0049519370812554E-2</v>
      </c>
      <c r="H2183" s="2">
        <f t="shared" si="102"/>
        <v>23.150000000000091</v>
      </c>
      <c r="I2183" s="3">
        <f t="shared" si="103"/>
        <v>1.1238682428332205E-2</v>
      </c>
    </row>
    <row r="2184" spans="2:9" x14ac:dyDescent="0.25">
      <c r="B2184" s="1">
        <v>38355</v>
      </c>
      <c r="C2184" s="2">
        <v>2115</v>
      </c>
      <c r="D2184" s="2">
        <v>2080</v>
      </c>
      <c r="E2184" s="2">
        <v>2118.6</v>
      </c>
      <c r="F2184" s="2">
        <v>2080</v>
      </c>
      <c r="G2184" s="3">
        <f t="shared" si="104"/>
        <v>1.6582552271088735E-2</v>
      </c>
      <c r="H2184" s="2">
        <f t="shared" si="102"/>
        <v>38.599999999999909</v>
      </c>
      <c r="I2184" s="3">
        <f t="shared" si="103"/>
        <v>1.8557692307692265E-2</v>
      </c>
    </row>
    <row r="2185" spans="2:9" x14ac:dyDescent="0.25">
      <c r="B2185" s="1">
        <v>38356</v>
      </c>
      <c r="C2185" s="2">
        <v>2103.75</v>
      </c>
      <c r="D2185" s="2">
        <v>2116.9499999999998</v>
      </c>
      <c r="E2185" s="2">
        <v>2120.15</v>
      </c>
      <c r="F2185" s="2">
        <v>2100.5500000000002</v>
      </c>
      <c r="G2185" s="3">
        <f t="shared" si="104"/>
        <v>-5.3191489361702482E-3</v>
      </c>
      <c r="H2185" s="2">
        <f t="shared" si="102"/>
        <v>19.599999999999909</v>
      </c>
      <c r="I2185" s="3">
        <f t="shared" si="103"/>
        <v>9.2586031791019683E-3</v>
      </c>
    </row>
    <row r="2186" spans="2:9" x14ac:dyDescent="0.25">
      <c r="B2186" s="1">
        <v>38357</v>
      </c>
      <c r="C2186" s="2">
        <v>2032.2</v>
      </c>
      <c r="D2186" s="2">
        <v>2103.75</v>
      </c>
      <c r="E2186" s="2">
        <v>2105.1</v>
      </c>
      <c r="F2186" s="2">
        <v>1990.15</v>
      </c>
      <c r="G2186" s="3">
        <f t="shared" si="104"/>
        <v>-3.4010695187165707E-2</v>
      </c>
      <c r="H2186" s="2">
        <f t="shared" si="102"/>
        <v>114.94999999999982</v>
      </c>
      <c r="I2186" s="3">
        <f t="shared" si="103"/>
        <v>5.4640522875816909E-2</v>
      </c>
    </row>
    <row r="2187" spans="2:9" x14ac:dyDescent="0.25">
      <c r="B2187" s="1">
        <v>38358</v>
      </c>
      <c r="C2187" s="2">
        <v>1998.35</v>
      </c>
      <c r="D2187" s="2">
        <v>2031.55</v>
      </c>
      <c r="E2187" s="2">
        <v>2035.65</v>
      </c>
      <c r="F2187" s="2">
        <v>1984.25</v>
      </c>
      <c r="G2187" s="3">
        <f t="shared" si="104"/>
        <v>-1.6656825115638263E-2</v>
      </c>
      <c r="H2187" s="2">
        <f t="shared" si="102"/>
        <v>51.400000000000091</v>
      </c>
      <c r="I2187" s="3">
        <f t="shared" si="103"/>
        <v>2.5300878639462523E-2</v>
      </c>
    </row>
    <row r="2188" spans="2:9" x14ac:dyDescent="0.25">
      <c r="B2188" s="1">
        <v>38359</v>
      </c>
      <c r="C2188" s="2">
        <v>2015.5</v>
      </c>
      <c r="D2188" s="2">
        <v>1998.25</v>
      </c>
      <c r="E2188" s="2">
        <v>2021.45</v>
      </c>
      <c r="F2188" s="2">
        <v>1992.55</v>
      </c>
      <c r="G2188" s="3">
        <f t="shared" si="104"/>
        <v>8.582080216178456E-3</v>
      </c>
      <c r="H2188" s="2">
        <f t="shared" si="102"/>
        <v>28.900000000000091</v>
      </c>
      <c r="I2188" s="3">
        <f t="shared" si="103"/>
        <v>1.4462654822970144E-2</v>
      </c>
    </row>
    <row r="2189" spans="2:9" x14ac:dyDescent="0.25">
      <c r="B2189" s="1">
        <v>38362</v>
      </c>
      <c r="C2189" s="2">
        <v>1982</v>
      </c>
      <c r="D2189" s="2">
        <v>2016.75</v>
      </c>
      <c r="E2189" s="2">
        <v>2025.9</v>
      </c>
      <c r="F2189" s="2">
        <v>1974.8</v>
      </c>
      <c r="G2189" s="3">
        <f t="shared" si="104"/>
        <v>-1.6621185809972738E-2</v>
      </c>
      <c r="H2189" s="2">
        <f t="shared" si="102"/>
        <v>51.100000000000136</v>
      </c>
      <c r="I2189" s="3">
        <f t="shared" si="103"/>
        <v>2.5337795958844743E-2</v>
      </c>
    </row>
    <row r="2190" spans="2:9" x14ac:dyDescent="0.25">
      <c r="B2190" s="1">
        <v>38363</v>
      </c>
      <c r="C2190" s="2">
        <v>1952.05</v>
      </c>
      <c r="D2190" s="2">
        <v>1982.7</v>
      </c>
      <c r="E2190" s="2">
        <v>1988.9</v>
      </c>
      <c r="F2190" s="2">
        <v>1947.35</v>
      </c>
      <c r="G2190" s="3">
        <f t="shared" si="104"/>
        <v>-1.5110998990918278E-2</v>
      </c>
      <c r="H2190" s="2">
        <f t="shared" si="102"/>
        <v>41.550000000000182</v>
      </c>
      <c r="I2190" s="3">
        <f t="shared" si="103"/>
        <v>2.0956271750643154E-2</v>
      </c>
    </row>
    <row r="2191" spans="2:9" x14ac:dyDescent="0.25">
      <c r="B2191" s="1">
        <v>38364</v>
      </c>
      <c r="C2191" s="2">
        <v>1913.6</v>
      </c>
      <c r="D2191" s="2">
        <v>1953.6</v>
      </c>
      <c r="E2191" s="2">
        <v>1966.65</v>
      </c>
      <c r="F2191" s="2">
        <v>1900.85</v>
      </c>
      <c r="G2191" s="3">
        <f t="shared" si="104"/>
        <v>-1.9697241361645523E-2</v>
      </c>
      <c r="H2191" s="2">
        <f t="shared" si="102"/>
        <v>65.800000000000182</v>
      </c>
      <c r="I2191" s="3">
        <f t="shared" si="103"/>
        <v>3.3681408681408773E-2</v>
      </c>
    </row>
    <row r="2192" spans="2:9" x14ac:dyDescent="0.25">
      <c r="B2192" s="1">
        <v>38365</v>
      </c>
      <c r="C2192" s="2">
        <v>1954.55</v>
      </c>
      <c r="D2192" s="2">
        <v>1922.5</v>
      </c>
      <c r="E2192" s="2">
        <v>1963.4</v>
      </c>
      <c r="F2192" s="2">
        <v>1916.95</v>
      </c>
      <c r="G2192" s="3">
        <f t="shared" si="104"/>
        <v>2.1399456521739246E-2</v>
      </c>
      <c r="H2192" s="2">
        <f t="shared" si="102"/>
        <v>46.450000000000045</v>
      </c>
      <c r="I2192" s="3">
        <f t="shared" si="103"/>
        <v>2.4161248374512376E-2</v>
      </c>
    </row>
    <row r="2193" spans="2:9" x14ac:dyDescent="0.25">
      <c r="B2193" s="1">
        <v>38366</v>
      </c>
      <c r="C2193" s="2">
        <v>1931.1</v>
      </c>
      <c r="D2193" s="2">
        <v>1954.9</v>
      </c>
      <c r="E2193" s="2">
        <v>1961.4</v>
      </c>
      <c r="F2193" s="2">
        <v>1922.85</v>
      </c>
      <c r="G2193" s="3">
        <f t="shared" si="104"/>
        <v>-1.1997646517101113E-2</v>
      </c>
      <c r="H2193" s="2">
        <f t="shared" si="102"/>
        <v>38.550000000000182</v>
      </c>
      <c r="I2193" s="3">
        <f t="shared" si="103"/>
        <v>1.9719678755946688E-2</v>
      </c>
    </row>
    <row r="2194" spans="2:9" x14ac:dyDescent="0.25">
      <c r="B2194" s="1">
        <v>38369</v>
      </c>
      <c r="C2194" s="2">
        <v>1932.9</v>
      </c>
      <c r="D2194" s="2">
        <v>1931.75</v>
      </c>
      <c r="E2194" s="2">
        <v>1944.55</v>
      </c>
      <c r="F2194" s="2">
        <v>1902.45</v>
      </c>
      <c r="G2194" s="3">
        <f t="shared" si="104"/>
        <v>9.3211123194048007E-4</v>
      </c>
      <c r="H2194" s="2">
        <f t="shared" si="102"/>
        <v>42.099999999999909</v>
      </c>
      <c r="I2194" s="3">
        <f t="shared" si="103"/>
        <v>2.1793710366248175E-2</v>
      </c>
    </row>
    <row r="2195" spans="2:9" x14ac:dyDescent="0.25">
      <c r="B2195" s="1">
        <v>38370</v>
      </c>
      <c r="C2195" s="2">
        <v>1934.05</v>
      </c>
      <c r="D2195" s="2">
        <v>1933.05</v>
      </c>
      <c r="E2195" s="2">
        <v>1956.95</v>
      </c>
      <c r="F2195" s="2">
        <v>1925.35</v>
      </c>
      <c r="G2195" s="3">
        <f t="shared" si="104"/>
        <v>5.9496093952082774E-4</v>
      </c>
      <c r="H2195" s="2">
        <f t="shared" si="102"/>
        <v>31.600000000000136</v>
      </c>
      <c r="I2195" s="3">
        <f t="shared" si="103"/>
        <v>1.6347223299966445E-2</v>
      </c>
    </row>
    <row r="2196" spans="2:9" x14ac:dyDescent="0.25">
      <c r="B2196" s="1">
        <v>38371</v>
      </c>
      <c r="C2196" s="2">
        <v>1926.65</v>
      </c>
      <c r="D2196" s="2">
        <v>1934.1</v>
      </c>
      <c r="E2196" s="2">
        <v>1945.65</v>
      </c>
      <c r="F2196" s="2">
        <v>1922.35</v>
      </c>
      <c r="G2196" s="3">
        <f t="shared" si="104"/>
        <v>-3.8261678860421755E-3</v>
      </c>
      <c r="H2196" s="2">
        <f t="shared" si="102"/>
        <v>23.300000000000182</v>
      </c>
      <c r="I2196" s="3">
        <f t="shared" si="103"/>
        <v>1.204694690036719E-2</v>
      </c>
    </row>
    <row r="2197" spans="2:9" x14ac:dyDescent="0.25">
      <c r="B2197" s="1">
        <v>38372</v>
      </c>
      <c r="C2197" s="2">
        <v>1925.3</v>
      </c>
      <c r="D2197" s="2">
        <v>1928.1</v>
      </c>
      <c r="E2197" s="2">
        <v>1940.95</v>
      </c>
      <c r="F2197" s="2">
        <v>1900.05</v>
      </c>
      <c r="G2197" s="3">
        <f t="shared" si="104"/>
        <v>-7.0069810292483492E-4</v>
      </c>
      <c r="H2197" s="2">
        <f t="shared" si="102"/>
        <v>40.900000000000091</v>
      </c>
      <c r="I2197" s="3">
        <f t="shared" si="103"/>
        <v>2.1212592707847151E-2</v>
      </c>
    </row>
    <row r="2198" spans="2:9" x14ac:dyDescent="0.25">
      <c r="B2198" s="1">
        <v>38376</v>
      </c>
      <c r="C2198" s="2">
        <v>1909</v>
      </c>
      <c r="D2198" s="2">
        <v>1925.3</v>
      </c>
      <c r="E2198" s="2">
        <v>1932.75</v>
      </c>
      <c r="F2198" s="2">
        <v>1902.9</v>
      </c>
      <c r="G2198" s="3">
        <f t="shared" si="104"/>
        <v>-8.4662130577052297E-3</v>
      </c>
      <c r="H2198" s="2">
        <f t="shared" si="102"/>
        <v>29.849999999999909</v>
      </c>
      <c r="I2198" s="3">
        <f t="shared" si="103"/>
        <v>1.5504077286656578E-2</v>
      </c>
    </row>
    <row r="2199" spans="2:9" x14ac:dyDescent="0.25">
      <c r="B2199" s="1">
        <v>38377</v>
      </c>
      <c r="C2199" s="2">
        <v>1931.85</v>
      </c>
      <c r="D2199" s="2">
        <v>1908.85</v>
      </c>
      <c r="E2199" s="2">
        <v>1934.25</v>
      </c>
      <c r="F2199" s="2">
        <v>1894.4</v>
      </c>
      <c r="G2199" s="3">
        <f t="shared" si="104"/>
        <v>1.1969617600838145E-2</v>
      </c>
      <c r="H2199" s="2">
        <f t="shared" si="102"/>
        <v>39.849999999999909</v>
      </c>
      <c r="I2199" s="3">
        <f t="shared" si="103"/>
        <v>2.0876443932210446E-2</v>
      </c>
    </row>
    <row r="2200" spans="2:9" x14ac:dyDescent="0.25">
      <c r="B2200" s="1">
        <v>38379</v>
      </c>
      <c r="C2200" s="2">
        <v>1955</v>
      </c>
      <c r="D2200" s="2">
        <v>1931.9</v>
      </c>
      <c r="E2200" s="2">
        <v>1961.75</v>
      </c>
      <c r="F2200" s="2">
        <v>1929</v>
      </c>
      <c r="G2200" s="3">
        <f t="shared" si="104"/>
        <v>1.1983332039237071E-2</v>
      </c>
      <c r="H2200" s="2">
        <f t="shared" si="102"/>
        <v>32.75</v>
      </c>
      <c r="I2200" s="3">
        <f t="shared" si="103"/>
        <v>1.695222319995859E-2</v>
      </c>
    </row>
    <row r="2201" spans="2:9" x14ac:dyDescent="0.25">
      <c r="B2201" s="1">
        <v>38380</v>
      </c>
      <c r="C2201" s="2">
        <v>2008.3</v>
      </c>
      <c r="D2201" s="2">
        <v>1955.25</v>
      </c>
      <c r="E2201" s="2">
        <v>2014.25</v>
      </c>
      <c r="F2201" s="2">
        <v>1950.85</v>
      </c>
      <c r="G2201" s="3">
        <f t="shared" si="104"/>
        <v>2.7263427109974314E-2</v>
      </c>
      <c r="H2201" s="2">
        <f t="shared" si="102"/>
        <v>63.400000000000091</v>
      </c>
      <c r="I2201" s="3">
        <f t="shared" si="103"/>
        <v>3.2425521033116016E-2</v>
      </c>
    </row>
    <row r="2202" spans="2:9" x14ac:dyDescent="0.25">
      <c r="B2202" s="1">
        <v>38383</v>
      </c>
      <c r="C2202" s="2">
        <v>2057.6</v>
      </c>
      <c r="D2202" s="2">
        <v>2008.45</v>
      </c>
      <c r="E2202" s="2">
        <v>2060.4</v>
      </c>
      <c r="F2202" s="2">
        <v>2006.35</v>
      </c>
      <c r="G2202" s="3">
        <f t="shared" si="104"/>
        <v>2.4548125280087651E-2</v>
      </c>
      <c r="H2202" s="2">
        <f t="shared" si="102"/>
        <v>54.050000000000182</v>
      </c>
      <c r="I2202" s="3">
        <f t="shared" si="103"/>
        <v>2.6911299758520343E-2</v>
      </c>
    </row>
    <row r="2203" spans="2:9" x14ac:dyDescent="0.25">
      <c r="B2203" s="1">
        <v>38384</v>
      </c>
      <c r="C2203" s="2">
        <v>2059.85</v>
      </c>
      <c r="D2203" s="2">
        <v>2057.75</v>
      </c>
      <c r="E2203" s="2">
        <v>2072.5</v>
      </c>
      <c r="F2203" s="2">
        <v>2045.25</v>
      </c>
      <c r="G2203" s="3">
        <f t="shared" si="104"/>
        <v>1.0935069984447932E-3</v>
      </c>
      <c r="H2203" s="2">
        <f t="shared" si="102"/>
        <v>27.25</v>
      </c>
      <c r="I2203" s="3">
        <f t="shared" si="103"/>
        <v>1.3242619365812173E-2</v>
      </c>
    </row>
    <row r="2204" spans="2:9" x14ac:dyDescent="0.25">
      <c r="B2204" s="1">
        <v>38385</v>
      </c>
      <c r="C2204" s="2">
        <v>2052.25</v>
      </c>
      <c r="D2204" s="2">
        <v>2062.15</v>
      </c>
      <c r="E2204" s="2">
        <v>2074.5</v>
      </c>
      <c r="F2204" s="2">
        <v>2045.5</v>
      </c>
      <c r="G2204" s="3">
        <f t="shared" si="104"/>
        <v>-3.689589047746189E-3</v>
      </c>
      <c r="H2204" s="2">
        <f t="shared" si="102"/>
        <v>29</v>
      </c>
      <c r="I2204" s="3">
        <f t="shared" si="103"/>
        <v>1.4062992507819509E-2</v>
      </c>
    </row>
    <row r="2205" spans="2:9" x14ac:dyDescent="0.25">
      <c r="B2205" s="1">
        <v>38386</v>
      </c>
      <c r="C2205" s="2">
        <v>2079.4499999999998</v>
      </c>
      <c r="D2205" s="2">
        <v>2052.35</v>
      </c>
      <c r="E2205" s="2">
        <v>2083.75</v>
      </c>
      <c r="F2205" s="2">
        <v>2052.35</v>
      </c>
      <c r="G2205" s="3">
        <f t="shared" si="104"/>
        <v>1.3253745888658797E-2</v>
      </c>
      <c r="H2205" s="2">
        <f t="shared" si="102"/>
        <v>31.400000000000091</v>
      </c>
      <c r="I2205" s="3">
        <f t="shared" si="103"/>
        <v>1.5299534679757396E-2</v>
      </c>
    </row>
    <row r="2206" spans="2:9" x14ac:dyDescent="0.25">
      <c r="B2206" s="1">
        <v>38387</v>
      </c>
      <c r="C2206" s="2">
        <v>2077.9499999999998</v>
      </c>
      <c r="D2206" s="2">
        <v>2079.4</v>
      </c>
      <c r="E2206" s="2">
        <v>2099.1999999999998</v>
      </c>
      <c r="F2206" s="2">
        <v>2060.8000000000002</v>
      </c>
      <c r="G2206" s="3">
        <f t="shared" si="104"/>
        <v>-7.2134458630890297E-4</v>
      </c>
      <c r="H2206" s="2">
        <f t="shared" si="102"/>
        <v>38.399999999999636</v>
      </c>
      <c r="I2206" s="3">
        <f t="shared" si="103"/>
        <v>1.8466865441954233E-2</v>
      </c>
    </row>
    <row r="2207" spans="2:9" x14ac:dyDescent="0.25">
      <c r="B2207" s="1">
        <v>38390</v>
      </c>
      <c r="C2207" s="2">
        <v>2055.1</v>
      </c>
      <c r="D2207" s="2">
        <v>2097.4499999999998</v>
      </c>
      <c r="E2207" s="2">
        <v>2098</v>
      </c>
      <c r="F2207" s="2">
        <v>2049.85</v>
      </c>
      <c r="G2207" s="3">
        <f t="shared" si="104"/>
        <v>-1.0996414735676918E-2</v>
      </c>
      <c r="H2207" s="2">
        <f t="shared" si="102"/>
        <v>48.150000000000091</v>
      </c>
      <c r="I2207" s="3">
        <f t="shared" si="103"/>
        <v>2.2956447114353188E-2</v>
      </c>
    </row>
    <row r="2208" spans="2:9" x14ac:dyDescent="0.25">
      <c r="B2208" s="1">
        <v>38391</v>
      </c>
      <c r="C2208" s="2">
        <v>2055.15</v>
      </c>
      <c r="D2208" s="2">
        <v>2055</v>
      </c>
      <c r="E2208" s="2">
        <v>2065</v>
      </c>
      <c r="F2208" s="2">
        <v>2043.6</v>
      </c>
      <c r="G2208" s="3">
        <f t="shared" si="104"/>
        <v>2.4329716315607541E-5</v>
      </c>
      <c r="H2208" s="2">
        <f t="shared" si="102"/>
        <v>21.400000000000091</v>
      </c>
      <c r="I2208" s="3">
        <f t="shared" si="103"/>
        <v>1.0413625304136297E-2</v>
      </c>
    </row>
    <row r="2209" spans="2:9" x14ac:dyDescent="0.25">
      <c r="B2209" s="1">
        <v>38392</v>
      </c>
      <c r="C2209" s="2">
        <v>2070</v>
      </c>
      <c r="D2209" s="2">
        <v>2055.1999999999998</v>
      </c>
      <c r="E2209" s="2">
        <v>2077.6999999999998</v>
      </c>
      <c r="F2209" s="2">
        <v>2055.1999999999998</v>
      </c>
      <c r="G2209" s="3">
        <f t="shared" si="104"/>
        <v>7.2257499452594853E-3</v>
      </c>
      <c r="H2209" s="2">
        <f t="shared" si="102"/>
        <v>22.5</v>
      </c>
      <c r="I2209" s="3">
        <f t="shared" si="103"/>
        <v>1.0947839626313741E-2</v>
      </c>
    </row>
    <row r="2210" spans="2:9" x14ac:dyDescent="0.25">
      <c r="B2210" s="1">
        <v>38393</v>
      </c>
      <c r="C2210" s="2">
        <v>2063.35</v>
      </c>
      <c r="D2210" s="2">
        <v>2070.1</v>
      </c>
      <c r="E2210" s="2">
        <v>2075.1</v>
      </c>
      <c r="F2210" s="2">
        <v>2049.85</v>
      </c>
      <c r="G2210" s="3">
        <f t="shared" si="104"/>
        <v>-3.2125603864734398E-3</v>
      </c>
      <c r="H2210" s="2">
        <f t="shared" si="102"/>
        <v>25.25</v>
      </c>
      <c r="I2210" s="3">
        <f t="shared" si="103"/>
        <v>1.2197478382686828E-2</v>
      </c>
    </row>
    <row r="2211" spans="2:9" x14ac:dyDescent="0.25">
      <c r="B2211" s="1">
        <v>38394</v>
      </c>
      <c r="C2211" s="2">
        <v>2082.0500000000002</v>
      </c>
      <c r="D2211" s="2">
        <v>2063.35</v>
      </c>
      <c r="E2211" s="2">
        <v>2084.5</v>
      </c>
      <c r="F2211" s="2">
        <v>2063.35</v>
      </c>
      <c r="G2211" s="3">
        <f t="shared" si="104"/>
        <v>9.0629316402939253E-3</v>
      </c>
      <c r="H2211" s="2">
        <f t="shared" si="102"/>
        <v>21.150000000000091</v>
      </c>
      <c r="I2211" s="3">
        <f t="shared" si="103"/>
        <v>1.0250321079797462E-2</v>
      </c>
    </row>
    <row r="2212" spans="2:9" x14ac:dyDescent="0.25">
      <c r="B2212" s="1">
        <v>38397</v>
      </c>
      <c r="C2212" s="2">
        <v>2098.25</v>
      </c>
      <c r="D2212" s="2">
        <v>2083.0500000000002</v>
      </c>
      <c r="E2212" s="2">
        <v>2110.15</v>
      </c>
      <c r="F2212" s="2">
        <v>2083.0500000000002</v>
      </c>
      <c r="G2212" s="3">
        <f t="shared" si="104"/>
        <v>7.7807929684685639E-3</v>
      </c>
      <c r="H2212" s="2">
        <f t="shared" si="102"/>
        <v>27.099999999999909</v>
      </c>
      <c r="I2212" s="3">
        <f t="shared" si="103"/>
        <v>1.3009769328628649E-2</v>
      </c>
    </row>
    <row r="2213" spans="2:9" x14ac:dyDescent="0.25">
      <c r="B2213" s="1">
        <v>38398</v>
      </c>
      <c r="C2213" s="2">
        <v>2089.9499999999998</v>
      </c>
      <c r="D2213" s="2">
        <v>2098.25</v>
      </c>
      <c r="E2213" s="2">
        <v>2101.6</v>
      </c>
      <c r="F2213" s="2">
        <v>2081.1999999999998</v>
      </c>
      <c r="G2213" s="3">
        <f t="shared" si="104"/>
        <v>-3.9556773501728815E-3</v>
      </c>
      <c r="H2213" s="2">
        <f t="shared" si="102"/>
        <v>20.400000000000091</v>
      </c>
      <c r="I2213" s="3">
        <f t="shared" si="103"/>
        <v>9.7223877040391229E-3</v>
      </c>
    </row>
    <row r="2214" spans="2:9" x14ac:dyDescent="0.25">
      <c r="B2214" s="1">
        <v>38399</v>
      </c>
      <c r="C2214" s="2">
        <v>2068.8000000000002</v>
      </c>
      <c r="D2214" s="2">
        <v>2090</v>
      </c>
      <c r="E2214" s="2">
        <v>2103.4</v>
      </c>
      <c r="F2214" s="2">
        <v>2059.4499999999998</v>
      </c>
      <c r="G2214" s="3">
        <f t="shared" si="104"/>
        <v>-1.0119859326777947E-2</v>
      </c>
      <c r="H2214" s="2">
        <f t="shared" si="102"/>
        <v>43.950000000000273</v>
      </c>
      <c r="I2214" s="3">
        <f t="shared" si="103"/>
        <v>2.1028708133971421E-2</v>
      </c>
    </row>
    <row r="2215" spans="2:9" x14ac:dyDescent="0.25">
      <c r="B2215" s="1">
        <v>38400</v>
      </c>
      <c r="C2215" s="2">
        <v>2061.9</v>
      </c>
      <c r="D2215" s="2">
        <v>2069.1</v>
      </c>
      <c r="E2215" s="2">
        <v>2069.15</v>
      </c>
      <c r="F2215" s="2">
        <v>2045.85</v>
      </c>
      <c r="G2215" s="3">
        <f t="shared" si="104"/>
        <v>-3.3352668213457726E-3</v>
      </c>
      <c r="H2215" s="2">
        <f t="shared" si="102"/>
        <v>23.300000000000182</v>
      </c>
      <c r="I2215" s="3">
        <f t="shared" si="103"/>
        <v>1.1260934705910872E-2</v>
      </c>
    </row>
    <row r="2216" spans="2:9" x14ac:dyDescent="0.25">
      <c r="B2216" s="1">
        <v>38401</v>
      </c>
      <c r="C2216" s="2">
        <v>2055.5500000000002</v>
      </c>
      <c r="D2216" s="2">
        <v>2062.4499999999998</v>
      </c>
      <c r="E2216" s="2">
        <v>2076.6999999999998</v>
      </c>
      <c r="F2216" s="2">
        <v>2048.85</v>
      </c>
      <c r="G2216" s="3">
        <f t="shared" si="104"/>
        <v>-3.0796837867985705E-3</v>
      </c>
      <c r="H2216" s="2">
        <f t="shared" si="102"/>
        <v>27.849999999999909</v>
      </c>
      <c r="I2216" s="3">
        <f t="shared" si="103"/>
        <v>1.3503357657155282E-2</v>
      </c>
    </row>
    <row r="2217" spans="2:9" x14ac:dyDescent="0.25">
      <c r="B2217" s="1">
        <v>38404</v>
      </c>
      <c r="C2217" s="2">
        <v>2043.2</v>
      </c>
      <c r="D2217" s="2">
        <v>2055.15</v>
      </c>
      <c r="E2217" s="2">
        <v>2065.75</v>
      </c>
      <c r="F2217" s="2">
        <v>2039.9</v>
      </c>
      <c r="G2217" s="3">
        <f t="shared" si="104"/>
        <v>-6.0081243462820622E-3</v>
      </c>
      <c r="H2217" s="2">
        <f t="shared" si="102"/>
        <v>25.849999999999909</v>
      </c>
      <c r="I2217" s="3">
        <f t="shared" si="103"/>
        <v>1.2578157312118293E-2</v>
      </c>
    </row>
    <row r="2218" spans="2:9" x14ac:dyDescent="0.25">
      <c r="B2218" s="1">
        <v>38405</v>
      </c>
      <c r="C2218" s="2">
        <v>2058.4</v>
      </c>
      <c r="D2218" s="2">
        <v>2043.4</v>
      </c>
      <c r="E2218" s="2">
        <v>2061.65</v>
      </c>
      <c r="F2218" s="2">
        <v>2036.6</v>
      </c>
      <c r="G2218" s="3">
        <f t="shared" si="104"/>
        <v>7.4393108848864742E-3</v>
      </c>
      <c r="H2218" s="2">
        <f t="shared" si="102"/>
        <v>25.050000000000182</v>
      </c>
      <c r="I2218" s="3">
        <f t="shared" si="103"/>
        <v>1.2258980131154047E-2</v>
      </c>
    </row>
    <row r="2219" spans="2:9" x14ac:dyDescent="0.25">
      <c r="B2219" s="1">
        <v>38406</v>
      </c>
      <c r="C2219" s="2">
        <v>2057.1</v>
      </c>
      <c r="D2219" s="2">
        <v>2058.6999999999998</v>
      </c>
      <c r="E2219" s="2">
        <v>2065.15</v>
      </c>
      <c r="F2219" s="2">
        <v>2051.35</v>
      </c>
      <c r="G2219" s="3">
        <f t="shared" si="104"/>
        <v>-6.3155849203277992E-4</v>
      </c>
      <c r="H2219" s="2">
        <f t="shared" si="102"/>
        <v>13.800000000000182</v>
      </c>
      <c r="I2219" s="3">
        <f t="shared" si="103"/>
        <v>6.7032593384175367E-3</v>
      </c>
    </row>
    <row r="2220" spans="2:9" x14ac:dyDescent="0.25">
      <c r="B2220" s="1">
        <v>38407</v>
      </c>
      <c r="C2220" s="2">
        <v>2055.3000000000002</v>
      </c>
      <c r="D2220" s="2">
        <v>2057.75</v>
      </c>
      <c r="E2220" s="2">
        <v>2070.5</v>
      </c>
      <c r="F2220" s="2">
        <v>2052.4</v>
      </c>
      <c r="G2220" s="3">
        <f t="shared" si="104"/>
        <v>-8.7501822954627606E-4</v>
      </c>
      <c r="H2220" s="2">
        <f t="shared" si="102"/>
        <v>18.099999999999909</v>
      </c>
      <c r="I2220" s="3">
        <f t="shared" si="103"/>
        <v>8.7960150649981327E-3</v>
      </c>
    </row>
    <row r="2221" spans="2:9" x14ac:dyDescent="0.25">
      <c r="B2221" s="1">
        <v>38408</v>
      </c>
      <c r="C2221" s="2">
        <v>2060.9</v>
      </c>
      <c r="D2221" s="2">
        <v>2057.3000000000002</v>
      </c>
      <c r="E2221" s="2">
        <v>2081.85</v>
      </c>
      <c r="F2221" s="2">
        <v>2051.1999999999998</v>
      </c>
      <c r="G2221" s="3">
        <f t="shared" si="104"/>
        <v>2.7246630662189908E-3</v>
      </c>
      <c r="H2221" s="2">
        <f t="shared" si="102"/>
        <v>30.650000000000091</v>
      </c>
      <c r="I2221" s="3">
        <f t="shared" si="103"/>
        <v>1.4898167501093709E-2</v>
      </c>
    </row>
    <row r="2222" spans="2:9" x14ac:dyDescent="0.25">
      <c r="B2222" s="1">
        <v>38411</v>
      </c>
      <c r="C2222" s="2">
        <v>2103.25</v>
      </c>
      <c r="D2222" s="2">
        <v>2061.1999999999998</v>
      </c>
      <c r="E2222" s="2">
        <v>2106.1999999999998</v>
      </c>
      <c r="F2222" s="2">
        <v>2047.7</v>
      </c>
      <c r="G2222" s="3">
        <f t="shared" si="104"/>
        <v>2.0549274588771871E-2</v>
      </c>
      <c r="H2222" s="2">
        <f t="shared" si="102"/>
        <v>58.499999999999773</v>
      </c>
      <c r="I2222" s="3">
        <f t="shared" si="103"/>
        <v>2.838152532505326E-2</v>
      </c>
    </row>
    <row r="2223" spans="2:9" x14ac:dyDescent="0.25">
      <c r="B2223" s="1">
        <v>38412</v>
      </c>
      <c r="C2223" s="2">
        <v>2084.4</v>
      </c>
      <c r="D2223" s="2">
        <v>2103.1</v>
      </c>
      <c r="E2223" s="2">
        <v>2115.1</v>
      </c>
      <c r="F2223" s="2">
        <v>2073.8000000000002</v>
      </c>
      <c r="G2223" s="3">
        <f t="shared" si="104"/>
        <v>-8.96232021870913E-3</v>
      </c>
      <c r="H2223" s="2">
        <f t="shared" si="102"/>
        <v>41.299999999999727</v>
      </c>
      <c r="I2223" s="3">
        <f t="shared" si="103"/>
        <v>1.9637677713850853E-2</v>
      </c>
    </row>
    <row r="2224" spans="2:9" x14ac:dyDescent="0.25">
      <c r="B2224" s="1">
        <v>38413</v>
      </c>
      <c r="C2224" s="2">
        <v>2093.25</v>
      </c>
      <c r="D2224" s="2">
        <v>2084.6</v>
      </c>
      <c r="E2224" s="2">
        <v>2096.35</v>
      </c>
      <c r="F2224" s="2">
        <v>2080.5500000000002</v>
      </c>
      <c r="G2224" s="3">
        <f t="shared" si="104"/>
        <v>4.2458261370177386E-3</v>
      </c>
      <c r="H2224" s="2">
        <f t="shared" si="102"/>
        <v>15.799999999999727</v>
      </c>
      <c r="I2224" s="3">
        <f t="shared" si="103"/>
        <v>7.5793917298281341E-3</v>
      </c>
    </row>
    <row r="2225" spans="2:9" x14ac:dyDescent="0.25">
      <c r="B2225" s="1">
        <v>38414</v>
      </c>
      <c r="C2225" s="2">
        <v>2128.85</v>
      </c>
      <c r="D2225" s="2">
        <v>2093.4</v>
      </c>
      <c r="E2225" s="2">
        <v>2132.75</v>
      </c>
      <c r="F2225" s="2">
        <v>2093.35</v>
      </c>
      <c r="G2225" s="3">
        <f t="shared" si="104"/>
        <v>1.7007046458855868E-2</v>
      </c>
      <c r="H2225" s="2">
        <f t="shared" si="102"/>
        <v>39.400000000000091</v>
      </c>
      <c r="I2225" s="3">
        <f t="shared" si="103"/>
        <v>1.8821056654246722E-2</v>
      </c>
    </row>
    <row r="2226" spans="2:9" x14ac:dyDescent="0.25">
      <c r="B2226" s="1">
        <v>38415</v>
      </c>
      <c r="C2226" s="2">
        <v>2148.15</v>
      </c>
      <c r="D2226" s="2">
        <v>2129.1</v>
      </c>
      <c r="E2226" s="2">
        <v>2152.75</v>
      </c>
      <c r="F2226" s="2">
        <v>2129.1</v>
      </c>
      <c r="G2226" s="3">
        <f t="shared" si="104"/>
        <v>9.0659276135003353E-3</v>
      </c>
      <c r="H2226" s="2">
        <f t="shared" si="102"/>
        <v>23.650000000000091</v>
      </c>
      <c r="I2226" s="3">
        <f t="shared" si="103"/>
        <v>1.1107979897609362E-2</v>
      </c>
    </row>
    <row r="2227" spans="2:9" x14ac:dyDescent="0.25">
      <c r="B2227" s="1">
        <v>38418</v>
      </c>
      <c r="C2227" s="2">
        <v>2160.1</v>
      </c>
      <c r="D2227" s="2">
        <v>2148.25</v>
      </c>
      <c r="E2227" s="2">
        <v>2166.85</v>
      </c>
      <c r="F2227" s="2">
        <v>2143.0500000000002</v>
      </c>
      <c r="G2227" s="3">
        <f t="shared" si="104"/>
        <v>5.5629262388565692E-3</v>
      </c>
      <c r="H2227" s="2">
        <f t="shared" si="102"/>
        <v>23.799999999999727</v>
      </c>
      <c r="I2227" s="3">
        <f t="shared" si="103"/>
        <v>1.1078785057604901E-2</v>
      </c>
    </row>
    <row r="2228" spans="2:9" x14ac:dyDescent="0.25">
      <c r="B2228" s="1">
        <v>38419</v>
      </c>
      <c r="C2228" s="2">
        <v>2168.9499999999998</v>
      </c>
      <c r="D2228" s="2">
        <v>2160.65</v>
      </c>
      <c r="E2228" s="2">
        <v>2173.85</v>
      </c>
      <c r="F2228" s="2">
        <v>2154</v>
      </c>
      <c r="G2228" s="3">
        <f t="shared" si="104"/>
        <v>4.0970325447895473E-3</v>
      </c>
      <c r="H2228" s="2">
        <f t="shared" si="102"/>
        <v>19.849999999999909</v>
      </c>
      <c r="I2228" s="3">
        <f t="shared" si="103"/>
        <v>9.1870501932288465E-3</v>
      </c>
    </row>
    <row r="2229" spans="2:9" x14ac:dyDescent="0.25">
      <c r="B2229" s="1">
        <v>38420</v>
      </c>
      <c r="C2229" s="2">
        <v>2160.8000000000002</v>
      </c>
      <c r="D2229" s="2">
        <v>2169.1</v>
      </c>
      <c r="E2229" s="2">
        <v>2183.4499999999998</v>
      </c>
      <c r="F2229" s="2">
        <v>2141.35</v>
      </c>
      <c r="G2229" s="3">
        <f t="shared" si="104"/>
        <v>-3.7575785518336735E-3</v>
      </c>
      <c r="H2229" s="2">
        <f t="shared" si="102"/>
        <v>42.099999999999909</v>
      </c>
      <c r="I2229" s="3">
        <f t="shared" si="103"/>
        <v>1.9408971462818638E-2</v>
      </c>
    </row>
    <row r="2230" spans="2:9" x14ac:dyDescent="0.25">
      <c r="B2230" s="1">
        <v>38421</v>
      </c>
      <c r="C2230" s="2">
        <v>2167.4</v>
      </c>
      <c r="D2230" s="2">
        <v>2160.85</v>
      </c>
      <c r="E2230" s="2">
        <v>2170.1999999999998</v>
      </c>
      <c r="F2230" s="2">
        <v>2145.75</v>
      </c>
      <c r="G2230" s="3">
        <f t="shared" si="104"/>
        <v>3.0544242873009608E-3</v>
      </c>
      <c r="H2230" s="2">
        <f t="shared" si="102"/>
        <v>24.449999999999818</v>
      </c>
      <c r="I2230" s="3">
        <f t="shared" si="103"/>
        <v>1.1314991785639826E-2</v>
      </c>
    </row>
    <row r="2231" spans="2:9" x14ac:dyDescent="0.25">
      <c r="B2231" s="1">
        <v>38422</v>
      </c>
      <c r="C2231" s="2">
        <v>2154</v>
      </c>
      <c r="D2231" s="2">
        <v>2167.6999999999998</v>
      </c>
      <c r="E2231" s="2">
        <v>2182.1</v>
      </c>
      <c r="F2231" s="2">
        <v>2148.6999999999998</v>
      </c>
      <c r="G2231" s="3">
        <f t="shared" si="104"/>
        <v>-6.1825228384239095E-3</v>
      </c>
      <c r="H2231" s="2">
        <f t="shared" si="102"/>
        <v>33.400000000000091</v>
      </c>
      <c r="I2231" s="3">
        <f t="shared" si="103"/>
        <v>1.5408036167366376E-2</v>
      </c>
    </row>
    <row r="2232" spans="2:9" x14ac:dyDescent="0.25">
      <c r="B2232" s="1">
        <v>38425</v>
      </c>
      <c r="C2232" s="2">
        <v>2146.35</v>
      </c>
      <c r="D2232" s="2">
        <v>2153.8000000000002</v>
      </c>
      <c r="E2232" s="2">
        <v>2164.15</v>
      </c>
      <c r="F2232" s="2">
        <v>2140.9</v>
      </c>
      <c r="G2232" s="3">
        <f t="shared" si="104"/>
        <v>-3.5515320334261746E-3</v>
      </c>
      <c r="H2232" s="2">
        <f t="shared" si="102"/>
        <v>23.25</v>
      </c>
      <c r="I2232" s="3">
        <f t="shared" si="103"/>
        <v>1.0794874175875196E-2</v>
      </c>
    </row>
    <row r="2233" spans="2:9" x14ac:dyDescent="0.25">
      <c r="B2233" s="1">
        <v>38426</v>
      </c>
      <c r="C2233" s="2">
        <v>2128.9499999999998</v>
      </c>
      <c r="D2233" s="2">
        <v>2146.5500000000002</v>
      </c>
      <c r="E2233" s="2">
        <v>2151.35</v>
      </c>
      <c r="F2233" s="2">
        <v>2122</v>
      </c>
      <c r="G2233" s="3">
        <f t="shared" si="104"/>
        <v>-8.1067859389195585E-3</v>
      </c>
      <c r="H2233" s="2">
        <f t="shared" si="102"/>
        <v>29.349999999999909</v>
      </c>
      <c r="I2233" s="3">
        <f t="shared" si="103"/>
        <v>1.3673103351890198E-2</v>
      </c>
    </row>
    <row r="2234" spans="2:9" x14ac:dyDescent="0.25">
      <c r="B2234" s="1">
        <v>38427</v>
      </c>
      <c r="C2234" s="2">
        <v>2125.5500000000002</v>
      </c>
      <c r="D2234" s="2">
        <v>2129.35</v>
      </c>
      <c r="E2234" s="2">
        <v>2158.9</v>
      </c>
      <c r="F2234" s="2">
        <v>2121.1</v>
      </c>
      <c r="G2234" s="3">
        <f t="shared" si="104"/>
        <v>-1.5970314004554176E-3</v>
      </c>
      <c r="H2234" s="2">
        <f t="shared" si="102"/>
        <v>37.800000000000182</v>
      </c>
      <c r="I2234" s="3">
        <f t="shared" si="103"/>
        <v>1.7751896118533912E-2</v>
      </c>
    </row>
    <row r="2235" spans="2:9" x14ac:dyDescent="0.25">
      <c r="B2235" s="1">
        <v>38428</v>
      </c>
      <c r="C2235" s="2">
        <v>2098.5</v>
      </c>
      <c r="D2235" s="2">
        <v>2123.9499999999998</v>
      </c>
      <c r="E2235" s="2">
        <v>2126.5500000000002</v>
      </c>
      <c r="F2235" s="2">
        <v>2090.4499999999998</v>
      </c>
      <c r="G2235" s="3">
        <f t="shared" si="104"/>
        <v>-1.2726117945943471E-2</v>
      </c>
      <c r="H2235" s="2">
        <f t="shared" si="102"/>
        <v>36.100000000000364</v>
      </c>
      <c r="I2235" s="3">
        <f t="shared" si="103"/>
        <v>1.699663363073536E-2</v>
      </c>
    </row>
    <row r="2236" spans="2:9" x14ac:dyDescent="0.25">
      <c r="B2236" s="1">
        <v>38429</v>
      </c>
      <c r="C2236" s="2">
        <v>2109.15</v>
      </c>
      <c r="D2236" s="2">
        <v>2097.75</v>
      </c>
      <c r="E2236" s="2">
        <v>2112.25</v>
      </c>
      <c r="F2236" s="2">
        <v>2077.1999999999998</v>
      </c>
      <c r="G2236" s="3">
        <f t="shared" si="104"/>
        <v>5.0750536097212695E-3</v>
      </c>
      <c r="H2236" s="2">
        <f t="shared" si="102"/>
        <v>35.050000000000182</v>
      </c>
      <c r="I2236" s="3">
        <f t="shared" si="103"/>
        <v>1.67083780240735E-2</v>
      </c>
    </row>
    <row r="2237" spans="2:9" x14ac:dyDescent="0.25">
      <c r="B2237" s="1">
        <v>38432</v>
      </c>
      <c r="C2237" s="2">
        <v>2096.6</v>
      </c>
      <c r="D2237" s="2">
        <v>2117.9499999999998</v>
      </c>
      <c r="E2237" s="2">
        <v>2124.8000000000002</v>
      </c>
      <c r="F2237" s="2">
        <v>2089.35</v>
      </c>
      <c r="G2237" s="3">
        <f t="shared" si="104"/>
        <v>-5.9502643244909725E-3</v>
      </c>
      <c r="H2237" s="2">
        <f t="shared" si="102"/>
        <v>35.450000000000273</v>
      </c>
      <c r="I2237" s="3">
        <f t="shared" si="103"/>
        <v>1.6737883330579229E-2</v>
      </c>
    </row>
    <row r="2238" spans="2:9" x14ac:dyDescent="0.25">
      <c r="B2238" s="1">
        <v>38433</v>
      </c>
      <c r="C2238" s="2">
        <v>2061.6</v>
      </c>
      <c r="D2238" s="2">
        <v>2096.75</v>
      </c>
      <c r="E2238" s="2">
        <v>2099</v>
      </c>
      <c r="F2238" s="2">
        <v>2056.5</v>
      </c>
      <c r="G2238" s="3">
        <f t="shared" si="104"/>
        <v>-1.6693694553086003E-2</v>
      </c>
      <c r="H2238" s="2">
        <f t="shared" si="102"/>
        <v>42.5</v>
      </c>
      <c r="I2238" s="3">
        <f t="shared" si="103"/>
        <v>2.0269464647669013E-2</v>
      </c>
    </row>
    <row r="2239" spans="2:9" x14ac:dyDescent="0.25">
      <c r="B2239" s="1">
        <v>38434</v>
      </c>
      <c r="C2239" s="2">
        <v>2026.4</v>
      </c>
      <c r="D2239" s="2">
        <v>2061.1999999999998</v>
      </c>
      <c r="E2239" s="2">
        <v>2067.4499999999998</v>
      </c>
      <c r="F2239" s="2">
        <v>2019.85</v>
      </c>
      <c r="G2239" s="3">
        <f t="shared" si="104"/>
        <v>-1.7074117190531535E-2</v>
      </c>
      <c r="H2239" s="2">
        <f t="shared" si="102"/>
        <v>47.599999999999909</v>
      </c>
      <c r="I2239" s="3">
        <f t="shared" si="103"/>
        <v>2.3093343683291245E-2</v>
      </c>
    </row>
    <row r="2240" spans="2:9" x14ac:dyDescent="0.25">
      <c r="B2240" s="1">
        <v>38435</v>
      </c>
      <c r="C2240" s="2">
        <v>2015.4</v>
      </c>
      <c r="D2240" s="2">
        <v>2026.6</v>
      </c>
      <c r="E2240" s="2">
        <v>2042.45</v>
      </c>
      <c r="F2240" s="2">
        <v>2007.35</v>
      </c>
      <c r="G2240" s="3">
        <f t="shared" si="104"/>
        <v>-5.4283458349783098E-3</v>
      </c>
      <c r="H2240" s="2">
        <f t="shared" si="102"/>
        <v>35.100000000000136</v>
      </c>
      <c r="I2240" s="3">
        <f t="shared" si="103"/>
        <v>1.7319648672653773E-2</v>
      </c>
    </row>
    <row r="2241" spans="2:9" x14ac:dyDescent="0.25">
      <c r="B2241" s="1">
        <v>38439</v>
      </c>
      <c r="C2241" s="2">
        <v>2029.45</v>
      </c>
      <c r="D2241" s="2">
        <v>2015.75</v>
      </c>
      <c r="E2241" s="2">
        <v>2046.85</v>
      </c>
      <c r="F2241" s="2">
        <v>2015.25</v>
      </c>
      <c r="G2241" s="3">
        <f t="shared" si="104"/>
        <v>6.9713208296120488E-3</v>
      </c>
      <c r="H2241" s="2">
        <f t="shared" si="102"/>
        <v>31.599999999999909</v>
      </c>
      <c r="I2241" s="3">
        <f t="shared" si="103"/>
        <v>1.5676547190871838E-2</v>
      </c>
    </row>
    <row r="2242" spans="2:9" x14ac:dyDescent="0.25">
      <c r="B2242" s="1">
        <v>38440</v>
      </c>
      <c r="C2242" s="2">
        <v>1983.85</v>
      </c>
      <c r="D2242" s="2">
        <v>2029.4</v>
      </c>
      <c r="E2242" s="2">
        <v>2032.65</v>
      </c>
      <c r="F2242" s="2">
        <v>1971.55</v>
      </c>
      <c r="G2242" s="3">
        <f t="shared" si="104"/>
        <v>-2.246914188573268E-2</v>
      </c>
      <c r="H2242" s="2">
        <f t="shared" si="102"/>
        <v>61.100000000000136</v>
      </c>
      <c r="I2242" s="3">
        <f t="shared" si="103"/>
        <v>3.0107420912585066E-2</v>
      </c>
    </row>
    <row r="2243" spans="2:9" x14ac:dyDescent="0.25">
      <c r="B2243" s="1">
        <v>38441</v>
      </c>
      <c r="C2243" s="2">
        <v>1993.7</v>
      </c>
      <c r="D2243" s="2">
        <v>1983.65</v>
      </c>
      <c r="E2243" s="2">
        <v>2000.45</v>
      </c>
      <c r="F2243" s="2">
        <v>1971.15</v>
      </c>
      <c r="G2243" s="3">
        <f t="shared" si="104"/>
        <v>4.9650931270006637E-3</v>
      </c>
      <c r="H2243" s="2">
        <f t="shared" si="102"/>
        <v>29.299999999999955</v>
      </c>
      <c r="I2243" s="3">
        <f t="shared" si="103"/>
        <v>1.4770750888513574E-2</v>
      </c>
    </row>
    <row r="2244" spans="2:9" x14ac:dyDescent="0.25">
      <c r="B2244" s="1">
        <v>38442</v>
      </c>
      <c r="C2244" s="2">
        <v>2035.65</v>
      </c>
      <c r="D2244" s="2">
        <v>1994.5</v>
      </c>
      <c r="E2244" s="2">
        <v>2043.6</v>
      </c>
      <c r="F2244" s="2">
        <v>1994.5</v>
      </c>
      <c r="G2244" s="3">
        <f t="shared" si="104"/>
        <v>2.1041280032101151E-2</v>
      </c>
      <c r="H2244" s="2">
        <f t="shared" si="102"/>
        <v>49.099999999999909</v>
      </c>
      <c r="I2244" s="3">
        <f t="shared" si="103"/>
        <v>2.4617698671346156E-2</v>
      </c>
    </row>
    <row r="2245" spans="2:9" x14ac:dyDescent="0.25">
      <c r="B2245" s="1">
        <v>38443</v>
      </c>
      <c r="C2245" s="2">
        <v>2067.65</v>
      </c>
      <c r="D2245" s="2">
        <v>2035.9</v>
      </c>
      <c r="E2245" s="2">
        <v>2071.1999999999998</v>
      </c>
      <c r="F2245" s="2">
        <v>2024.25</v>
      </c>
      <c r="G2245" s="3">
        <f t="shared" si="104"/>
        <v>1.571979466018214E-2</v>
      </c>
      <c r="H2245" s="2">
        <f t="shared" ref="H2245:H2308" si="105">E2245-F2245</f>
        <v>46.949999999999818</v>
      </c>
      <c r="I2245" s="3">
        <f t="shared" si="103"/>
        <v>2.3061054079276888E-2</v>
      </c>
    </row>
    <row r="2246" spans="2:9" x14ac:dyDescent="0.25">
      <c r="B2246" s="1">
        <v>38446</v>
      </c>
      <c r="C2246" s="2">
        <v>2063.4</v>
      </c>
      <c r="D2246" s="2">
        <v>2067.65</v>
      </c>
      <c r="E2246" s="2">
        <v>2076.6</v>
      </c>
      <c r="F2246" s="2">
        <v>2054.9</v>
      </c>
      <c r="G2246" s="3">
        <f t="shared" si="104"/>
        <v>-2.0554736053006728E-3</v>
      </c>
      <c r="H2246" s="2">
        <f t="shared" si="105"/>
        <v>21.699999999999818</v>
      </c>
      <c r="I2246" s="3">
        <f t="shared" ref="I2246:I2309" si="106">H2246/D2246</f>
        <v>1.0495006408241152E-2</v>
      </c>
    </row>
    <row r="2247" spans="2:9" x14ac:dyDescent="0.25">
      <c r="B2247" s="1">
        <v>38447</v>
      </c>
      <c r="C2247" s="2">
        <v>2052.5500000000002</v>
      </c>
      <c r="D2247" s="2">
        <v>2063.1999999999998</v>
      </c>
      <c r="E2247" s="2">
        <v>2077.9499999999998</v>
      </c>
      <c r="F2247" s="2">
        <v>2043.7</v>
      </c>
      <c r="G2247" s="3">
        <f t="shared" ref="G2247:G2310" si="107">C2247/C2246-1</f>
        <v>-5.2583115246679357E-3</v>
      </c>
      <c r="H2247" s="2">
        <f t="shared" si="105"/>
        <v>34.249999999999773</v>
      </c>
      <c r="I2247" s="3">
        <f t="shared" si="106"/>
        <v>1.6600426521907609E-2</v>
      </c>
    </row>
    <row r="2248" spans="2:9" x14ac:dyDescent="0.25">
      <c r="B2248" s="1">
        <v>38448</v>
      </c>
      <c r="C2248" s="2">
        <v>2069.3000000000002</v>
      </c>
      <c r="D2248" s="2">
        <v>2054</v>
      </c>
      <c r="E2248" s="2">
        <v>2073.1</v>
      </c>
      <c r="F2248" s="2">
        <v>2051.3000000000002</v>
      </c>
      <c r="G2248" s="3">
        <f t="shared" si="107"/>
        <v>8.1605807410294329E-3</v>
      </c>
      <c r="H2248" s="2">
        <f t="shared" si="105"/>
        <v>21.799999999999727</v>
      </c>
      <c r="I2248" s="3">
        <f t="shared" si="106"/>
        <v>1.0613437195715544E-2</v>
      </c>
    </row>
    <row r="2249" spans="2:9" x14ac:dyDescent="0.25">
      <c r="B2249" s="1">
        <v>38449</v>
      </c>
      <c r="C2249" s="2">
        <v>2052.85</v>
      </c>
      <c r="D2249" s="2">
        <v>2069.15</v>
      </c>
      <c r="E2249" s="2">
        <v>2084.9</v>
      </c>
      <c r="F2249" s="2">
        <v>2048.0500000000002</v>
      </c>
      <c r="G2249" s="3">
        <f t="shared" si="107"/>
        <v>-7.9495481563814918E-3</v>
      </c>
      <c r="H2249" s="2">
        <f t="shared" si="105"/>
        <v>36.849999999999909</v>
      </c>
      <c r="I2249" s="3">
        <f t="shared" si="106"/>
        <v>1.7809245342290267E-2</v>
      </c>
    </row>
    <row r="2250" spans="2:9" x14ac:dyDescent="0.25">
      <c r="B2250" s="1">
        <v>38450</v>
      </c>
      <c r="C2250" s="2">
        <v>2031.2</v>
      </c>
      <c r="D2250" s="2">
        <v>2053.0500000000002</v>
      </c>
      <c r="E2250" s="2">
        <v>2057.5</v>
      </c>
      <c r="F2250" s="2">
        <v>2024.8</v>
      </c>
      <c r="G2250" s="3">
        <f t="shared" si="107"/>
        <v>-1.0546313661494944E-2</v>
      </c>
      <c r="H2250" s="2">
        <f t="shared" si="105"/>
        <v>32.700000000000045</v>
      </c>
      <c r="I2250" s="3">
        <f t="shared" si="106"/>
        <v>1.5927522466574143E-2</v>
      </c>
    </row>
    <row r="2251" spans="2:9" x14ac:dyDescent="0.25">
      <c r="B2251" s="1">
        <v>38453</v>
      </c>
      <c r="C2251" s="2">
        <v>2008.2</v>
      </c>
      <c r="D2251" s="2">
        <v>2032.75</v>
      </c>
      <c r="E2251" s="2">
        <v>2033</v>
      </c>
      <c r="F2251" s="2">
        <v>2001.85</v>
      </c>
      <c r="G2251" s="3">
        <f t="shared" si="107"/>
        <v>-1.1323355651831402E-2</v>
      </c>
      <c r="H2251" s="2">
        <f t="shared" si="105"/>
        <v>31.150000000000091</v>
      </c>
      <c r="I2251" s="3">
        <f t="shared" si="106"/>
        <v>1.5324068380273073E-2</v>
      </c>
    </row>
    <row r="2252" spans="2:9" x14ac:dyDescent="0.25">
      <c r="B2252" s="1">
        <v>38454</v>
      </c>
      <c r="C2252" s="2">
        <v>2024.95</v>
      </c>
      <c r="D2252" s="2">
        <v>2002.75</v>
      </c>
      <c r="E2252" s="2">
        <v>2027.8</v>
      </c>
      <c r="F2252" s="2">
        <v>2002.75</v>
      </c>
      <c r="G2252" s="3">
        <f t="shared" si="107"/>
        <v>8.340802708893591E-3</v>
      </c>
      <c r="H2252" s="2">
        <f t="shared" si="105"/>
        <v>25.049999999999955</v>
      </c>
      <c r="I2252" s="3">
        <f t="shared" si="106"/>
        <v>1.2507801772562704E-2</v>
      </c>
    </row>
    <row r="2253" spans="2:9" x14ac:dyDescent="0.25">
      <c r="B2253" s="1">
        <v>38455</v>
      </c>
      <c r="C2253" s="2">
        <v>2025.45</v>
      </c>
      <c r="D2253" s="2">
        <v>2024.9</v>
      </c>
      <c r="E2253" s="2">
        <v>2038.85</v>
      </c>
      <c r="F2253" s="2">
        <v>2018.1</v>
      </c>
      <c r="G2253" s="3">
        <f t="shared" si="107"/>
        <v>2.4691967702916706E-4</v>
      </c>
      <c r="H2253" s="2">
        <f t="shared" si="105"/>
        <v>20.75</v>
      </c>
      <c r="I2253" s="3">
        <f t="shared" si="106"/>
        <v>1.0247419625660526E-2</v>
      </c>
    </row>
    <row r="2254" spans="2:9" x14ac:dyDescent="0.25">
      <c r="B2254" s="1">
        <v>38457</v>
      </c>
      <c r="C2254" s="2">
        <v>1956.3</v>
      </c>
      <c r="D2254" s="2">
        <v>2022.5</v>
      </c>
      <c r="E2254" s="2">
        <v>2022.5</v>
      </c>
      <c r="F2254" s="2">
        <v>1952.75</v>
      </c>
      <c r="G2254" s="3">
        <f t="shared" si="107"/>
        <v>-3.4140561356735599E-2</v>
      </c>
      <c r="H2254" s="2">
        <f t="shared" si="105"/>
        <v>69.75</v>
      </c>
      <c r="I2254" s="3">
        <f t="shared" si="106"/>
        <v>3.4487021013597033E-2</v>
      </c>
    </row>
    <row r="2255" spans="2:9" x14ac:dyDescent="0.25">
      <c r="B2255" s="1">
        <v>38460</v>
      </c>
      <c r="C2255" s="2">
        <v>1927.8</v>
      </c>
      <c r="D2255" s="2">
        <v>1955.5</v>
      </c>
      <c r="E2255" s="2">
        <v>1959.25</v>
      </c>
      <c r="F2255" s="2">
        <v>1914.85</v>
      </c>
      <c r="G2255" s="3">
        <f t="shared" si="107"/>
        <v>-1.4568317742677528E-2</v>
      </c>
      <c r="H2255" s="2">
        <f t="shared" si="105"/>
        <v>44.400000000000091</v>
      </c>
      <c r="I2255" s="3">
        <f t="shared" si="106"/>
        <v>2.2705190488366195E-2</v>
      </c>
    </row>
    <row r="2256" spans="2:9" x14ac:dyDescent="0.25">
      <c r="B2256" s="1">
        <v>38461</v>
      </c>
      <c r="C2256" s="2">
        <v>1909.4</v>
      </c>
      <c r="D2256" s="2">
        <v>1927.9</v>
      </c>
      <c r="E2256" s="2">
        <v>1961.15</v>
      </c>
      <c r="F2256" s="2">
        <v>1902.8</v>
      </c>
      <c r="G2256" s="3">
        <f t="shared" si="107"/>
        <v>-9.5445585641663611E-3</v>
      </c>
      <c r="H2256" s="2">
        <f t="shared" si="105"/>
        <v>58.350000000000136</v>
      </c>
      <c r="I2256" s="3">
        <f t="shared" si="106"/>
        <v>3.0266092639659802E-2</v>
      </c>
    </row>
    <row r="2257" spans="2:9" x14ac:dyDescent="0.25">
      <c r="B2257" s="1">
        <v>38462</v>
      </c>
      <c r="C2257" s="2">
        <v>1929.7</v>
      </c>
      <c r="D2257" s="2">
        <v>1908.5</v>
      </c>
      <c r="E2257" s="2">
        <v>1941.85</v>
      </c>
      <c r="F2257" s="2">
        <v>1902.9</v>
      </c>
      <c r="G2257" s="3">
        <f t="shared" si="107"/>
        <v>1.063161202471985E-2</v>
      </c>
      <c r="H2257" s="2">
        <f t="shared" si="105"/>
        <v>38.949999999999818</v>
      </c>
      <c r="I2257" s="3">
        <f t="shared" si="106"/>
        <v>2.0408697930311668E-2</v>
      </c>
    </row>
    <row r="2258" spans="2:9" x14ac:dyDescent="0.25">
      <c r="B2258" s="1">
        <v>38463</v>
      </c>
      <c r="C2258" s="2">
        <v>1948.55</v>
      </c>
      <c r="D2258" s="2">
        <v>1930.5</v>
      </c>
      <c r="E2258" s="2">
        <v>1950</v>
      </c>
      <c r="F2258" s="2">
        <v>1911.4</v>
      </c>
      <c r="G2258" s="3">
        <f t="shared" si="107"/>
        <v>9.7683577758200801E-3</v>
      </c>
      <c r="H2258" s="2">
        <f t="shared" si="105"/>
        <v>38.599999999999909</v>
      </c>
      <c r="I2258" s="3">
        <f t="shared" si="106"/>
        <v>1.9994819994819949E-2</v>
      </c>
    </row>
    <row r="2259" spans="2:9" x14ac:dyDescent="0.25">
      <c r="B2259" s="1">
        <v>38464</v>
      </c>
      <c r="C2259" s="2">
        <v>1967.35</v>
      </c>
      <c r="D2259" s="2">
        <v>1950.6</v>
      </c>
      <c r="E2259" s="2">
        <v>1972.95</v>
      </c>
      <c r="F2259" s="2">
        <v>1950</v>
      </c>
      <c r="G2259" s="3">
        <f t="shared" si="107"/>
        <v>9.6481999435478194E-3</v>
      </c>
      <c r="H2259" s="2">
        <f t="shared" si="105"/>
        <v>22.950000000000045</v>
      </c>
      <c r="I2259" s="3">
        <f t="shared" si="106"/>
        <v>1.1765610581359606E-2</v>
      </c>
    </row>
    <row r="2260" spans="2:9" x14ac:dyDescent="0.25">
      <c r="B2260" s="1">
        <v>38467</v>
      </c>
      <c r="C2260" s="2">
        <v>1970.95</v>
      </c>
      <c r="D2260" s="2">
        <v>1968.45</v>
      </c>
      <c r="E2260" s="2">
        <v>1974.2</v>
      </c>
      <c r="F2260" s="2">
        <v>1952.4</v>
      </c>
      <c r="G2260" s="3">
        <f t="shared" si="107"/>
        <v>1.8298726713599223E-3</v>
      </c>
      <c r="H2260" s="2">
        <f t="shared" si="105"/>
        <v>21.799999999999955</v>
      </c>
      <c r="I2260" s="3">
        <f t="shared" si="106"/>
        <v>1.1074703446874421E-2</v>
      </c>
    </row>
    <row r="2261" spans="2:9" x14ac:dyDescent="0.25">
      <c r="B2261" s="1">
        <v>38468</v>
      </c>
      <c r="C2261" s="2">
        <v>1957.1</v>
      </c>
      <c r="D2261" s="2">
        <v>1971.05</v>
      </c>
      <c r="E2261" s="2">
        <v>1972.85</v>
      </c>
      <c r="F2261" s="2">
        <v>1951.8</v>
      </c>
      <c r="G2261" s="3">
        <f t="shared" si="107"/>
        <v>-7.027068165098127E-3</v>
      </c>
      <c r="H2261" s="2">
        <f t="shared" si="105"/>
        <v>21.049999999999955</v>
      </c>
      <c r="I2261" s="3">
        <f t="shared" si="106"/>
        <v>1.0679587022145534E-2</v>
      </c>
    </row>
    <row r="2262" spans="2:9" x14ac:dyDescent="0.25">
      <c r="B2262" s="1">
        <v>38469</v>
      </c>
      <c r="C2262" s="2">
        <v>1935.4</v>
      </c>
      <c r="D2262" s="2">
        <v>1959.45</v>
      </c>
      <c r="E2262" s="2">
        <v>1962.2</v>
      </c>
      <c r="F2262" s="2">
        <v>1930.35</v>
      </c>
      <c r="G2262" s="3">
        <f t="shared" si="107"/>
        <v>-1.1087834040161337E-2</v>
      </c>
      <c r="H2262" s="2">
        <f t="shared" si="105"/>
        <v>31.850000000000136</v>
      </c>
      <c r="I2262" s="3">
        <f t="shared" si="106"/>
        <v>1.6254561228916348E-2</v>
      </c>
    </row>
    <row r="2263" spans="2:9" x14ac:dyDescent="0.25">
      <c r="B2263" s="1">
        <v>38470</v>
      </c>
      <c r="C2263" s="2">
        <v>1941.3</v>
      </c>
      <c r="D2263" s="2">
        <v>1935.65</v>
      </c>
      <c r="E2263" s="2">
        <v>1950.25</v>
      </c>
      <c r="F2263" s="2">
        <v>1921.05</v>
      </c>
      <c r="G2263" s="3">
        <f t="shared" si="107"/>
        <v>3.0484654335021233E-3</v>
      </c>
      <c r="H2263" s="2">
        <f t="shared" si="105"/>
        <v>29.200000000000045</v>
      </c>
      <c r="I2263" s="3">
        <f t="shared" si="106"/>
        <v>1.5085371838917182E-2</v>
      </c>
    </row>
    <row r="2264" spans="2:9" x14ac:dyDescent="0.25">
      <c r="B2264" s="1">
        <v>38471</v>
      </c>
      <c r="C2264" s="2">
        <v>1902.5</v>
      </c>
      <c r="D2264" s="2">
        <v>1943.2</v>
      </c>
      <c r="E2264" s="2">
        <v>1943.2</v>
      </c>
      <c r="F2264" s="2">
        <v>1896.3</v>
      </c>
      <c r="G2264" s="3">
        <f t="shared" si="107"/>
        <v>-1.9986606912893445E-2</v>
      </c>
      <c r="H2264" s="2">
        <f t="shared" si="105"/>
        <v>46.900000000000091</v>
      </c>
      <c r="I2264" s="3">
        <f t="shared" si="106"/>
        <v>2.4135446685879008E-2</v>
      </c>
    </row>
    <row r="2265" spans="2:9" x14ac:dyDescent="0.25">
      <c r="B2265" s="1">
        <v>38474</v>
      </c>
      <c r="C2265" s="2">
        <v>1916.75</v>
      </c>
      <c r="D2265" s="2">
        <v>1903.1</v>
      </c>
      <c r="E2265" s="2">
        <v>1925.6</v>
      </c>
      <c r="F2265" s="2">
        <v>1898.15</v>
      </c>
      <c r="G2265" s="3">
        <f t="shared" si="107"/>
        <v>7.4901445466490912E-3</v>
      </c>
      <c r="H2265" s="2">
        <f t="shared" si="105"/>
        <v>27.449999999999818</v>
      </c>
      <c r="I2265" s="3">
        <f t="shared" si="106"/>
        <v>1.4423834795859292E-2</v>
      </c>
    </row>
    <row r="2266" spans="2:9" x14ac:dyDescent="0.25">
      <c r="B2266" s="1">
        <v>38475</v>
      </c>
      <c r="C2266" s="2">
        <v>1920.7</v>
      </c>
      <c r="D2266" s="2">
        <v>1916.95</v>
      </c>
      <c r="E2266" s="2">
        <v>1940.1</v>
      </c>
      <c r="F2266" s="2">
        <v>1911</v>
      </c>
      <c r="G2266" s="3">
        <f t="shared" si="107"/>
        <v>2.0607799660885551E-3</v>
      </c>
      <c r="H2266" s="2">
        <f t="shared" si="105"/>
        <v>29.099999999999909</v>
      </c>
      <c r="I2266" s="3">
        <f t="shared" si="106"/>
        <v>1.5180364641748564E-2</v>
      </c>
    </row>
    <row r="2267" spans="2:9" x14ac:dyDescent="0.25">
      <c r="B2267" s="1">
        <v>38476</v>
      </c>
      <c r="C2267" s="2">
        <v>1942.6</v>
      </c>
      <c r="D2267" s="2">
        <v>1920.5</v>
      </c>
      <c r="E2267" s="2">
        <v>1944.45</v>
      </c>
      <c r="F2267" s="2">
        <v>1920.15</v>
      </c>
      <c r="G2267" s="3">
        <f t="shared" si="107"/>
        <v>1.1402092986931844E-2</v>
      </c>
      <c r="H2267" s="2">
        <f t="shared" si="105"/>
        <v>24.299999999999955</v>
      </c>
      <c r="I2267" s="3">
        <f t="shared" si="106"/>
        <v>1.2652954959645902E-2</v>
      </c>
    </row>
    <row r="2268" spans="2:9" x14ac:dyDescent="0.25">
      <c r="B2268" s="1">
        <v>38477</v>
      </c>
      <c r="C2268" s="2">
        <v>1963.3</v>
      </c>
      <c r="D2268" s="2">
        <v>1942.6</v>
      </c>
      <c r="E2268" s="2">
        <v>1973.35</v>
      </c>
      <c r="F2268" s="2">
        <v>1942.05</v>
      </c>
      <c r="G2268" s="3">
        <f t="shared" si="107"/>
        <v>1.0655822094100653E-2</v>
      </c>
      <c r="H2268" s="2">
        <f t="shared" si="105"/>
        <v>31.299999999999955</v>
      </c>
      <c r="I2268" s="3">
        <f t="shared" si="106"/>
        <v>1.6112426644702953E-2</v>
      </c>
    </row>
    <row r="2269" spans="2:9" x14ac:dyDescent="0.25">
      <c r="B2269" s="1">
        <v>38478</v>
      </c>
      <c r="C2269" s="2">
        <v>1977.5</v>
      </c>
      <c r="D2269" s="2">
        <v>1962.3</v>
      </c>
      <c r="E2269" s="2">
        <v>1984.4</v>
      </c>
      <c r="F2269" s="2">
        <v>1947.3</v>
      </c>
      <c r="G2269" s="3">
        <f t="shared" si="107"/>
        <v>7.2327204197015771E-3</v>
      </c>
      <c r="H2269" s="2">
        <f t="shared" si="105"/>
        <v>37.100000000000136</v>
      </c>
      <c r="I2269" s="3">
        <f t="shared" si="106"/>
        <v>1.8906385364113609E-2</v>
      </c>
    </row>
    <row r="2270" spans="2:9" x14ac:dyDescent="0.25">
      <c r="B2270" s="1">
        <v>38481</v>
      </c>
      <c r="C2270" s="2">
        <v>2000.75</v>
      </c>
      <c r="D2270" s="2">
        <v>1978.05</v>
      </c>
      <c r="E2270" s="2">
        <v>2003.15</v>
      </c>
      <c r="F2270" s="2">
        <v>1978.05</v>
      </c>
      <c r="G2270" s="3">
        <f t="shared" si="107"/>
        <v>1.1757269279393245E-2</v>
      </c>
      <c r="H2270" s="2">
        <f t="shared" si="105"/>
        <v>25.100000000000136</v>
      </c>
      <c r="I2270" s="3">
        <f t="shared" si="106"/>
        <v>1.2689264679861549E-2</v>
      </c>
    </row>
    <row r="2271" spans="2:9" x14ac:dyDescent="0.25">
      <c r="B2271" s="1">
        <v>38482</v>
      </c>
      <c r="C2271" s="2">
        <v>1994.3</v>
      </c>
      <c r="D2271" s="2">
        <v>2001</v>
      </c>
      <c r="E2271" s="2">
        <v>2007.8</v>
      </c>
      <c r="F2271" s="2">
        <v>1989.1</v>
      </c>
      <c r="G2271" s="3">
        <f t="shared" si="107"/>
        <v>-3.2237910783456947E-3</v>
      </c>
      <c r="H2271" s="2">
        <f t="shared" si="105"/>
        <v>18.700000000000045</v>
      </c>
      <c r="I2271" s="3">
        <f t="shared" si="106"/>
        <v>9.345327336331857E-3</v>
      </c>
    </row>
    <row r="2272" spans="2:9" x14ac:dyDescent="0.25">
      <c r="B2272" s="1">
        <v>38483</v>
      </c>
      <c r="C2272" s="2">
        <v>1985.95</v>
      </c>
      <c r="D2272" s="2">
        <v>1990.55</v>
      </c>
      <c r="E2272" s="2">
        <v>1991.85</v>
      </c>
      <c r="F2272" s="2">
        <v>1975.05</v>
      </c>
      <c r="G2272" s="3">
        <f t="shared" si="107"/>
        <v>-4.1869327583612392E-3</v>
      </c>
      <c r="H2272" s="2">
        <f t="shared" si="105"/>
        <v>16.799999999999955</v>
      </c>
      <c r="I2272" s="3">
        <f t="shared" si="106"/>
        <v>8.4398784255607512E-3</v>
      </c>
    </row>
    <row r="2273" spans="2:9" x14ac:dyDescent="0.25">
      <c r="B2273" s="1">
        <v>38484</v>
      </c>
      <c r="C2273" s="2">
        <v>1993.15</v>
      </c>
      <c r="D2273" s="2">
        <v>1985.95</v>
      </c>
      <c r="E2273" s="2">
        <v>1999.85</v>
      </c>
      <c r="F2273" s="2">
        <v>1981.95</v>
      </c>
      <c r="G2273" s="3">
        <f t="shared" si="107"/>
        <v>3.6254689191570488E-3</v>
      </c>
      <c r="H2273" s="2">
        <f t="shared" si="105"/>
        <v>17.899999999999864</v>
      </c>
      <c r="I2273" s="3">
        <f t="shared" si="106"/>
        <v>9.0133185629043353E-3</v>
      </c>
    </row>
    <row r="2274" spans="2:9" x14ac:dyDescent="0.25">
      <c r="B2274" s="1">
        <v>38485</v>
      </c>
      <c r="C2274" s="2">
        <v>1988.3</v>
      </c>
      <c r="D2274" s="2">
        <v>1992.5</v>
      </c>
      <c r="E2274" s="2">
        <v>1992.75</v>
      </c>
      <c r="F2274" s="2">
        <v>1978.9</v>
      </c>
      <c r="G2274" s="3">
        <f t="shared" si="107"/>
        <v>-2.433334169530732E-3</v>
      </c>
      <c r="H2274" s="2">
        <f t="shared" si="105"/>
        <v>13.849999999999909</v>
      </c>
      <c r="I2274" s="3">
        <f t="shared" si="106"/>
        <v>6.951066499372602E-3</v>
      </c>
    </row>
    <row r="2275" spans="2:9" x14ac:dyDescent="0.25">
      <c r="B2275" s="1">
        <v>38488</v>
      </c>
      <c r="C2275" s="2">
        <v>2012.6</v>
      </c>
      <c r="D2275" s="2">
        <v>1991.5</v>
      </c>
      <c r="E2275" s="2">
        <v>2014.95</v>
      </c>
      <c r="F2275" s="2">
        <v>1989.7</v>
      </c>
      <c r="G2275" s="3">
        <f t="shared" si="107"/>
        <v>1.2221495750138311E-2</v>
      </c>
      <c r="H2275" s="2">
        <f t="shared" si="105"/>
        <v>25.25</v>
      </c>
      <c r="I2275" s="3">
        <f t="shared" si="106"/>
        <v>1.2678885262365051E-2</v>
      </c>
    </row>
    <row r="2276" spans="2:9" x14ac:dyDescent="0.25">
      <c r="B2276" s="1">
        <v>38489</v>
      </c>
      <c r="C2276" s="2">
        <v>1990.8</v>
      </c>
      <c r="D2276" s="2">
        <v>2013.1</v>
      </c>
      <c r="E2276" s="2">
        <v>2024.6</v>
      </c>
      <c r="F2276" s="2">
        <v>1984.75</v>
      </c>
      <c r="G2276" s="3">
        <f t="shared" si="107"/>
        <v>-1.083175991255092E-2</v>
      </c>
      <c r="H2276" s="2">
        <f t="shared" si="105"/>
        <v>39.849999999999909</v>
      </c>
      <c r="I2276" s="3">
        <f t="shared" si="106"/>
        <v>1.9795340519596596E-2</v>
      </c>
    </row>
    <row r="2277" spans="2:9" x14ac:dyDescent="0.25">
      <c r="B2277" s="1">
        <v>38490</v>
      </c>
      <c r="C2277" s="2">
        <v>1982.75</v>
      </c>
      <c r="D2277" s="2">
        <v>1990.65</v>
      </c>
      <c r="E2277" s="2">
        <v>1990.95</v>
      </c>
      <c r="F2277" s="2">
        <v>1964.65</v>
      </c>
      <c r="G2277" s="3">
        <f t="shared" si="107"/>
        <v>-4.0436005625879012E-3</v>
      </c>
      <c r="H2277" s="2">
        <f t="shared" si="105"/>
        <v>26.299999999999955</v>
      </c>
      <c r="I2277" s="3">
        <f t="shared" si="106"/>
        <v>1.3211765001381435E-2</v>
      </c>
    </row>
    <row r="2278" spans="2:9" x14ac:dyDescent="0.25">
      <c r="B2278" s="1">
        <v>38491</v>
      </c>
      <c r="C2278" s="2">
        <v>1990.85</v>
      </c>
      <c r="D2278" s="2">
        <v>1983.15</v>
      </c>
      <c r="E2278" s="2">
        <v>2008.35</v>
      </c>
      <c r="F2278" s="2">
        <v>1983.15</v>
      </c>
      <c r="G2278" s="3">
        <f t="shared" si="107"/>
        <v>4.0852351531963649E-3</v>
      </c>
      <c r="H2278" s="2">
        <f t="shared" si="105"/>
        <v>25.199999999999818</v>
      </c>
      <c r="I2278" s="3">
        <f t="shared" si="106"/>
        <v>1.2707056954844474E-2</v>
      </c>
    </row>
    <row r="2279" spans="2:9" x14ac:dyDescent="0.25">
      <c r="B2279" s="1">
        <v>38492</v>
      </c>
      <c r="C2279" s="2">
        <v>1992.4</v>
      </c>
      <c r="D2279" s="2">
        <v>1991.85</v>
      </c>
      <c r="E2279" s="2">
        <v>1998.2</v>
      </c>
      <c r="F2279" s="2">
        <v>1975.95</v>
      </c>
      <c r="G2279" s="3">
        <f t="shared" si="107"/>
        <v>7.7856192078762376E-4</v>
      </c>
      <c r="H2279" s="2">
        <f t="shared" si="105"/>
        <v>22.25</v>
      </c>
      <c r="I2279" s="3">
        <f t="shared" si="106"/>
        <v>1.1170519868463992E-2</v>
      </c>
    </row>
    <row r="2280" spans="2:9" x14ac:dyDescent="0.25">
      <c r="B2280" s="1">
        <v>38495</v>
      </c>
      <c r="C2280" s="2">
        <v>2013.9</v>
      </c>
      <c r="D2280" s="2">
        <v>1992.1</v>
      </c>
      <c r="E2280" s="2">
        <v>2019.35</v>
      </c>
      <c r="F2280" s="2">
        <v>1991.7</v>
      </c>
      <c r="G2280" s="3">
        <f t="shared" si="107"/>
        <v>1.0791005822124111E-2</v>
      </c>
      <c r="H2280" s="2">
        <f t="shared" si="105"/>
        <v>27.649999999999864</v>
      </c>
      <c r="I2280" s="3">
        <f t="shared" si="106"/>
        <v>1.3879825309974331E-2</v>
      </c>
    </row>
    <row r="2281" spans="2:9" x14ac:dyDescent="0.25">
      <c r="B2281" s="1">
        <v>38496</v>
      </c>
      <c r="C2281" s="2">
        <v>2028.6</v>
      </c>
      <c r="D2281" s="2">
        <v>2016</v>
      </c>
      <c r="E2281" s="2">
        <v>2031.9</v>
      </c>
      <c r="F2281" s="2">
        <v>2009.55</v>
      </c>
      <c r="G2281" s="3">
        <f t="shared" si="107"/>
        <v>7.2992700729925808E-3</v>
      </c>
      <c r="H2281" s="2">
        <f t="shared" si="105"/>
        <v>22.350000000000136</v>
      </c>
      <c r="I2281" s="3">
        <f t="shared" si="106"/>
        <v>1.1086309523809592E-2</v>
      </c>
    </row>
    <row r="2282" spans="2:9" x14ac:dyDescent="0.25">
      <c r="B2282" s="1">
        <v>38497</v>
      </c>
      <c r="C2282" s="2">
        <v>2043.85</v>
      </c>
      <c r="D2282" s="2">
        <v>2028.55</v>
      </c>
      <c r="E2282" s="2">
        <v>2047.45</v>
      </c>
      <c r="F2282" s="2">
        <v>2019</v>
      </c>
      <c r="G2282" s="3">
        <f t="shared" si="107"/>
        <v>7.5174997535245591E-3</v>
      </c>
      <c r="H2282" s="2">
        <f t="shared" si="105"/>
        <v>28.450000000000045</v>
      </c>
      <c r="I2282" s="3">
        <f t="shared" si="106"/>
        <v>1.4024796036577874E-2</v>
      </c>
    </row>
    <row r="2283" spans="2:9" x14ac:dyDescent="0.25">
      <c r="B2283" s="1">
        <v>38498</v>
      </c>
      <c r="C2283" s="2">
        <v>2074.6999999999998</v>
      </c>
      <c r="D2283" s="2">
        <v>2043.5</v>
      </c>
      <c r="E2283" s="2">
        <v>2078.65</v>
      </c>
      <c r="F2283" s="2">
        <v>2025.65</v>
      </c>
      <c r="G2283" s="3">
        <f t="shared" si="107"/>
        <v>1.5094062675832243E-2</v>
      </c>
      <c r="H2283" s="2">
        <f t="shared" si="105"/>
        <v>53</v>
      </c>
      <c r="I2283" s="3">
        <f t="shared" si="106"/>
        <v>2.5935894298996818E-2</v>
      </c>
    </row>
    <row r="2284" spans="2:9" x14ac:dyDescent="0.25">
      <c r="B2284" s="1">
        <v>38499</v>
      </c>
      <c r="C2284" s="2">
        <v>2076.4</v>
      </c>
      <c r="D2284" s="2">
        <v>2073.25</v>
      </c>
      <c r="E2284" s="2">
        <v>2099.35</v>
      </c>
      <c r="F2284" s="2">
        <v>2069.5</v>
      </c>
      <c r="G2284" s="3">
        <f t="shared" si="107"/>
        <v>8.1939557526400364E-4</v>
      </c>
      <c r="H2284" s="2">
        <f t="shared" si="105"/>
        <v>29.849999999999909</v>
      </c>
      <c r="I2284" s="3">
        <f t="shared" si="106"/>
        <v>1.4397684794404876E-2</v>
      </c>
    </row>
    <row r="2285" spans="2:9" x14ac:dyDescent="0.25">
      <c r="B2285" s="1">
        <v>38502</v>
      </c>
      <c r="C2285" s="2">
        <v>2072.4</v>
      </c>
      <c r="D2285" s="2">
        <v>2076.5500000000002</v>
      </c>
      <c r="E2285" s="2">
        <v>2086.85</v>
      </c>
      <c r="F2285" s="2">
        <v>2064.85</v>
      </c>
      <c r="G2285" s="3">
        <f t="shared" si="107"/>
        <v>-1.9264110961279002E-3</v>
      </c>
      <c r="H2285" s="2">
        <f t="shared" si="105"/>
        <v>22</v>
      </c>
      <c r="I2285" s="3">
        <f t="shared" si="106"/>
        <v>1.0594495677927331E-2</v>
      </c>
    </row>
    <row r="2286" spans="2:9" x14ac:dyDescent="0.25">
      <c r="B2286" s="1">
        <v>38503</v>
      </c>
      <c r="C2286" s="2">
        <v>2087.5500000000002</v>
      </c>
      <c r="D2286" s="2">
        <v>2072.5</v>
      </c>
      <c r="E2286" s="2">
        <v>2091.75</v>
      </c>
      <c r="F2286" s="2">
        <v>2066.5500000000002</v>
      </c>
      <c r="G2286" s="3">
        <f t="shared" si="107"/>
        <v>7.3103647944412486E-3</v>
      </c>
      <c r="H2286" s="2">
        <f t="shared" si="105"/>
        <v>25.199999999999818</v>
      </c>
      <c r="I2286" s="3">
        <f t="shared" si="106"/>
        <v>1.2159227985524641E-2</v>
      </c>
    </row>
    <row r="2287" spans="2:9" x14ac:dyDescent="0.25">
      <c r="B2287" s="1">
        <v>38504</v>
      </c>
      <c r="C2287" s="2">
        <v>2087.5500000000002</v>
      </c>
      <c r="D2287" s="2">
        <v>2087.8000000000002</v>
      </c>
      <c r="E2287" s="2">
        <v>2097.6</v>
      </c>
      <c r="F2287" s="2">
        <v>2081.1999999999998</v>
      </c>
      <c r="G2287" s="3">
        <f t="shared" si="107"/>
        <v>0</v>
      </c>
      <c r="H2287" s="2">
        <f t="shared" si="105"/>
        <v>16.400000000000091</v>
      </c>
      <c r="I2287" s="3">
        <f t="shared" si="106"/>
        <v>7.8551585400900899E-3</v>
      </c>
    </row>
    <row r="2288" spans="2:9" x14ac:dyDescent="0.25">
      <c r="B2288" s="1">
        <v>38505</v>
      </c>
      <c r="C2288" s="2">
        <v>2064.65</v>
      </c>
      <c r="D2288" s="2">
        <v>2087.85</v>
      </c>
      <c r="E2288" s="2">
        <v>2093.4499999999998</v>
      </c>
      <c r="F2288" s="2">
        <v>2062.5500000000002</v>
      </c>
      <c r="G2288" s="3">
        <f t="shared" si="107"/>
        <v>-1.0969797130607639E-2</v>
      </c>
      <c r="H2288" s="2">
        <f t="shared" si="105"/>
        <v>30.899999999999636</v>
      </c>
      <c r="I2288" s="3">
        <f t="shared" si="106"/>
        <v>1.4799913786909806E-2</v>
      </c>
    </row>
    <row r="2289" spans="2:9" x14ac:dyDescent="0.25">
      <c r="B2289" s="1">
        <v>38506</v>
      </c>
      <c r="C2289" s="2">
        <v>2094.25</v>
      </c>
      <c r="D2289" s="2">
        <v>2064.1</v>
      </c>
      <c r="E2289" s="2">
        <v>2097.25</v>
      </c>
      <c r="F2289" s="2">
        <v>2061.35</v>
      </c>
      <c r="G2289" s="3">
        <f t="shared" si="107"/>
        <v>1.4336570363015388E-2</v>
      </c>
      <c r="H2289" s="2">
        <f t="shared" si="105"/>
        <v>35.900000000000091</v>
      </c>
      <c r="I2289" s="3">
        <f t="shared" si="106"/>
        <v>1.7392568189525746E-2</v>
      </c>
    </row>
    <row r="2290" spans="2:9" x14ac:dyDescent="0.25">
      <c r="B2290" s="1">
        <v>38507</v>
      </c>
      <c r="C2290" s="2">
        <v>2092.35</v>
      </c>
      <c r="D2290" s="2">
        <v>2094.1</v>
      </c>
      <c r="E2290" s="2">
        <v>2098.1</v>
      </c>
      <c r="F2290" s="2">
        <v>2087</v>
      </c>
      <c r="G2290" s="3">
        <f t="shared" si="107"/>
        <v>-9.072460307986141E-4</v>
      </c>
      <c r="H2290" s="2">
        <f t="shared" si="105"/>
        <v>11.099999999999909</v>
      </c>
      <c r="I2290" s="3">
        <f t="shared" si="106"/>
        <v>5.3006064657847808E-3</v>
      </c>
    </row>
    <row r="2291" spans="2:9" x14ac:dyDescent="0.25">
      <c r="B2291" s="1">
        <v>38509</v>
      </c>
      <c r="C2291" s="2">
        <v>2092.8000000000002</v>
      </c>
      <c r="D2291" s="2">
        <v>2092</v>
      </c>
      <c r="E2291" s="2">
        <v>2109.1</v>
      </c>
      <c r="F2291" s="2">
        <v>2087.4</v>
      </c>
      <c r="G2291" s="3">
        <f t="shared" si="107"/>
        <v>2.1506918058644686E-4</v>
      </c>
      <c r="H2291" s="2">
        <f t="shared" si="105"/>
        <v>21.699999999999818</v>
      </c>
      <c r="I2291" s="3">
        <f t="shared" si="106"/>
        <v>1.0372848948374674E-2</v>
      </c>
    </row>
    <row r="2292" spans="2:9" x14ac:dyDescent="0.25">
      <c r="B2292" s="1">
        <v>38510</v>
      </c>
      <c r="C2292" s="2">
        <v>2098.15</v>
      </c>
      <c r="D2292" s="2">
        <v>2091.9499999999998</v>
      </c>
      <c r="E2292" s="2">
        <v>2102.85</v>
      </c>
      <c r="F2292" s="2">
        <v>2084.35</v>
      </c>
      <c r="G2292" s="3">
        <f t="shared" si="107"/>
        <v>2.5563837920488108E-3</v>
      </c>
      <c r="H2292" s="2">
        <f t="shared" si="105"/>
        <v>18.5</v>
      </c>
      <c r="I2292" s="3">
        <f t="shared" si="106"/>
        <v>8.8434235999904406E-3</v>
      </c>
    </row>
    <row r="2293" spans="2:9" x14ac:dyDescent="0.25">
      <c r="B2293" s="1">
        <v>38511</v>
      </c>
      <c r="C2293" s="2">
        <v>2112.4</v>
      </c>
      <c r="D2293" s="2">
        <v>2094.6999999999998</v>
      </c>
      <c r="E2293" s="2">
        <v>2115.25</v>
      </c>
      <c r="F2293" s="2">
        <v>2094.0500000000002</v>
      </c>
      <c r="G2293" s="3">
        <f t="shared" si="107"/>
        <v>6.7916974477515435E-3</v>
      </c>
      <c r="H2293" s="2">
        <f t="shared" si="105"/>
        <v>21.199999999999818</v>
      </c>
      <c r="I2293" s="3">
        <f t="shared" si="106"/>
        <v>1.012078101876155E-2</v>
      </c>
    </row>
    <row r="2294" spans="2:9" x14ac:dyDescent="0.25">
      <c r="B2294" s="1">
        <v>38512</v>
      </c>
      <c r="C2294" s="2">
        <v>2103.1999999999998</v>
      </c>
      <c r="D2294" s="2">
        <v>2112.25</v>
      </c>
      <c r="E2294" s="2">
        <v>2118.65</v>
      </c>
      <c r="F2294" s="2">
        <v>2097.5500000000002</v>
      </c>
      <c r="G2294" s="3">
        <f t="shared" si="107"/>
        <v>-4.3552357508048756E-3</v>
      </c>
      <c r="H2294" s="2">
        <f t="shared" si="105"/>
        <v>21.099999999999909</v>
      </c>
      <c r="I2294" s="3">
        <f t="shared" si="106"/>
        <v>9.9893478518167395E-3</v>
      </c>
    </row>
    <row r="2295" spans="2:9" x14ac:dyDescent="0.25">
      <c r="B2295" s="1">
        <v>38513</v>
      </c>
      <c r="C2295" s="2">
        <v>2090.6</v>
      </c>
      <c r="D2295" s="2">
        <v>2103.4499999999998</v>
      </c>
      <c r="E2295" s="2">
        <v>2133.1</v>
      </c>
      <c r="F2295" s="2">
        <v>2086.3000000000002</v>
      </c>
      <c r="G2295" s="3">
        <f t="shared" si="107"/>
        <v>-5.9908710536324961E-3</v>
      </c>
      <c r="H2295" s="2">
        <f t="shared" si="105"/>
        <v>46.799999999999727</v>
      </c>
      <c r="I2295" s="3">
        <f t="shared" si="106"/>
        <v>2.2249162090850618E-2</v>
      </c>
    </row>
    <row r="2296" spans="2:9" x14ac:dyDescent="0.25">
      <c r="B2296" s="1">
        <v>38516</v>
      </c>
      <c r="C2296" s="2">
        <v>2102.75</v>
      </c>
      <c r="D2296" s="2">
        <v>2090.6999999999998</v>
      </c>
      <c r="E2296" s="2">
        <v>2106.65</v>
      </c>
      <c r="F2296" s="2">
        <v>2081.6999999999998</v>
      </c>
      <c r="G2296" s="3">
        <f t="shared" si="107"/>
        <v>5.8117286903280885E-3</v>
      </c>
      <c r="H2296" s="2">
        <f t="shared" si="105"/>
        <v>24.950000000000273</v>
      </c>
      <c r="I2296" s="3">
        <f t="shared" si="106"/>
        <v>1.1933802075859892E-2</v>
      </c>
    </row>
    <row r="2297" spans="2:9" x14ac:dyDescent="0.25">
      <c r="B2297" s="1">
        <v>38517</v>
      </c>
      <c r="C2297" s="2">
        <v>2112.35</v>
      </c>
      <c r="D2297" s="2">
        <v>2103.65</v>
      </c>
      <c r="E2297" s="2">
        <v>2113.85</v>
      </c>
      <c r="F2297" s="2">
        <v>2098.6999999999998</v>
      </c>
      <c r="G2297" s="3">
        <f t="shared" si="107"/>
        <v>4.5654500059446601E-3</v>
      </c>
      <c r="H2297" s="2">
        <f t="shared" si="105"/>
        <v>15.150000000000091</v>
      </c>
      <c r="I2297" s="3">
        <f t="shared" si="106"/>
        <v>7.2017683550020632E-3</v>
      </c>
    </row>
    <row r="2298" spans="2:9" x14ac:dyDescent="0.25">
      <c r="B2298" s="1">
        <v>38518</v>
      </c>
      <c r="C2298" s="2">
        <v>2128.65</v>
      </c>
      <c r="D2298" s="2">
        <v>2110.5</v>
      </c>
      <c r="E2298" s="2">
        <v>2131.9499999999998</v>
      </c>
      <c r="F2298" s="2">
        <v>2110.35</v>
      </c>
      <c r="G2298" s="3">
        <f t="shared" si="107"/>
        <v>7.7165242502426068E-3</v>
      </c>
      <c r="H2298" s="2">
        <f t="shared" si="105"/>
        <v>21.599999999999909</v>
      </c>
      <c r="I2298" s="3">
        <f t="shared" si="106"/>
        <v>1.0234541577825117E-2</v>
      </c>
    </row>
    <row r="2299" spans="2:9" x14ac:dyDescent="0.25">
      <c r="B2299" s="1">
        <v>38519</v>
      </c>
      <c r="C2299" s="2">
        <v>2123.6999999999998</v>
      </c>
      <c r="D2299" s="2">
        <v>2128.3000000000002</v>
      </c>
      <c r="E2299" s="2">
        <v>2135.1</v>
      </c>
      <c r="F2299" s="2">
        <v>2114.5500000000002</v>
      </c>
      <c r="G2299" s="3">
        <f t="shared" si="107"/>
        <v>-2.3254175181454118E-3</v>
      </c>
      <c r="H2299" s="2">
        <f t="shared" si="105"/>
        <v>20.549999999999727</v>
      </c>
      <c r="I2299" s="3">
        <f t="shared" si="106"/>
        <v>9.6555936663063127E-3</v>
      </c>
    </row>
    <row r="2300" spans="2:9" x14ac:dyDescent="0.25">
      <c r="B2300" s="1">
        <v>38520</v>
      </c>
      <c r="C2300" s="2">
        <v>2123.4</v>
      </c>
      <c r="D2300" s="2">
        <v>2123.6</v>
      </c>
      <c r="E2300" s="2">
        <v>2131.75</v>
      </c>
      <c r="F2300" s="2">
        <v>2103.9</v>
      </c>
      <c r="G2300" s="3">
        <f t="shared" si="107"/>
        <v>-1.4126289023863592E-4</v>
      </c>
      <c r="H2300" s="2">
        <f t="shared" si="105"/>
        <v>27.849999999999909</v>
      </c>
      <c r="I2300" s="3">
        <f t="shared" si="106"/>
        <v>1.3114522508947029E-2</v>
      </c>
    </row>
    <row r="2301" spans="2:9" x14ac:dyDescent="0.25">
      <c r="B2301" s="1">
        <v>38523</v>
      </c>
      <c r="C2301" s="2">
        <v>2144.35</v>
      </c>
      <c r="D2301" s="2">
        <v>2130.8000000000002</v>
      </c>
      <c r="E2301" s="2">
        <v>2150.25</v>
      </c>
      <c r="F2301" s="2">
        <v>2124.65</v>
      </c>
      <c r="G2301" s="3">
        <f t="shared" si="107"/>
        <v>9.8662522369783456E-3</v>
      </c>
      <c r="H2301" s="2">
        <f t="shared" si="105"/>
        <v>25.599999999999909</v>
      </c>
      <c r="I2301" s="3">
        <f t="shared" si="106"/>
        <v>1.2014266941993574E-2</v>
      </c>
    </row>
    <row r="2302" spans="2:9" x14ac:dyDescent="0.25">
      <c r="B2302" s="1">
        <v>38524</v>
      </c>
      <c r="C2302" s="2">
        <v>2170</v>
      </c>
      <c r="D2302" s="2">
        <v>2144.75</v>
      </c>
      <c r="E2302" s="2">
        <v>2173.25</v>
      </c>
      <c r="F2302" s="2">
        <v>2140.15</v>
      </c>
      <c r="G2302" s="3">
        <f t="shared" si="107"/>
        <v>1.1961666705528451E-2</v>
      </c>
      <c r="H2302" s="2">
        <f t="shared" si="105"/>
        <v>33.099999999999909</v>
      </c>
      <c r="I2302" s="3">
        <f t="shared" si="106"/>
        <v>1.5433034153164661E-2</v>
      </c>
    </row>
    <row r="2303" spans="2:9" x14ac:dyDescent="0.25">
      <c r="B2303" s="1">
        <v>38525</v>
      </c>
      <c r="C2303" s="2">
        <v>2187.35</v>
      </c>
      <c r="D2303" s="2">
        <v>2167.8000000000002</v>
      </c>
      <c r="E2303" s="2">
        <v>2196.4499999999998</v>
      </c>
      <c r="F2303" s="2">
        <v>2167.35</v>
      </c>
      <c r="G2303" s="3">
        <f t="shared" si="107"/>
        <v>7.9953917050690215E-3</v>
      </c>
      <c r="H2303" s="2">
        <f t="shared" si="105"/>
        <v>29.099999999999909</v>
      </c>
      <c r="I2303" s="3">
        <f t="shared" si="106"/>
        <v>1.3423747578189827E-2</v>
      </c>
    </row>
    <row r="2304" spans="2:9" x14ac:dyDescent="0.25">
      <c r="B2304" s="1">
        <v>38526</v>
      </c>
      <c r="C2304" s="2">
        <v>2183.85</v>
      </c>
      <c r="D2304" s="2">
        <v>2187.35</v>
      </c>
      <c r="E2304" s="2">
        <v>2192.1</v>
      </c>
      <c r="F2304" s="2">
        <v>2174.0500000000002</v>
      </c>
      <c r="G2304" s="3">
        <f t="shared" si="107"/>
        <v>-1.6001097218094618E-3</v>
      </c>
      <c r="H2304" s="2">
        <f t="shared" si="105"/>
        <v>18.049999999999727</v>
      </c>
      <c r="I2304" s="3">
        <f t="shared" si="106"/>
        <v>8.2519944224745592E-3</v>
      </c>
    </row>
    <row r="2305" spans="2:9" x14ac:dyDescent="0.25">
      <c r="B2305" s="1">
        <v>38527</v>
      </c>
      <c r="C2305" s="2">
        <v>2194.35</v>
      </c>
      <c r="D2305" s="2">
        <v>2184</v>
      </c>
      <c r="E2305" s="2">
        <v>2204.4499999999998</v>
      </c>
      <c r="F2305" s="2">
        <v>2162.9499999999998</v>
      </c>
      <c r="G2305" s="3">
        <f t="shared" si="107"/>
        <v>4.8080225290199063E-3</v>
      </c>
      <c r="H2305" s="2">
        <f t="shared" si="105"/>
        <v>41.5</v>
      </c>
      <c r="I2305" s="3">
        <f t="shared" si="106"/>
        <v>1.90018315018315E-2</v>
      </c>
    </row>
    <row r="2306" spans="2:9" x14ac:dyDescent="0.25">
      <c r="B2306" s="1">
        <v>38530</v>
      </c>
      <c r="C2306" s="2">
        <v>2199.8000000000002</v>
      </c>
      <c r="D2306" s="2">
        <v>2194.35</v>
      </c>
      <c r="E2306" s="2">
        <v>2219.65</v>
      </c>
      <c r="F2306" s="2">
        <v>2188.15</v>
      </c>
      <c r="G2306" s="3">
        <f t="shared" si="107"/>
        <v>2.4836511951149554E-3</v>
      </c>
      <c r="H2306" s="2">
        <f t="shared" si="105"/>
        <v>31.5</v>
      </c>
      <c r="I2306" s="3">
        <f t="shared" si="106"/>
        <v>1.4355048191947502E-2</v>
      </c>
    </row>
    <row r="2307" spans="2:9" x14ac:dyDescent="0.25">
      <c r="B2307" s="1">
        <v>38531</v>
      </c>
      <c r="C2307" s="2">
        <v>2169.85</v>
      </c>
      <c r="D2307" s="2">
        <v>2199.8000000000002</v>
      </c>
      <c r="E2307" s="2">
        <v>2206.8000000000002</v>
      </c>
      <c r="F2307" s="2">
        <v>2165.9</v>
      </c>
      <c r="G2307" s="3">
        <f t="shared" si="107"/>
        <v>-1.3614874079461936E-2</v>
      </c>
      <c r="H2307" s="2">
        <f t="shared" si="105"/>
        <v>40.900000000000091</v>
      </c>
      <c r="I2307" s="3">
        <f t="shared" si="106"/>
        <v>1.8592599327211603E-2</v>
      </c>
    </row>
    <row r="2308" spans="2:9" x14ac:dyDescent="0.25">
      <c r="B2308" s="1">
        <v>38532</v>
      </c>
      <c r="C2308" s="2">
        <v>2191.65</v>
      </c>
      <c r="D2308" s="2">
        <v>2170.1999999999998</v>
      </c>
      <c r="E2308" s="2">
        <v>2194.25</v>
      </c>
      <c r="F2308" s="2">
        <v>2162</v>
      </c>
      <c r="G2308" s="3">
        <f t="shared" si="107"/>
        <v>1.0046777427011211E-2</v>
      </c>
      <c r="H2308" s="2">
        <f t="shared" si="105"/>
        <v>32.25</v>
      </c>
      <c r="I2308" s="3">
        <f t="shared" si="106"/>
        <v>1.486038153165607E-2</v>
      </c>
    </row>
    <row r="2309" spans="2:9" x14ac:dyDescent="0.25">
      <c r="B2309" s="1">
        <v>38533</v>
      </c>
      <c r="C2309" s="2">
        <v>2220.6</v>
      </c>
      <c r="D2309" s="2">
        <v>2191.5500000000002</v>
      </c>
      <c r="E2309" s="2">
        <v>2226.15</v>
      </c>
      <c r="F2309" s="2">
        <v>2189.4499999999998</v>
      </c>
      <c r="G2309" s="3">
        <f t="shared" si="107"/>
        <v>1.3209225925672419E-2</v>
      </c>
      <c r="H2309" s="2">
        <f t="shared" ref="H2309:H2372" si="108">E2309-F2309</f>
        <v>36.700000000000273</v>
      </c>
      <c r="I2309" s="3">
        <f t="shared" si="106"/>
        <v>1.6746138577719089E-2</v>
      </c>
    </row>
    <row r="2310" spans="2:9" x14ac:dyDescent="0.25">
      <c r="B2310" s="1">
        <v>38534</v>
      </c>
      <c r="C2310" s="2">
        <v>2211.9</v>
      </c>
      <c r="D2310" s="2">
        <v>2220.4499999999998</v>
      </c>
      <c r="E2310" s="2">
        <v>2220.5500000000002</v>
      </c>
      <c r="F2310" s="2">
        <v>2198.9</v>
      </c>
      <c r="G2310" s="3">
        <f t="shared" si="107"/>
        <v>-3.9178600378275696E-3</v>
      </c>
      <c r="H2310" s="2">
        <f t="shared" si="108"/>
        <v>21.650000000000091</v>
      </c>
      <c r="I2310" s="3">
        <f t="shared" ref="I2310:I2373" si="109">H2310/D2310</f>
        <v>9.7502758449864186E-3</v>
      </c>
    </row>
    <row r="2311" spans="2:9" x14ac:dyDescent="0.25">
      <c r="B2311" s="1">
        <v>38537</v>
      </c>
      <c r="C2311" s="2">
        <v>2230.65</v>
      </c>
      <c r="D2311" s="2">
        <v>2212.0500000000002</v>
      </c>
      <c r="E2311" s="2">
        <v>2232.1999999999998</v>
      </c>
      <c r="F2311" s="2">
        <v>2211.4</v>
      </c>
      <c r="G2311" s="3">
        <f t="shared" ref="G2311:G2374" si="110">C2311/C2310-1</f>
        <v>8.4768750847687979E-3</v>
      </c>
      <c r="H2311" s="2">
        <f t="shared" si="108"/>
        <v>20.799999999999727</v>
      </c>
      <c r="I2311" s="3">
        <f t="shared" si="109"/>
        <v>9.4030424267081327E-3</v>
      </c>
    </row>
    <row r="2312" spans="2:9" x14ac:dyDescent="0.25">
      <c r="B2312" s="1">
        <v>38538</v>
      </c>
      <c r="C2312" s="2">
        <v>2210.75</v>
      </c>
      <c r="D2312" s="2">
        <v>2231.1999999999998</v>
      </c>
      <c r="E2312" s="2">
        <v>2238.6</v>
      </c>
      <c r="F2312" s="2">
        <v>2205.1</v>
      </c>
      <c r="G2312" s="3">
        <f t="shared" si="110"/>
        <v>-8.921166476139275E-3</v>
      </c>
      <c r="H2312" s="2">
        <f t="shared" si="108"/>
        <v>33.5</v>
      </c>
      <c r="I2312" s="3">
        <f t="shared" si="109"/>
        <v>1.5014342058085337E-2</v>
      </c>
    </row>
    <row r="2313" spans="2:9" x14ac:dyDescent="0.25">
      <c r="B2313" s="1">
        <v>38539</v>
      </c>
      <c r="C2313" s="2">
        <v>2228.1999999999998</v>
      </c>
      <c r="D2313" s="2">
        <v>2211.35</v>
      </c>
      <c r="E2313" s="2">
        <v>2232.65</v>
      </c>
      <c r="F2313" s="2">
        <v>2211.3000000000002</v>
      </c>
      <c r="G2313" s="3">
        <f t="shared" si="110"/>
        <v>7.8932488974328141E-3</v>
      </c>
      <c r="H2313" s="2">
        <f t="shared" si="108"/>
        <v>21.349999999999909</v>
      </c>
      <c r="I2313" s="3">
        <f t="shared" si="109"/>
        <v>9.6547357948763915E-3</v>
      </c>
    </row>
    <row r="2314" spans="2:9" x14ac:dyDescent="0.25">
      <c r="B2314" s="1">
        <v>38540</v>
      </c>
      <c r="C2314" s="2">
        <v>2179.4</v>
      </c>
      <c r="D2314" s="2">
        <v>2228.3000000000002</v>
      </c>
      <c r="E2314" s="2">
        <v>2235.8000000000002</v>
      </c>
      <c r="F2314" s="2">
        <v>2171.25</v>
      </c>
      <c r="G2314" s="3">
        <f t="shared" si="110"/>
        <v>-2.1901086078448873E-2</v>
      </c>
      <c r="H2314" s="2">
        <f t="shared" si="108"/>
        <v>64.550000000000182</v>
      </c>
      <c r="I2314" s="3">
        <f t="shared" si="109"/>
        <v>2.896827177669083E-2</v>
      </c>
    </row>
    <row r="2315" spans="2:9" x14ac:dyDescent="0.25">
      <c r="B2315" s="1">
        <v>38541</v>
      </c>
      <c r="C2315" s="2">
        <v>2196.1999999999998</v>
      </c>
      <c r="D2315" s="2">
        <v>2183.5500000000002</v>
      </c>
      <c r="E2315" s="2">
        <v>2210.6999999999998</v>
      </c>
      <c r="F2315" s="2">
        <v>2179.0500000000002</v>
      </c>
      <c r="G2315" s="3">
        <f t="shared" si="110"/>
        <v>7.708543635863041E-3</v>
      </c>
      <c r="H2315" s="2">
        <f t="shared" si="108"/>
        <v>31.649999999999636</v>
      </c>
      <c r="I2315" s="3">
        <f t="shared" si="109"/>
        <v>1.4494744796317755E-2</v>
      </c>
    </row>
    <row r="2316" spans="2:9" x14ac:dyDescent="0.25">
      <c r="B2316" s="1">
        <v>38544</v>
      </c>
      <c r="C2316" s="2">
        <v>2218.85</v>
      </c>
      <c r="D2316" s="2">
        <v>2195.5500000000002</v>
      </c>
      <c r="E2316" s="2">
        <v>2224.65</v>
      </c>
      <c r="F2316" s="2">
        <v>2195.5500000000002</v>
      </c>
      <c r="G2316" s="3">
        <f t="shared" si="110"/>
        <v>1.031326837264368E-2</v>
      </c>
      <c r="H2316" s="2">
        <f t="shared" si="108"/>
        <v>29.099999999999909</v>
      </c>
      <c r="I2316" s="3">
        <f t="shared" si="109"/>
        <v>1.3254082120653097E-2</v>
      </c>
    </row>
    <row r="2317" spans="2:9" x14ac:dyDescent="0.25">
      <c r="B2317" s="1">
        <v>38545</v>
      </c>
      <c r="C2317" s="2">
        <v>2220.8000000000002</v>
      </c>
      <c r="D2317" s="2">
        <v>2219.1</v>
      </c>
      <c r="E2317" s="2">
        <v>2233.1999999999998</v>
      </c>
      <c r="F2317" s="2">
        <v>2191.6999999999998</v>
      </c>
      <c r="G2317" s="3">
        <f t="shared" si="110"/>
        <v>8.7883363003360415E-4</v>
      </c>
      <c r="H2317" s="2">
        <f t="shared" si="108"/>
        <v>41.5</v>
      </c>
      <c r="I2317" s="3">
        <f t="shared" si="109"/>
        <v>1.8701275291784957E-2</v>
      </c>
    </row>
    <row r="2318" spans="2:9" x14ac:dyDescent="0.25">
      <c r="B2318" s="1">
        <v>38546</v>
      </c>
      <c r="C2318" s="2">
        <v>2204.0500000000002</v>
      </c>
      <c r="D2318" s="2">
        <v>2221.4499999999998</v>
      </c>
      <c r="E2318" s="2">
        <v>2234.15</v>
      </c>
      <c r="F2318" s="2">
        <v>2200.0500000000002</v>
      </c>
      <c r="G2318" s="3">
        <f t="shared" si="110"/>
        <v>-7.5423270893372196E-3</v>
      </c>
      <c r="H2318" s="2">
        <f t="shared" si="108"/>
        <v>34.099999999999909</v>
      </c>
      <c r="I2318" s="3">
        <f t="shared" si="109"/>
        <v>1.5350334241148759E-2</v>
      </c>
    </row>
    <row r="2319" spans="2:9" x14ac:dyDescent="0.25">
      <c r="B2319" s="1">
        <v>38547</v>
      </c>
      <c r="C2319" s="2">
        <v>2185.1</v>
      </c>
      <c r="D2319" s="2">
        <v>2204.4</v>
      </c>
      <c r="E2319" s="2">
        <v>2212.5500000000002</v>
      </c>
      <c r="F2319" s="2">
        <v>2178.6</v>
      </c>
      <c r="G2319" s="3">
        <f t="shared" si="110"/>
        <v>-8.5978085796603043E-3</v>
      </c>
      <c r="H2319" s="2">
        <f t="shared" si="108"/>
        <v>33.950000000000273</v>
      </c>
      <c r="I2319" s="3">
        <f t="shared" si="109"/>
        <v>1.5401016149519267E-2</v>
      </c>
    </row>
    <row r="2320" spans="2:9" x14ac:dyDescent="0.25">
      <c r="B2320" s="1">
        <v>38548</v>
      </c>
      <c r="C2320" s="2">
        <v>2212.5500000000002</v>
      </c>
      <c r="D2320" s="2">
        <v>2185.1</v>
      </c>
      <c r="E2320" s="2">
        <v>2216.5</v>
      </c>
      <c r="F2320" s="2">
        <v>2181.85</v>
      </c>
      <c r="G2320" s="3">
        <f t="shared" si="110"/>
        <v>1.2562354125669417E-2</v>
      </c>
      <c r="H2320" s="2">
        <f t="shared" si="108"/>
        <v>34.650000000000091</v>
      </c>
      <c r="I2320" s="3">
        <f t="shared" si="109"/>
        <v>1.5857397830762936E-2</v>
      </c>
    </row>
    <row r="2321" spans="2:9" x14ac:dyDescent="0.25">
      <c r="B2321" s="1">
        <v>38551</v>
      </c>
      <c r="C2321" s="2">
        <v>2234</v>
      </c>
      <c r="D2321" s="2">
        <v>2212.9499999999998</v>
      </c>
      <c r="E2321" s="2">
        <v>2248.6999999999998</v>
      </c>
      <c r="F2321" s="2">
        <v>2212.9499999999998</v>
      </c>
      <c r="G2321" s="3">
        <f t="shared" si="110"/>
        <v>9.6946961650583585E-3</v>
      </c>
      <c r="H2321" s="2">
        <f t="shared" si="108"/>
        <v>35.75</v>
      </c>
      <c r="I2321" s="3">
        <f t="shared" si="109"/>
        <v>1.6154906346731741E-2</v>
      </c>
    </row>
    <row r="2322" spans="2:9" x14ac:dyDescent="0.25">
      <c r="B2322" s="1">
        <v>38552</v>
      </c>
      <c r="C2322" s="2">
        <v>2237.3000000000002</v>
      </c>
      <c r="D2322" s="2">
        <v>2234.25</v>
      </c>
      <c r="E2322" s="2">
        <v>2246.6999999999998</v>
      </c>
      <c r="F2322" s="2">
        <v>2227.1999999999998</v>
      </c>
      <c r="G2322" s="3">
        <f t="shared" si="110"/>
        <v>1.4771709937333455E-3</v>
      </c>
      <c r="H2322" s="2">
        <f t="shared" si="108"/>
        <v>19.5</v>
      </c>
      <c r="I2322" s="3">
        <f t="shared" si="109"/>
        <v>8.7277609936220208E-3</v>
      </c>
    </row>
    <row r="2323" spans="2:9" x14ac:dyDescent="0.25">
      <c r="B2323" s="1">
        <v>38553</v>
      </c>
      <c r="C2323" s="2">
        <v>2241.9</v>
      </c>
      <c r="D2323" s="2">
        <v>2236.9</v>
      </c>
      <c r="E2323" s="2">
        <v>2252</v>
      </c>
      <c r="F2323" s="2">
        <v>2236.9</v>
      </c>
      <c r="G2323" s="3">
        <f t="shared" si="110"/>
        <v>2.0560497027666269E-3</v>
      </c>
      <c r="H2323" s="2">
        <f t="shared" si="108"/>
        <v>15.099999999999909</v>
      </c>
      <c r="I2323" s="3">
        <f t="shared" si="109"/>
        <v>6.7504135187088869E-3</v>
      </c>
    </row>
    <row r="2324" spans="2:9" x14ac:dyDescent="0.25">
      <c r="B2324" s="1">
        <v>38554</v>
      </c>
      <c r="C2324" s="2">
        <v>2230.5</v>
      </c>
      <c r="D2324" s="2">
        <v>2240.9499999999998</v>
      </c>
      <c r="E2324" s="2">
        <v>2251.85</v>
      </c>
      <c r="F2324" s="2">
        <v>2221.1999999999998</v>
      </c>
      <c r="G2324" s="3">
        <f t="shared" si="110"/>
        <v>-5.0849725679111835E-3</v>
      </c>
      <c r="H2324" s="2">
        <f t="shared" si="108"/>
        <v>30.650000000000091</v>
      </c>
      <c r="I2324" s="3">
        <f t="shared" si="109"/>
        <v>1.3677235101184806E-2</v>
      </c>
    </row>
    <row r="2325" spans="2:9" x14ac:dyDescent="0.25">
      <c r="B2325" s="1">
        <v>38555</v>
      </c>
      <c r="C2325" s="2">
        <v>2265.6</v>
      </c>
      <c r="D2325" s="2">
        <v>2231</v>
      </c>
      <c r="E2325" s="2">
        <v>2268.5500000000002</v>
      </c>
      <c r="F2325" s="2">
        <v>2223.15</v>
      </c>
      <c r="G2325" s="3">
        <f t="shared" si="110"/>
        <v>1.5736381977135228E-2</v>
      </c>
      <c r="H2325" s="2">
        <f t="shared" si="108"/>
        <v>45.400000000000091</v>
      </c>
      <c r="I2325" s="3">
        <f t="shared" si="109"/>
        <v>2.0349619004930566E-2</v>
      </c>
    </row>
    <row r="2326" spans="2:9" x14ac:dyDescent="0.25">
      <c r="B2326" s="1">
        <v>38558</v>
      </c>
      <c r="C2326" s="2">
        <v>2291.75</v>
      </c>
      <c r="D2326" s="2">
        <v>2266.65</v>
      </c>
      <c r="E2326" s="2">
        <v>2293.9499999999998</v>
      </c>
      <c r="F2326" s="2">
        <v>2266.65</v>
      </c>
      <c r="G2326" s="3">
        <f t="shared" si="110"/>
        <v>1.1542196327683607E-2</v>
      </c>
      <c r="H2326" s="2">
        <f t="shared" si="108"/>
        <v>27.299999999999727</v>
      </c>
      <c r="I2326" s="3">
        <f t="shared" si="109"/>
        <v>1.2044206207398463E-2</v>
      </c>
    </row>
    <row r="2327" spans="2:9" x14ac:dyDescent="0.25">
      <c r="B2327" s="1">
        <v>38559</v>
      </c>
      <c r="C2327" s="2">
        <v>2303.15</v>
      </c>
      <c r="D2327" s="2">
        <v>2289.25</v>
      </c>
      <c r="E2327" s="2">
        <v>2307.1</v>
      </c>
      <c r="F2327" s="2">
        <v>2279.8000000000002</v>
      </c>
      <c r="G2327" s="3">
        <f t="shared" si="110"/>
        <v>4.9743645685611515E-3</v>
      </c>
      <c r="H2327" s="2">
        <f t="shared" si="108"/>
        <v>27.299999999999727</v>
      </c>
      <c r="I2327" s="3">
        <f t="shared" si="109"/>
        <v>1.1925303046849285E-2</v>
      </c>
    </row>
    <row r="2328" spans="2:9" x14ac:dyDescent="0.25">
      <c r="B2328" s="1">
        <v>38560</v>
      </c>
      <c r="C2328" s="2">
        <v>2319.1</v>
      </c>
      <c r="D2328" s="2">
        <v>2304.25</v>
      </c>
      <c r="E2328" s="2">
        <v>2324</v>
      </c>
      <c r="F2328" s="2">
        <v>2292.85</v>
      </c>
      <c r="G2328" s="3">
        <f t="shared" si="110"/>
        <v>6.9252979614875532E-3</v>
      </c>
      <c r="H2328" s="2">
        <f t="shared" si="108"/>
        <v>31.150000000000091</v>
      </c>
      <c r="I2328" s="3">
        <f t="shared" si="109"/>
        <v>1.3518498426820047E-2</v>
      </c>
    </row>
    <row r="2329" spans="2:9" x14ac:dyDescent="0.25">
      <c r="B2329" s="1">
        <v>38562</v>
      </c>
      <c r="C2329" s="2">
        <v>2312.3000000000002</v>
      </c>
      <c r="D2329" s="2">
        <v>2318.0500000000002</v>
      </c>
      <c r="E2329" s="2">
        <v>2332.5500000000002</v>
      </c>
      <c r="F2329" s="2">
        <v>2280.85</v>
      </c>
      <c r="G2329" s="3">
        <f t="shared" si="110"/>
        <v>-2.932171963261454E-3</v>
      </c>
      <c r="H2329" s="2">
        <f t="shared" si="108"/>
        <v>51.700000000000273</v>
      </c>
      <c r="I2329" s="3">
        <f t="shared" si="109"/>
        <v>2.2303229007139738E-2</v>
      </c>
    </row>
    <row r="2330" spans="2:9" x14ac:dyDescent="0.25">
      <c r="B2330" s="1">
        <v>38565</v>
      </c>
      <c r="C2330" s="2">
        <v>2318.0500000000002</v>
      </c>
      <c r="D2330" s="2">
        <v>2312.0500000000002</v>
      </c>
      <c r="E2330" s="2">
        <v>2329.9</v>
      </c>
      <c r="F2330" s="2">
        <v>2294.25</v>
      </c>
      <c r="G2330" s="3">
        <f t="shared" si="110"/>
        <v>2.4867015525666947E-3</v>
      </c>
      <c r="H2330" s="2">
        <f t="shared" si="108"/>
        <v>35.650000000000091</v>
      </c>
      <c r="I2330" s="3">
        <f t="shared" si="109"/>
        <v>1.5419216712441378E-2</v>
      </c>
    </row>
    <row r="2331" spans="2:9" x14ac:dyDescent="0.25">
      <c r="B2331" s="1">
        <v>38566</v>
      </c>
      <c r="C2331" s="2">
        <v>2353.65</v>
      </c>
      <c r="D2331" s="2">
        <v>2321.9</v>
      </c>
      <c r="E2331" s="2">
        <v>2357.15</v>
      </c>
      <c r="F2331" s="2">
        <v>2319.75</v>
      </c>
      <c r="G2331" s="3">
        <f t="shared" si="110"/>
        <v>1.5357736028126956E-2</v>
      </c>
      <c r="H2331" s="2">
        <f t="shared" si="108"/>
        <v>37.400000000000091</v>
      </c>
      <c r="I2331" s="3">
        <f t="shared" si="109"/>
        <v>1.6107498169602521E-2</v>
      </c>
    </row>
    <row r="2332" spans="2:9" x14ac:dyDescent="0.25">
      <c r="B2332" s="1">
        <v>38567</v>
      </c>
      <c r="C2332" s="2">
        <v>2357</v>
      </c>
      <c r="D2332" s="2">
        <v>2359.1</v>
      </c>
      <c r="E2332" s="2">
        <v>2377</v>
      </c>
      <c r="F2332" s="2">
        <v>2345.1999999999998</v>
      </c>
      <c r="G2332" s="3">
        <f t="shared" si="110"/>
        <v>1.4233212244811888E-3</v>
      </c>
      <c r="H2332" s="2">
        <f t="shared" si="108"/>
        <v>31.800000000000182</v>
      </c>
      <c r="I2332" s="3">
        <f t="shared" si="109"/>
        <v>1.347971684116832E-2</v>
      </c>
    </row>
    <row r="2333" spans="2:9" x14ac:dyDescent="0.25">
      <c r="B2333" s="1">
        <v>38568</v>
      </c>
      <c r="C2333" s="2">
        <v>2367.8000000000002</v>
      </c>
      <c r="D2333" s="2">
        <v>2357.75</v>
      </c>
      <c r="E2333" s="2">
        <v>2377.35</v>
      </c>
      <c r="F2333" s="2">
        <v>2352.0500000000002</v>
      </c>
      <c r="G2333" s="3">
        <f t="shared" si="110"/>
        <v>4.5820958845992354E-3</v>
      </c>
      <c r="H2333" s="2">
        <f t="shared" si="108"/>
        <v>25.299999999999727</v>
      </c>
      <c r="I2333" s="3">
        <f t="shared" si="109"/>
        <v>1.0730569398791105E-2</v>
      </c>
    </row>
    <row r="2334" spans="2:9" x14ac:dyDescent="0.25">
      <c r="B2334" s="1">
        <v>38569</v>
      </c>
      <c r="C2334" s="2">
        <v>2361.1999999999998</v>
      </c>
      <c r="D2334" s="2">
        <v>2367.35</v>
      </c>
      <c r="E2334" s="2">
        <v>2377.1</v>
      </c>
      <c r="F2334" s="2">
        <v>2355.9499999999998</v>
      </c>
      <c r="G2334" s="3">
        <f t="shared" si="110"/>
        <v>-2.7873975842556131E-3</v>
      </c>
      <c r="H2334" s="2">
        <f t="shared" si="108"/>
        <v>21.150000000000091</v>
      </c>
      <c r="I2334" s="3">
        <f t="shared" si="109"/>
        <v>8.9340401714998168E-3</v>
      </c>
    </row>
    <row r="2335" spans="2:9" x14ac:dyDescent="0.25">
      <c r="B2335" s="1">
        <v>38572</v>
      </c>
      <c r="C2335" s="2">
        <v>2324.4</v>
      </c>
      <c r="D2335" s="2">
        <v>2361.9499999999998</v>
      </c>
      <c r="E2335" s="2">
        <v>2386.9499999999998</v>
      </c>
      <c r="F2335" s="2">
        <v>2320.0500000000002</v>
      </c>
      <c r="G2335" s="3">
        <f t="shared" si="110"/>
        <v>-1.5585295612400407E-2</v>
      </c>
      <c r="H2335" s="2">
        <f t="shared" si="108"/>
        <v>66.899999999999636</v>
      </c>
      <c r="I2335" s="3">
        <f t="shared" si="109"/>
        <v>2.8324054277186071E-2</v>
      </c>
    </row>
    <row r="2336" spans="2:9" x14ac:dyDescent="0.25">
      <c r="B2336" s="1">
        <v>38573</v>
      </c>
      <c r="C2336" s="2">
        <v>2318.6999999999998</v>
      </c>
      <c r="D2336" s="2">
        <v>2324.75</v>
      </c>
      <c r="E2336" s="2">
        <v>2342.1999999999998</v>
      </c>
      <c r="F2336" s="2">
        <v>2303.1</v>
      </c>
      <c r="G2336" s="3">
        <f t="shared" si="110"/>
        <v>-2.4522457408364673E-3</v>
      </c>
      <c r="H2336" s="2">
        <f t="shared" si="108"/>
        <v>39.099999999999909</v>
      </c>
      <c r="I2336" s="3">
        <f t="shared" si="109"/>
        <v>1.6819012797074914E-2</v>
      </c>
    </row>
    <row r="2337" spans="2:9" x14ac:dyDescent="0.25">
      <c r="B2337" s="1">
        <v>38574</v>
      </c>
      <c r="C2337" s="2">
        <v>2360.15</v>
      </c>
      <c r="D2337" s="2">
        <v>2322.3000000000002</v>
      </c>
      <c r="E2337" s="2">
        <v>2364.8000000000002</v>
      </c>
      <c r="F2337" s="2">
        <v>2322.0500000000002</v>
      </c>
      <c r="G2337" s="3">
        <f t="shared" si="110"/>
        <v>1.7876396256523153E-2</v>
      </c>
      <c r="H2337" s="2">
        <f t="shared" si="108"/>
        <v>42.75</v>
      </c>
      <c r="I2337" s="3">
        <f t="shared" si="109"/>
        <v>1.8408474357318176E-2</v>
      </c>
    </row>
    <row r="2338" spans="2:9" x14ac:dyDescent="0.25">
      <c r="B2338" s="1">
        <v>38575</v>
      </c>
      <c r="C2338" s="2">
        <v>2380.9</v>
      </c>
      <c r="D2338" s="2">
        <v>2358.9</v>
      </c>
      <c r="E2338" s="2">
        <v>2387.3000000000002</v>
      </c>
      <c r="F2338" s="2">
        <v>2355.5</v>
      </c>
      <c r="G2338" s="3">
        <f t="shared" si="110"/>
        <v>8.7918140796134914E-3</v>
      </c>
      <c r="H2338" s="2">
        <f t="shared" si="108"/>
        <v>31.800000000000182</v>
      </c>
      <c r="I2338" s="3">
        <f t="shared" si="109"/>
        <v>1.3480859722752207E-2</v>
      </c>
    </row>
    <row r="2339" spans="2:9" x14ac:dyDescent="0.25">
      <c r="B2339" s="1">
        <v>38576</v>
      </c>
      <c r="C2339" s="2">
        <v>2361.5500000000002</v>
      </c>
      <c r="D2339" s="2">
        <v>2381.0500000000002</v>
      </c>
      <c r="E2339" s="2">
        <v>2390.4499999999998</v>
      </c>
      <c r="F2339" s="2">
        <v>2356.9</v>
      </c>
      <c r="G2339" s="3">
        <f t="shared" si="110"/>
        <v>-8.1271787979335652E-3</v>
      </c>
      <c r="H2339" s="2">
        <f t="shared" si="108"/>
        <v>33.549999999999727</v>
      </c>
      <c r="I2339" s="3">
        <f t="shared" si="109"/>
        <v>1.4090422292685884E-2</v>
      </c>
    </row>
    <row r="2340" spans="2:9" x14ac:dyDescent="0.25">
      <c r="B2340" s="1">
        <v>38580</v>
      </c>
      <c r="C2340" s="2">
        <v>2369.8000000000002</v>
      </c>
      <c r="D2340" s="2">
        <v>2361.65</v>
      </c>
      <c r="E2340" s="2">
        <v>2379.4</v>
      </c>
      <c r="F2340" s="2">
        <v>2356.85</v>
      </c>
      <c r="G2340" s="3">
        <f t="shared" si="110"/>
        <v>3.4934682729563793E-3</v>
      </c>
      <c r="H2340" s="2">
        <f t="shared" si="108"/>
        <v>22.550000000000182</v>
      </c>
      <c r="I2340" s="3">
        <f t="shared" si="109"/>
        <v>9.5484089513688235E-3</v>
      </c>
    </row>
    <row r="2341" spans="2:9" x14ac:dyDescent="0.25">
      <c r="B2341" s="1">
        <v>38581</v>
      </c>
      <c r="C2341" s="2">
        <v>2403.15</v>
      </c>
      <c r="D2341" s="2">
        <v>2369.8000000000002</v>
      </c>
      <c r="E2341" s="2">
        <v>2406.25</v>
      </c>
      <c r="F2341" s="2">
        <v>2357.5</v>
      </c>
      <c r="G2341" s="3">
        <f t="shared" si="110"/>
        <v>1.4072917545784325E-2</v>
      </c>
      <c r="H2341" s="2">
        <f t="shared" si="108"/>
        <v>48.75</v>
      </c>
      <c r="I2341" s="3">
        <f t="shared" si="109"/>
        <v>2.0571356232593468E-2</v>
      </c>
    </row>
    <row r="2342" spans="2:9" x14ac:dyDescent="0.25">
      <c r="B2342" s="1">
        <v>38582</v>
      </c>
      <c r="C2342" s="2">
        <v>2388.4499999999998</v>
      </c>
      <c r="D2342" s="2">
        <v>2404.65</v>
      </c>
      <c r="E2342" s="2">
        <v>2426.65</v>
      </c>
      <c r="F2342" s="2">
        <v>2380.6999999999998</v>
      </c>
      <c r="G2342" s="3">
        <f t="shared" si="110"/>
        <v>-6.1169714749392812E-3</v>
      </c>
      <c r="H2342" s="2">
        <f t="shared" si="108"/>
        <v>45.950000000000273</v>
      </c>
      <c r="I2342" s="3">
        <f t="shared" si="109"/>
        <v>1.9108810013931454E-2</v>
      </c>
    </row>
    <row r="2343" spans="2:9" x14ac:dyDescent="0.25">
      <c r="B2343" s="1">
        <v>38583</v>
      </c>
      <c r="C2343" s="2">
        <v>2383.4499999999998</v>
      </c>
      <c r="D2343" s="2">
        <v>2400.8000000000002</v>
      </c>
      <c r="E2343" s="2">
        <v>2409.35</v>
      </c>
      <c r="F2343" s="2">
        <v>2378.4499999999998</v>
      </c>
      <c r="G2343" s="3">
        <f t="shared" si="110"/>
        <v>-2.0934078586530847E-3</v>
      </c>
      <c r="H2343" s="2">
        <f t="shared" si="108"/>
        <v>30.900000000000091</v>
      </c>
      <c r="I2343" s="3">
        <f t="shared" si="109"/>
        <v>1.2870709763412232E-2</v>
      </c>
    </row>
    <row r="2344" spans="2:9" x14ac:dyDescent="0.25">
      <c r="B2344" s="1">
        <v>38586</v>
      </c>
      <c r="C2344" s="2">
        <v>2367.85</v>
      </c>
      <c r="D2344" s="2">
        <v>2383.4499999999998</v>
      </c>
      <c r="E2344" s="2">
        <v>2403.4499999999998</v>
      </c>
      <c r="F2344" s="2">
        <v>2355.75</v>
      </c>
      <c r="G2344" s="3">
        <f t="shared" si="110"/>
        <v>-6.5451341542721586E-3</v>
      </c>
      <c r="H2344" s="2">
        <f t="shared" si="108"/>
        <v>47.699999999999818</v>
      </c>
      <c r="I2344" s="3">
        <f t="shared" si="109"/>
        <v>2.0013006356332134E-2</v>
      </c>
    </row>
    <row r="2345" spans="2:9" x14ac:dyDescent="0.25">
      <c r="B2345" s="1">
        <v>38587</v>
      </c>
      <c r="C2345" s="2">
        <v>2326.1</v>
      </c>
      <c r="D2345" s="2">
        <v>2369.5500000000002</v>
      </c>
      <c r="E2345" s="2">
        <v>2380.5</v>
      </c>
      <c r="F2345" s="2">
        <v>2320.35</v>
      </c>
      <c r="G2345" s="3">
        <f t="shared" si="110"/>
        <v>-1.763202905589456E-2</v>
      </c>
      <c r="H2345" s="2">
        <f t="shared" si="108"/>
        <v>60.150000000000091</v>
      </c>
      <c r="I2345" s="3">
        <f t="shared" si="109"/>
        <v>2.538456668987786E-2</v>
      </c>
    </row>
    <row r="2346" spans="2:9" x14ac:dyDescent="0.25">
      <c r="B2346" s="1">
        <v>38588</v>
      </c>
      <c r="C2346" s="2">
        <v>2322.5</v>
      </c>
      <c r="D2346" s="2">
        <v>2326.1</v>
      </c>
      <c r="E2346" s="2">
        <v>2334.9</v>
      </c>
      <c r="F2346" s="2">
        <v>2300.4499999999998</v>
      </c>
      <c r="G2346" s="3">
        <f t="shared" si="110"/>
        <v>-1.5476548729632666E-3</v>
      </c>
      <c r="H2346" s="2">
        <f t="shared" si="108"/>
        <v>34.450000000000273</v>
      </c>
      <c r="I2346" s="3">
        <f t="shared" si="109"/>
        <v>1.4810197325996421E-2</v>
      </c>
    </row>
    <row r="2347" spans="2:9" x14ac:dyDescent="0.25">
      <c r="B2347" s="1">
        <v>38589</v>
      </c>
      <c r="C2347" s="2">
        <v>2354.5500000000002</v>
      </c>
      <c r="D2347" s="2">
        <v>2323.1</v>
      </c>
      <c r="E2347" s="2">
        <v>2359.1999999999998</v>
      </c>
      <c r="F2347" s="2">
        <v>2320.6999999999998</v>
      </c>
      <c r="G2347" s="3">
        <f t="shared" si="110"/>
        <v>1.3799784714747076E-2</v>
      </c>
      <c r="H2347" s="2">
        <f t="shared" si="108"/>
        <v>38.5</v>
      </c>
      <c r="I2347" s="3">
        <f t="shared" si="109"/>
        <v>1.6572683052817356E-2</v>
      </c>
    </row>
    <row r="2348" spans="2:9" x14ac:dyDescent="0.25">
      <c r="B2348" s="1">
        <v>38590</v>
      </c>
      <c r="C2348" s="2">
        <v>2357.0500000000002</v>
      </c>
      <c r="D2348" s="2">
        <v>2354.6</v>
      </c>
      <c r="E2348" s="2">
        <v>2368.0500000000002</v>
      </c>
      <c r="F2348" s="2">
        <v>2340.1999999999998</v>
      </c>
      <c r="G2348" s="3">
        <f t="shared" si="110"/>
        <v>1.0617740120193453E-3</v>
      </c>
      <c r="H2348" s="2">
        <f t="shared" si="108"/>
        <v>27.850000000000364</v>
      </c>
      <c r="I2348" s="3">
        <f t="shared" si="109"/>
        <v>1.182791132251778E-2</v>
      </c>
    </row>
    <row r="2349" spans="2:9" x14ac:dyDescent="0.25">
      <c r="B2349" s="1">
        <v>38593</v>
      </c>
      <c r="C2349" s="2">
        <v>2337.65</v>
      </c>
      <c r="D2349" s="2">
        <v>2359.1999999999998</v>
      </c>
      <c r="E2349" s="2">
        <v>2365.85</v>
      </c>
      <c r="F2349" s="2">
        <v>2312.6</v>
      </c>
      <c r="G2349" s="3">
        <f t="shared" si="110"/>
        <v>-8.2306272671347491E-3</v>
      </c>
      <c r="H2349" s="2">
        <f t="shared" si="108"/>
        <v>53.25</v>
      </c>
      <c r="I2349" s="3">
        <f t="shared" si="109"/>
        <v>2.257121057985758E-2</v>
      </c>
    </row>
    <row r="2350" spans="2:9" x14ac:dyDescent="0.25">
      <c r="B2350" s="1">
        <v>38594</v>
      </c>
      <c r="C2350" s="2">
        <v>2367.75</v>
      </c>
      <c r="D2350" s="2">
        <v>2337.8000000000002</v>
      </c>
      <c r="E2350" s="2">
        <v>2373.8000000000002</v>
      </c>
      <c r="F2350" s="2">
        <v>2337.75</v>
      </c>
      <c r="G2350" s="3">
        <f t="shared" si="110"/>
        <v>1.2876179068722848E-2</v>
      </c>
      <c r="H2350" s="2">
        <f t="shared" si="108"/>
        <v>36.050000000000182</v>
      </c>
      <c r="I2350" s="3">
        <f t="shared" si="109"/>
        <v>1.542048079390888E-2</v>
      </c>
    </row>
    <row r="2351" spans="2:9" x14ac:dyDescent="0.25">
      <c r="B2351" s="1">
        <v>38595</v>
      </c>
      <c r="C2351" s="2">
        <v>2384.65</v>
      </c>
      <c r="D2351" s="2">
        <v>2369.0500000000002</v>
      </c>
      <c r="E2351" s="2">
        <v>2387</v>
      </c>
      <c r="F2351" s="2">
        <v>2355</v>
      </c>
      <c r="G2351" s="3">
        <f t="shared" si="110"/>
        <v>7.1375778692852609E-3</v>
      </c>
      <c r="H2351" s="2">
        <f t="shared" si="108"/>
        <v>32</v>
      </c>
      <c r="I2351" s="3">
        <f t="shared" si="109"/>
        <v>1.3507524113041092E-2</v>
      </c>
    </row>
    <row r="2352" spans="2:9" x14ac:dyDescent="0.25">
      <c r="B2352" s="1">
        <v>38596</v>
      </c>
      <c r="C2352" s="2">
        <v>2405.75</v>
      </c>
      <c r="D2352" s="2">
        <v>2384.6999999999998</v>
      </c>
      <c r="E2352" s="2">
        <v>2412.35</v>
      </c>
      <c r="F2352" s="2">
        <v>2382.9</v>
      </c>
      <c r="G2352" s="3">
        <f t="shared" si="110"/>
        <v>8.8482586543097153E-3</v>
      </c>
      <c r="H2352" s="2">
        <f t="shared" si="108"/>
        <v>29.449999999999818</v>
      </c>
      <c r="I2352" s="3">
        <f t="shared" si="109"/>
        <v>1.2349561789742869E-2</v>
      </c>
    </row>
    <row r="2353" spans="2:9" x14ac:dyDescent="0.25">
      <c r="B2353" s="1">
        <v>38597</v>
      </c>
      <c r="C2353" s="2">
        <v>2415.8000000000002</v>
      </c>
      <c r="D2353" s="2">
        <v>2406.4499999999998</v>
      </c>
      <c r="E2353" s="2">
        <v>2422.1</v>
      </c>
      <c r="F2353" s="2">
        <v>2396.1</v>
      </c>
      <c r="G2353" s="3">
        <f t="shared" si="110"/>
        <v>4.1774914267900254E-3</v>
      </c>
      <c r="H2353" s="2">
        <f t="shared" si="108"/>
        <v>26</v>
      </c>
      <c r="I2353" s="3">
        <f t="shared" si="109"/>
        <v>1.0804296785721708E-2</v>
      </c>
    </row>
    <row r="2354" spans="2:9" x14ac:dyDescent="0.25">
      <c r="B2354" s="1">
        <v>38600</v>
      </c>
      <c r="C2354" s="2">
        <v>2422.9499999999998</v>
      </c>
      <c r="D2354" s="2">
        <v>2417.1</v>
      </c>
      <c r="E2354" s="2">
        <v>2439.5500000000002</v>
      </c>
      <c r="F2354" s="2">
        <v>2414.9499999999998</v>
      </c>
      <c r="G2354" s="3">
        <f t="shared" si="110"/>
        <v>2.9596820928883272E-3</v>
      </c>
      <c r="H2354" s="2">
        <f t="shared" si="108"/>
        <v>24.600000000000364</v>
      </c>
      <c r="I2354" s="3">
        <f t="shared" si="109"/>
        <v>1.0177485416408243E-2</v>
      </c>
    </row>
    <row r="2355" spans="2:9" x14ac:dyDescent="0.25">
      <c r="B2355" s="1">
        <v>38601</v>
      </c>
      <c r="C2355" s="2">
        <v>2428.65</v>
      </c>
      <c r="D2355" s="2">
        <v>2422.4</v>
      </c>
      <c r="E2355" s="2">
        <v>2436.25</v>
      </c>
      <c r="F2355" s="2">
        <v>2417</v>
      </c>
      <c r="G2355" s="3">
        <f t="shared" si="110"/>
        <v>2.3525041787904044E-3</v>
      </c>
      <c r="H2355" s="2">
        <f t="shared" si="108"/>
        <v>19.25</v>
      </c>
      <c r="I2355" s="3">
        <f t="shared" si="109"/>
        <v>7.9466644649933953E-3</v>
      </c>
    </row>
    <row r="2356" spans="2:9" x14ac:dyDescent="0.25">
      <c r="B2356" s="1">
        <v>38603</v>
      </c>
      <c r="C2356" s="2">
        <v>2454.4499999999998</v>
      </c>
      <c r="D2356" s="2">
        <v>2429</v>
      </c>
      <c r="E2356" s="2">
        <v>2456.9</v>
      </c>
      <c r="F2356" s="2">
        <v>2429</v>
      </c>
      <c r="G2356" s="3">
        <f t="shared" si="110"/>
        <v>1.0623185720461947E-2</v>
      </c>
      <c r="H2356" s="2">
        <f t="shared" si="108"/>
        <v>27.900000000000091</v>
      </c>
      <c r="I2356" s="3">
        <f t="shared" si="109"/>
        <v>1.1486208316179535E-2</v>
      </c>
    </row>
    <row r="2357" spans="2:9" x14ac:dyDescent="0.25">
      <c r="B2357" s="1">
        <v>38604</v>
      </c>
      <c r="C2357" s="2">
        <v>2455.4499999999998</v>
      </c>
      <c r="D2357" s="2">
        <v>2448.8000000000002</v>
      </c>
      <c r="E2357" s="2">
        <v>2462.8000000000002</v>
      </c>
      <c r="F2357" s="2">
        <v>2441.9</v>
      </c>
      <c r="G2357" s="3">
        <f t="shared" si="110"/>
        <v>4.0742325164488946E-4</v>
      </c>
      <c r="H2357" s="2">
        <f t="shared" si="108"/>
        <v>20.900000000000091</v>
      </c>
      <c r="I2357" s="3">
        <f t="shared" si="109"/>
        <v>8.5347925514538091E-3</v>
      </c>
    </row>
    <row r="2358" spans="2:9" x14ac:dyDescent="0.25">
      <c r="B2358" s="1">
        <v>38607</v>
      </c>
      <c r="C2358" s="2">
        <v>2484.15</v>
      </c>
      <c r="D2358" s="2">
        <v>2455.85</v>
      </c>
      <c r="E2358" s="2">
        <v>2486.35</v>
      </c>
      <c r="F2358" s="2">
        <v>2455.85</v>
      </c>
      <c r="G2358" s="3">
        <f t="shared" si="110"/>
        <v>1.1688285243030894E-2</v>
      </c>
      <c r="H2358" s="2">
        <f t="shared" si="108"/>
        <v>30.5</v>
      </c>
      <c r="I2358" s="3">
        <f t="shared" si="109"/>
        <v>1.2419325284524706E-2</v>
      </c>
    </row>
    <row r="2359" spans="2:9" x14ac:dyDescent="0.25">
      <c r="B2359" s="1">
        <v>38608</v>
      </c>
      <c r="C2359" s="2">
        <v>2500.35</v>
      </c>
      <c r="D2359" s="2">
        <v>2484</v>
      </c>
      <c r="E2359" s="2">
        <v>2503</v>
      </c>
      <c r="F2359" s="2">
        <v>2477.1</v>
      </c>
      <c r="G2359" s="3">
        <f t="shared" si="110"/>
        <v>6.5213453293881951E-3</v>
      </c>
      <c r="H2359" s="2">
        <f t="shared" si="108"/>
        <v>25.900000000000091</v>
      </c>
      <c r="I2359" s="3">
        <f t="shared" si="109"/>
        <v>1.0426731078905028E-2</v>
      </c>
    </row>
    <row r="2360" spans="2:9" x14ac:dyDescent="0.25">
      <c r="B2360" s="1">
        <v>38609</v>
      </c>
      <c r="C2360" s="2">
        <v>2492.4499999999998</v>
      </c>
      <c r="D2360" s="2">
        <v>2500.4</v>
      </c>
      <c r="E2360" s="2">
        <v>2514.75</v>
      </c>
      <c r="F2360" s="2">
        <v>2476</v>
      </c>
      <c r="G2360" s="3">
        <f t="shared" si="110"/>
        <v>-3.1595576619273258E-3</v>
      </c>
      <c r="H2360" s="2">
        <f t="shared" si="108"/>
        <v>38.75</v>
      </c>
      <c r="I2360" s="3">
        <f t="shared" si="109"/>
        <v>1.5497520396736521E-2</v>
      </c>
    </row>
    <row r="2361" spans="2:9" x14ac:dyDescent="0.25">
      <c r="B2361" s="1">
        <v>38610</v>
      </c>
      <c r="C2361" s="2">
        <v>2523.9499999999998</v>
      </c>
      <c r="D2361" s="2">
        <v>2492.85</v>
      </c>
      <c r="E2361" s="2">
        <v>2527.5</v>
      </c>
      <c r="F2361" s="2">
        <v>2492.75</v>
      </c>
      <c r="G2361" s="3">
        <f t="shared" si="110"/>
        <v>1.2638167265140776E-2</v>
      </c>
      <c r="H2361" s="2">
        <f t="shared" si="108"/>
        <v>34.75</v>
      </c>
      <c r="I2361" s="3">
        <f t="shared" si="109"/>
        <v>1.3939868022544478E-2</v>
      </c>
    </row>
    <row r="2362" spans="2:9" x14ac:dyDescent="0.25">
      <c r="B2362" s="1">
        <v>38611</v>
      </c>
      <c r="C2362" s="2">
        <v>2552.35</v>
      </c>
      <c r="D2362" s="2">
        <v>2524.9</v>
      </c>
      <c r="E2362" s="2">
        <v>2555.1</v>
      </c>
      <c r="F2362" s="2">
        <v>2519.0500000000002</v>
      </c>
      <c r="G2362" s="3">
        <f t="shared" si="110"/>
        <v>1.1252203886764844E-2</v>
      </c>
      <c r="H2362" s="2">
        <f t="shared" si="108"/>
        <v>36.049999999999727</v>
      </c>
      <c r="I2362" s="3">
        <f t="shared" si="109"/>
        <v>1.4277793179927809E-2</v>
      </c>
    </row>
    <row r="2363" spans="2:9" x14ac:dyDescent="0.25">
      <c r="B2363" s="1">
        <v>38614</v>
      </c>
      <c r="C2363" s="2">
        <v>2567.1</v>
      </c>
      <c r="D2363" s="2">
        <v>2555.4499999999998</v>
      </c>
      <c r="E2363" s="2">
        <v>2579.6999999999998</v>
      </c>
      <c r="F2363" s="2">
        <v>2550.4499999999998</v>
      </c>
      <c r="G2363" s="3">
        <f t="shared" si="110"/>
        <v>5.7789879914589282E-3</v>
      </c>
      <c r="H2363" s="2">
        <f t="shared" si="108"/>
        <v>29.25</v>
      </c>
      <c r="I2363" s="3">
        <f t="shared" si="109"/>
        <v>1.1446124948639183E-2</v>
      </c>
    </row>
    <row r="2364" spans="2:9" x14ac:dyDescent="0.25">
      <c r="B2364" s="1">
        <v>38615</v>
      </c>
      <c r="C2364" s="2">
        <v>2578</v>
      </c>
      <c r="D2364" s="2">
        <v>2567.1999999999998</v>
      </c>
      <c r="E2364" s="2">
        <v>2582.8000000000002</v>
      </c>
      <c r="F2364" s="2">
        <v>2546.6</v>
      </c>
      <c r="G2364" s="3">
        <f t="shared" si="110"/>
        <v>4.2460363834677661E-3</v>
      </c>
      <c r="H2364" s="2">
        <f t="shared" si="108"/>
        <v>36.200000000000273</v>
      </c>
      <c r="I2364" s="3">
        <f t="shared" si="109"/>
        <v>1.4100966033032205E-2</v>
      </c>
    </row>
    <row r="2365" spans="2:9" x14ac:dyDescent="0.25">
      <c r="B2365" s="1">
        <v>38616</v>
      </c>
      <c r="C2365" s="2">
        <v>2567.3000000000002</v>
      </c>
      <c r="D2365" s="2">
        <v>2576.6999999999998</v>
      </c>
      <c r="E2365" s="2">
        <v>2585.6</v>
      </c>
      <c r="F2365" s="2">
        <v>2504.9</v>
      </c>
      <c r="G2365" s="3">
        <f t="shared" si="110"/>
        <v>-4.1505042668734671E-3</v>
      </c>
      <c r="H2365" s="2">
        <f t="shared" si="108"/>
        <v>80.699999999999818</v>
      </c>
      <c r="I2365" s="3">
        <f t="shared" si="109"/>
        <v>3.131912911864005E-2</v>
      </c>
    </row>
    <row r="2366" spans="2:9" x14ac:dyDescent="0.25">
      <c r="B2366" s="1">
        <v>38617</v>
      </c>
      <c r="C2366" s="2">
        <v>2476.5</v>
      </c>
      <c r="D2366" s="2">
        <v>2567.85</v>
      </c>
      <c r="E2366" s="2">
        <v>2580.4</v>
      </c>
      <c r="F2366" s="2">
        <v>2465.85</v>
      </c>
      <c r="G2366" s="3">
        <f t="shared" si="110"/>
        <v>-3.5367896233396978E-2</v>
      </c>
      <c r="H2366" s="2">
        <f t="shared" si="108"/>
        <v>114.55000000000018</v>
      </c>
      <c r="I2366" s="3">
        <f t="shared" si="109"/>
        <v>4.460930350293054E-2</v>
      </c>
    </row>
    <row r="2367" spans="2:9" x14ac:dyDescent="0.25">
      <c r="B2367" s="1">
        <v>38618</v>
      </c>
      <c r="C2367" s="2">
        <v>2477.75</v>
      </c>
      <c r="D2367" s="2">
        <v>2480.5</v>
      </c>
      <c r="E2367" s="2">
        <v>2507.9</v>
      </c>
      <c r="F2367" s="2">
        <v>2453.0500000000002</v>
      </c>
      <c r="G2367" s="3">
        <f t="shared" si="110"/>
        <v>5.0474459923277593E-4</v>
      </c>
      <c r="H2367" s="2">
        <f t="shared" si="108"/>
        <v>54.849999999999909</v>
      </c>
      <c r="I2367" s="3">
        <f t="shared" si="109"/>
        <v>2.2112477323120303E-2</v>
      </c>
    </row>
    <row r="2368" spans="2:9" x14ac:dyDescent="0.25">
      <c r="B2368" s="1">
        <v>38621</v>
      </c>
      <c r="C2368" s="2">
        <v>2557.35</v>
      </c>
      <c r="D2368" s="2">
        <v>2477.85</v>
      </c>
      <c r="E2368" s="2">
        <v>2560.85</v>
      </c>
      <c r="F2368" s="2">
        <v>2477.85</v>
      </c>
      <c r="G2368" s="3">
        <f t="shared" si="110"/>
        <v>3.2125920694178189E-2</v>
      </c>
      <c r="H2368" s="2">
        <f t="shared" si="108"/>
        <v>83</v>
      </c>
      <c r="I2368" s="3">
        <f t="shared" si="109"/>
        <v>3.3496781483947781E-2</v>
      </c>
    </row>
    <row r="2369" spans="2:9" x14ac:dyDescent="0.25">
      <c r="B2369" s="1">
        <v>38622</v>
      </c>
      <c r="C2369" s="2">
        <v>2574.85</v>
      </c>
      <c r="D2369" s="2">
        <v>2558.5</v>
      </c>
      <c r="E2369" s="2">
        <v>2592.5</v>
      </c>
      <c r="F2369" s="2">
        <v>2549.85</v>
      </c>
      <c r="G2369" s="3">
        <f t="shared" si="110"/>
        <v>6.8430210960563898E-3</v>
      </c>
      <c r="H2369" s="2">
        <f t="shared" si="108"/>
        <v>42.650000000000091</v>
      </c>
      <c r="I2369" s="3">
        <f t="shared" si="109"/>
        <v>1.6669923783466909E-2</v>
      </c>
    </row>
    <row r="2370" spans="2:9" x14ac:dyDescent="0.25">
      <c r="B2370" s="1">
        <v>38623</v>
      </c>
      <c r="C2370" s="2">
        <v>2598.0500000000002</v>
      </c>
      <c r="D2370" s="2">
        <v>2574.4499999999998</v>
      </c>
      <c r="E2370" s="2">
        <v>2602.9499999999998</v>
      </c>
      <c r="F2370" s="2">
        <v>2559.85</v>
      </c>
      <c r="G2370" s="3">
        <f t="shared" si="110"/>
        <v>9.0102336058413002E-3</v>
      </c>
      <c r="H2370" s="2">
        <f t="shared" si="108"/>
        <v>43.099999999999909</v>
      </c>
      <c r="I2370" s="3">
        <f t="shared" si="109"/>
        <v>1.674143991920601E-2</v>
      </c>
    </row>
    <row r="2371" spans="2:9" x14ac:dyDescent="0.25">
      <c r="B2371" s="1">
        <v>38624</v>
      </c>
      <c r="C2371" s="2">
        <v>2611.1999999999998</v>
      </c>
      <c r="D2371" s="2">
        <v>2598.6</v>
      </c>
      <c r="E2371" s="2">
        <v>2633.9</v>
      </c>
      <c r="F2371" s="2">
        <v>2589.4499999999998</v>
      </c>
      <c r="G2371" s="3">
        <f t="shared" si="110"/>
        <v>5.0614884240101077E-3</v>
      </c>
      <c r="H2371" s="2">
        <f t="shared" si="108"/>
        <v>44.450000000000273</v>
      </c>
      <c r="I2371" s="3">
        <f t="shared" si="109"/>
        <v>1.710536442699926E-2</v>
      </c>
    </row>
    <row r="2372" spans="2:9" x14ac:dyDescent="0.25">
      <c r="B2372" s="1">
        <v>38625</v>
      </c>
      <c r="C2372" s="2">
        <v>2601.4</v>
      </c>
      <c r="D2372" s="2">
        <v>2607.9</v>
      </c>
      <c r="E2372" s="2">
        <v>2623.05</v>
      </c>
      <c r="F2372" s="2">
        <v>2567.75</v>
      </c>
      <c r="G2372" s="3">
        <f t="shared" si="110"/>
        <v>-3.7530637254901134E-3</v>
      </c>
      <c r="H2372" s="2">
        <f t="shared" si="108"/>
        <v>55.300000000000182</v>
      </c>
      <c r="I2372" s="3">
        <f t="shared" si="109"/>
        <v>2.1204800797576664E-2</v>
      </c>
    </row>
    <row r="2373" spans="2:9" x14ac:dyDescent="0.25">
      <c r="B2373" s="1">
        <v>38628</v>
      </c>
      <c r="C2373" s="2">
        <v>2630.05</v>
      </c>
      <c r="D2373" s="2">
        <v>2601</v>
      </c>
      <c r="E2373" s="2">
        <v>2635</v>
      </c>
      <c r="F2373" s="2">
        <v>2597.1999999999998</v>
      </c>
      <c r="G2373" s="3">
        <f t="shared" si="110"/>
        <v>1.101330053048355E-2</v>
      </c>
      <c r="H2373" s="2">
        <f t="shared" ref="H2373:H2436" si="111">E2373-F2373</f>
        <v>37.800000000000182</v>
      </c>
      <c r="I2373" s="3">
        <f t="shared" si="109"/>
        <v>1.4532871972318409E-2</v>
      </c>
    </row>
    <row r="2374" spans="2:9" x14ac:dyDescent="0.25">
      <c r="B2374" s="1">
        <v>38629</v>
      </c>
      <c r="C2374" s="2">
        <v>2663.35</v>
      </c>
      <c r="D2374" s="2">
        <v>2630</v>
      </c>
      <c r="E2374" s="2">
        <v>2667.05</v>
      </c>
      <c r="F2374" s="2">
        <v>2629.6</v>
      </c>
      <c r="G2374" s="3">
        <f t="shared" si="110"/>
        <v>1.2661356247980038E-2</v>
      </c>
      <c r="H2374" s="2">
        <f t="shared" si="111"/>
        <v>37.450000000000273</v>
      </c>
      <c r="I2374" s="3">
        <f t="shared" ref="I2374:I2437" si="112">H2374/D2374</f>
        <v>1.4239543726235844E-2</v>
      </c>
    </row>
    <row r="2375" spans="2:9" x14ac:dyDescent="0.25">
      <c r="B2375" s="1">
        <v>38630</v>
      </c>
      <c r="C2375" s="2">
        <v>2644.4</v>
      </c>
      <c r="D2375" s="2">
        <v>2663.7</v>
      </c>
      <c r="E2375" s="2">
        <v>2669.2</v>
      </c>
      <c r="F2375" s="2">
        <v>2636.6</v>
      </c>
      <c r="G2375" s="3">
        <f t="shared" ref="G2375:G2438" si="113">C2375/C2374-1</f>
        <v>-7.1150994048847505E-3</v>
      </c>
      <c r="H2375" s="2">
        <f t="shared" si="111"/>
        <v>32.599999999999909</v>
      </c>
      <c r="I2375" s="3">
        <f t="shared" si="112"/>
        <v>1.2238615459698881E-2</v>
      </c>
    </row>
    <row r="2376" spans="2:9" x14ac:dyDescent="0.25">
      <c r="B2376" s="1">
        <v>38631</v>
      </c>
      <c r="C2376" s="2">
        <v>2579.15</v>
      </c>
      <c r="D2376" s="2">
        <v>2643.8</v>
      </c>
      <c r="E2376" s="2">
        <v>2643.8</v>
      </c>
      <c r="F2376" s="2">
        <v>2571.3000000000002</v>
      </c>
      <c r="G2376" s="3">
        <f t="shared" si="113"/>
        <v>-2.4674784450158804E-2</v>
      </c>
      <c r="H2376" s="2">
        <f t="shared" si="111"/>
        <v>72.5</v>
      </c>
      <c r="I2376" s="3">
        <f t="shared" si="112"/>
        <v>2.7422649217036084E-2</v>
      </c>
    </row>
    <row r="2377" spans="2:9" x14ac:dyDescent="0.25">
      <c r="B2377" s="1">
        <v>38632</v>
      </c>
      <c r="C2377" s="2">
        <v>2574.0500000000002</v>
      </c>
      <c r="D2377" s="2">
        <v>2577.1999999999998</v>
      </c>
      <c r="E2377" s="2">
        <v>2603.25</v>
      </c>
      <c r="F2377" s="2">
        <v>2547.5500000000002</v>
      </c>
      <c r="G2377" s="3">
        <f t="shared" si="113"/>
        <v>-1.9773956536067727E-3</v>
      </c>
      <c r="H2377" s="2">
        <f t="shared" si="111"/>
        <v>55.699999999999818</v>
      </c>
      <c r="I2377" s="3">
        <f t="shared" si="112"/>
        <v>2.1612602824771E-2</v>
      </c>
    </row>
    <row r="2378" spans="2:9" x14ac:dyDescent="0.25">
      <c r="B2378" s="1">
        <v>38635</v>
      </c>
      <c r="C2378" s="2">
        <v>2566.85</v>
      </c>
      <c r="D2378" s="2">
        <v>2577.1</v>
      </c>
      <c r="E2378" s="2">
        <v>2595.15</v>
      </c>
      <c r="F2378" s="2">
        <v>2561</v>
      </c>
      <c r="G2378" s="3">
        <f t="shared" si="113"/>
        <v>-2.7971484625396448E-3</v>
      </c>
      <c r="H2378" s="2">
        <f t="shared" si="111"/>
        <v>34.150000000000091</v>
      </c>
      <c r="I2378" s="3">
        <f t="shared" si="112"/>
        <v>1.3251329013231963E-2</v>
      </c>
    </row>
    <row r="2379" spans="2:9" x14ac:dyDescent="0.25">
      <c r="B2379" s="1">
        <v>38636</v>
      </c>
      <c r="C2379" s="2">
        <v>2589.5500000000002</v>
      </c>
      <c r="D2379" s="2">
        <v>2569.15</v>
      </c>
      <c r="E2379" s="2">
        <v>2592</v>
      </c>
      <c r="F2379" s="2">
        <v>2533.6999999999998</v>
      </c>
      <c r="G2379" s="3">
        <f t="shared" si="113"/>
        <v>8.8435241638584738E-3</v>
      </c>
      <c r="H2379" s="2">
        <f t="shared" si="111"/>
        <v>58.300000000000182</v>
      </c>
      <c r="I2379" s="3">
        <f t="shared" si="112"/>
        <v>2.269233014810353E-2</v>
      </c>
    </row>
    <row r="2380" spans="2:9" x14ac:dyDescent="0.25">
      <c r="B2380" s="1">
        <v>38638</v>
      </c>
      <c r="C2380" s="2">
        <v>2537.3000000000002</v>
      </c>
      <c r="D2380" s="2">
        <v>2584.4</v>
      </c>
      <c r="E2380" s="2">
        <v>2589.35</v>
      </c>
      <c r="F2380" s="2">
        <v>2529.0500000000002</v>
      </c>
      <c r="G2380" s="3">
        <f t="shared" si="113"/>
        <v>-2.0177250873703922E-2</v>
      </c>
      <c r="H2380" s="2">
        <f t="shared" si="111"/>
        <v>60.299999999999727</v>
      </c>
      <c r="I2380" s="3">
        <f t="shared" si="112"/>
        <v>2.3332301501315478E-2</v>
      </c>
    </row>
    <row r="2381" spans="2:9" x14ac:dyDescent="0.25">
      <c r="B2381" s="1">
        <v>38639</v>
      </c>
      <c r="C2381" s="2">
        <v>2484.4</v>
      </c>
      <c r="D2381" s="2">
        <v>2537.6999999999998</v>
      </c>
      <c r="E2381" s="2">
        <v>2548</v>
      </c>
      <c r="F2381" s="2">
        <v>2478</v>
      </c>
      <c r="G2381" s="3">
        <f t="shared" si="113"/>
        <v>-2.0848933906120748E-2</v>
      </c>
      <c r="H2381" s="2">
        <f t="shared" si="111"/>
        <v>70</v>
      </c>
      <c r="I2381" s="3">
        <f t="shared" si="112"/>
        <v>2.7584032785593255E-2</v>
      </c>
    </row>
    <row r="2382" spans="2:9" x14ac:dyDescent="0.25">
      <c r="B2382" s="1">
        <v>38642</v>
      </c>
      <c r="C2382" s="2">
        <v>2485.15</v>
      </c>
      <c r="D2382" s="2">
        <v>2488.4</v>
      </c>
      <c r="E2382" s="2">
        <v>2498.6</v>
      </c>
      <c r="F2382" s="2">
        <v>2459.5</v>
      </c>
      <c r="G2382" s="3">
        <f t="shared" si="113"/>
        <v>3.018837546289177E-4</v>
      </c>
      <c r="H2382" s="2">
        <f t="shared" si="111"/>
        <v>39.099999999999909</v>
      </c>
      <c r="I2382" s="3">
        <f t="shared" si="112"/>
        <v>1.5712907892621728E-2</v>
      </c>
    </row>
    <row r="2383" spans="2:9" x14ac:dyDescent="0.25">
      <c r="B2383" s="1">
        <v>38643</v>
      </c>
      <c r="C2383" s="2">
        <v>2468.1999999999998</v>
      </c>
      <c r="D2383" s="2">
        <v>2485.25</v>
      </c>
      <c r="E2383" s="2">
        <v>2517.6999999999998</v>
      </c>
      <c r="F2383" s="2">
        <v>2452.5</v>
      </c>
      <c r="G2383" s="3">
        <f t="shared" si="113"/>
        <v>-6.8205138522826614E-3</v>
      </c>
      <c r="H2383" s="2">
        <f t="shared" si="111"/>
        <v>65.199999999999818</v>
      </c>
      <c r="I2383" s="3">
        <f t="shared" si="112"/>
        <v>2.6234785232873883E-2</v>
      </c>
    </row>
    <row r="2384" spans="2:9" x14ac:dyDescent="0.25">
      <c r="B2384" s="1">
        <v>38644</v>
      </c>
      <c r="C2384" s="2">
        <v>2412.4499999999998</v>
      </c>
      <c r="D2384" s="2">
        <v>2467.8000000000002</v>
      </c>
      <c r="E2384" s="2">
        <v>2467.85</v>
      </c>
      <c r="F2384" s="2">
        <v>2394.9499999999998</v>
      </c>
      <c r="G2384" s="3">
        <f t="shared" si="113"/>
        <v>-2.2587310590713838E-2</v>
      </c>
      <c r="H2384" s="2">
        <f t="shared" si="111"/>
        <v>72.900000000000091</v>
      </c>
      <c r="I2384" s="3">
        <f t="shared" si="112"/>
        <v>2.9540481400437673E-2</v>
      </c>
    </row>
    <row r="2385" spans="2:9" x14ac:dyDescent="0.25">
      <c r="B2385" s="1">
        <v>38645</v>
      </c>
      <c r="C2385" s="2">
        <v>2395.4499999999998</v>
      </c>
      <c r="D2385" s="2">
        <v>2421.4</v>
      </c>
      <c r="E2385" s="2">
        <v>2463.85</v>
      </c>
      <c r="F2385" s="2">
        <v>2363.5500000000002</v>
      </c>
      <c r="G2385" s="3">
        <f t="shared" si="113"/>
        <v>-7.0467781715682909E-3</v>
      </c>
      <c r="H2385" s="2">
        <f t="shared" si="111"/>
        <v>100.29999999999973</v>
      </c>
      <c r="I2385" s="3">
        <f t="shared" si="112"/>
        <v>4.1422317667464986E-2</v>
      </c>
    </row>
    <row r="2386" spans="2:9" x14ac:dyDescent="0.25">
      <c r="B2386" s="1">
        <v>38646</v>
      </c>
      <c r="C2386" s="2">
        <v>2443.75</v>
      </c>
      <c r="D2386" s="2">
        <v>2397.85</v>
      </c>
      <c r="E2386" s="2">
        <v>2447.85</v>
      </c>
      <c r="F2386" s="2">
        <v>2384.0500000000002</v>
      </c>
      <c r="G2386" s="3">
        <f t="shared" si="113"/>
        <v>2.0163226116178601E-2</v>
      </c>
      <c r="H2386" s="2">
        <f t="shared" si="111"/>
        <v>63.799999999999727</v>
      </c>
      <c r="I2386" s="3">
        <f t="shared" si="112"/>
        <v>2.6607168922159322E-2</v>
      </c>
    </row>
    <row r="2387" spans="2:9" x14ac:dyDescent="0.25">
      <c r="B2387" s="1">
        <v>38649</v>
      </c>
      <c r="C2387" s="2">
        <v>2394.85</v>
      </c>
      <c r="D2387" s="2">
        <v>2444.1999999999998</v>
      </c>
      <c r="E2387" s="2">
        <v>2460</v>
      </c>
      <c r="F2387" s="2">
        <v>2388.4</v>
      </c>
      <c r="G2387" s="3">
        <f t="shared" si="113"/>
        <v>-2.0010230179028143E-2</v>
      </c>
      <c r="H2387" s="2">
        <f t="shared" si="111"/>
        <v>71.599999999999909</v>
      </c>
      <c r="I2387" s="3">
        <f t="shared" si="112"/>
        <v>2.9293838474756532E-2</v>
      </c>
    </row>
    <row r="2388" spans="2:9" x14ac:dyDescent="0.25">
      <c r="B2388" s="1">
        <v>38650</v>
      </c>
      <c r="C2388" s="2">
        <v>2418.1999999999998</v>
      </c>
      <c r="D2388" s="2">
        <v>2394.9499999999998</v>
      </c>
      <c r="E2388" s="2">
        <v>2444.6</v>
      </c>
      <c r="F2388" s="2">
        <v>2390.85</v>
      </c>
      <c r="G2388" s="3">
        <f t="shared" si="113"/>
        <v>9.7500887320709495E-3</v>
      </c>
      <c r="H2388" s="2">
        <f t="shared" si="111"/>
        <v>53.75</v>
      </c>
      <c r="I2388" s="3">
        <f t="shared" si="112"/>
        <v>2.2443057266331241E-2</v>
      </c>
    </row>
    <row r="2389" spans="2:9" x14ac:dyDescent="0.25">
      <c r="B2389" s="1">
        <v>38651</v>
      </c>
      <c r="C2389" s="2">
        <v>2408.5</v>
      </c>
      <c r="D2389" s="2">
        <v>2418.4499999999998</v>
      </c>
      <c r="E2389" s="2">
        <v>2434</v>
      </c>
      <c r="F2389" s="2">
        <v>2401.1</v>
      </c>
      <c r="G2389" s="3">
        <f t="shared" si="113"/>
        <v>-4.0112480357289426E-3</v>
      </c>
      <c r="H2389" s="2">
        <f t="shared" si="111"/>
        <v>32.900000000000091</v>
      </c>
      <c r="I2389" s="3">
        <f t="shared" si="112"/>
        <v>1.3603754470838799E-2</v>
      </c>
    </row>
    <row r="2390" spans="2:9" x14ac:dyDescent="0.25">
      <c r="B2390" s="1">
        <v>38652</v>
      </c>
      <c r="C2390" s="2">
        <v>2352.9</v>
      </c>
      <c r="D2390" s="2">
        <v>2408.9499999999998</v>
      </c>
      <c r="E2390" s="2">
        <v>2416.4499999999998</v>
      </c>
      <c r="F2390" s="2">
        <v>2338.6</v>
      </c>
      <c r="G2390" s="3">
        <f t="shared" si="113"/>
        <v>-2.3084907618849848E-2</v>
      </c>
      <c r="H2390" s="2">
        <f t="shared" si="111"/>
        <v>77.849999999999909</v>
      </c>
      <c r="I2390" s="3">
        <f t="shared" si="112"/>
        <v>3.2316984578343227E-2</v>
      </c>
    </row>
    <row r="2391" spans="2:9" x14ac:dyDescent="0.25">
      <c r="B2391" s="1">
        <v>38653</v>
      </c>
      <c r="C2391" s="2">
        <v>2316.0500000000002</v>
      </c>
      <c r="D2391" s="2">
        <v>2352.65</v>
      </c>
      <c r="E2391" s="2">
        <v>2355.15</v>
      </c>
      <c r="F2391" s="2">
        <v>2307.4499999999998</v>
      </c>
      <c r="G2391" s="3">
        <f t="shared" si="113"/>
        <v>-1.5661524076671318E-2</v>
      </c>
      <c r="H2391" s="2">
        <f t="shared" si="111"/>
        <v>47.700000000000273</v>
      </c>
      <c r="I2391" s="3">
        <f t="shared" si="112"/>
        <v>2.0275009032367872E-2</v>
      </c>
    </row>
    <row r="2392" spans="2:9" x14ac:dyDescent="0.25">
      <c r="B2392" s="1">
        <v>38656</v>
      </c>
      <c r="C2392" s="2">
        <v>2370.9499999999998</v>
      </c>
      <c r="D2392" s="2">
        <v>2314.85</v>
      </c>
      <c r="E2392" s="2">
        <v>2373.4</v>
      </c>
      <c r="F2392" s="2">
        <v>2314.1999999999998</v>
      </c>
      <c r="G2392" s="3">
        <f t="shared" si="113"/>
        <v>2.3704151464778223E-2</v>
      </c>
      <c r="H2392" s="2">
        <f t="shared" si="111"/>
        <v>59.200000000000273</v>
      </c>
      <c r="I2392" s="3">
        <f t="shared" si="112"/>
        <v>2.557401127502874E-2</v>
      </c>
    </row>
    <row r="2393" spans="2:9" x14ac:dyDescent="0.25">
      <c r="B2393" s="1">
        <v>38657</v>
      </c>
      <c r="C2393" s="2">
        <v>2386.75</v>
      </c>
      <c r="D2393" s="2">
        <v>2366.8000000000002</v>
      </c>
      <c r="E2393" s="2">
        <v>2410.15</v>
      </c>
      <c r="F2393" s="2">
        <v>2366.8000000000002</v>
      </c>
      <c r="G2393" s="3">
        <f t="shared" si="113"/>
        <v>6.6639954448639571E-3</v>
      </c>
      <c r="H2393" s="2">
        <f t="shared" si="111"/>
        <v>43.349999999999909</v>
      </c>
      <c r="I2393" s="3">
        <f t="shared" si="112"/>
        <v>1.8315869528477229E-2</v>
      </c>
    </row>
    <row r="2394" spans="2:9" x14ac:dyDescent="0.25">
      <c r="B2394" s="1">
        <v>38658</v>
      </c>
      <c r="C2394" s="2">
        <v>2419.0500000000002</v>
      </c>
      <c r="D2394" s="2">
        <v>2386.4499999999998</v>
      </c>
      <c r="E2394" s="2">
        <v>2423.8000000000002</v>
      </c>
      <c r="F2394" s="2">
        <v>2367.75</v>
      </c>
      <c r="G2394" s="3">
        <f t="shared" si="113"/>
        <v>1.353304703048086E-2</v>
      </c>
      <c r="H2394" s="2">
        <f t="shared" si="111"/>
        <v>56.050000000000182</v>
      </c>
      <c r="I2394" s="3">
        <f t="shared" si="112"/>
        <v>2.3486769050263021E-2</v>
      </c>
    </row>
    <row r="2395" spans="2:9" x14ac:dyDescent="0.25">
      <c r="B2395" s="1">
        <v>38663</v>
      </c>
      <c r="C2395" s="2">
        <v>2461.6</v>
      </c>
      <c r="D2395" s="2">
        <v>2419.25</v>
      </c>
      <c r="E2395" s="2">
        <v>2464.65</v>
      </c>
      <c r="F2395" s="2">
        <v>2411.6</v>
      </c>
      <c r="G2395" s="3">
        <f t="shared" si="113"/>
        <v>1.7589549616584987E-2</v>
      </c>
      <c r="H2395" s="2">
        <f t="shared" si="111"/>
        <v>53.050000000000182</v>
      </c>
      <c r="I2395" s="3">
        <f t="shared" si="112"/>
        <v>2.1928283558954296E-2</v>
      </c>
    </row>
    <row r="2396" spans="2:9" x14ac:dyDescent="0.25">
      <c r="B2396" s="1">
        <v>38664</v>
      </c>
      <c r="C2396" s="2">
        <v>2492.65</v>
      </c>
      <c r="D2396" s="2">
        <v>2463.65</v>
      </c>
      <c r="E2396" s="2">
        <v>2502.9</v>
      </c>
      <c r="F2396" s="2">
        <v>2460</v>
      </c>
      <c r="G2396" s="3">
        <f t="shared" si="113"/>
        <v>1.2613747156321242E-2</v>
      </c>
      <c r="H2396" s="2">
        <f t="shared" si="111"/>
        <v>42.900000000000091</v>
      </c>
      <c r="I2396" s="3">
        <f t="shared" si="112"/>
        <v>1.741318774988334E-2</v>
      </c>
    </row>
    <row r="2397" spans="2:9" x14ac:dyDescent="0.25">
      <c r="B2397" s="1">
        <v>38665</v>
      </c>
      <c r="C2397" s="2">
        <v>2489.1</v>
      </c>
      <c r="D2397" s="2">
        <v>2493.1</v>
      </c>
      <c r="E2397" s="2">
        <v>2519.4</v>
      </c>
      <c r="F2397" s="2">
        <v>2475.6999999999998</v>
      </c>
      <c r="G2397" s="3">
        <f t="shared" si="113"/>
        <v>-1.4241871101037251E-3</v>
      </c>
      <c r="H2397" s="2">
        <f t="shared" si="111"/>
        <v>43.700000000000273</v>
      </c>
      <c r="I2397" s="3">
        <f t="shared" si="112"/>
        <v>1.7528378324174834E-2</v>
      </c>
    </row>
    <row r="2398" spans="2:9" x14ac:dyDescent="0.25">
      <c r="B2398" s="1">
        <v>38666</v>
      </c>
      <c r="C2398" s="2">
        <v>2500.6999999999998</v>
      </c>
      <c r="D2398" s="2">
        <v>2489.1</v>
      </c>
      <c r="E2398" s="2">
        <v>2504.75</v>
      </c>
      <c r="F2398" s="2">
        <v>2480.85</v>
      </c>
      <c r="G2398" s="3">
        <f t="shared" si="113"/>
        <v>4.6603189907998832E-3</v>
      </c>
      <c r="H2398" s="2">
        <f t="shared" si="111"/>
        <v>23.900000000000091</v>
      </c>
      <c r="I2398" s="3">
        <f t="shared" si="112"/>
        <v>9.601864127596357E-3</v>
      </c>
    </row>
    <row r="2399" spans="2:9" x14ac:dyDescent="0.25">
      <c r="B2399" s="1">
        <v>38667</v>
      </c>
      <c r="C2399" s="2">
        <v>2548.65</v>
      </c>
      <c r="D2399" s="2">
        <v>2500.85</v>
      </c>
      <c r="E2399" s="2">
        <v>2551.4</v>
      </c>
      <c r="F2399" s="2">
        <v>2500.85</v>
      </c>
      <c r="G2399" s="3">
        <f t="shared" si="113"/>
        <v>1.9174631103291206E-2</v>
      </c>
      <c r="H2399" s="2">
        <f t="shared" si="111"/>
        <v>50.550000000000182</v>
      </c>
      <c r="I2399" s="3">
        <f t="shared" si="112"/>
        <v>2.0213127536637617E-2</v>
      </c>
    </row>
    <row r="2400" spans="2:9" x14ac:dyDescent="0.25">
      <c r="B2400" s="1">
        <v>38670</v>
      </c>
      <c r="C2400" s="2">
        <v>2558.6999999999998</v>
      </c>
      <c r="D2400" s="2">
        <v>2548.5500000000002</v>
      </c>
      <c r="E2400" s="2">
        <v>2576.9499999999998</v>
      </c>
      <c r="F2400" s="2">
        <v>2534.4</v>
      </c>
      <c r="G2400" s="3">
        <f t="shared" si="113"/>
        <v>3.9432640809839992E-3</v>
      </c>
      <c r="H2400" s="2">
        <f t="shared" si="111"/>
        <v>42.549999999999727</v>
      </c>
      <c r="I2400" s="3">
        <f t="shared" si="112"/>
        <v>1.6695768181907249E-2</v>
      </c>
    </row>
    <row r="2401" spans="2:9" x14ac:dyDescent="0.25">
      <c r="B2401" s="1">
        <v>38672</v>
      </c>
      <c r="C2401" s="2">
        <v>2582.75</v>
      </c>
      <c r="D2401" s="2">
        <v>2559.4499999999998</v>
      </c>
      <c r="E2401" s="2">
        <v>2585.9499999999998</v>
      </c>
      <c r="F2401" s="2">
        <v>2559.4499999999998</v>
      </c>
      <c r="G2401" s="3">
        <f t="shared" si="113"/>
        <v>9.3993043342321947E-3</v>
      </c>
      <c r="H2401" s="2">
        <f t="shared" si="111"/>
        <v>26.5</v>
      </c>
      <c r="I2401" s="3">
        <f t="shared" si="112"/>
        <v>1.035378694641427E-2</v>
      </c>
    </row>
    <row r="2402" spans="2:9" x14ac:dyDescent="0.25">
      <c r="B2402" s="1">
        <v>38673</v>
      </c>
      <c r="C2402" s="2">
        <v>2603.9499999999998</v>
      </c>
      <c r="D2402" s="2">
        <v>2558.4499999999998</v>
      </c>
      <c r="E2402" s="2">
        <v>2608.85</v>
      </c>
      <c r="F2402" s="2">
        <v>2558.4499999999998</v>
      </c>
      <c r="G2402" s="3">
        <f t="shared" si="113"/>
        <v>8.2083051011518915E-3</v>
      </c>
      <c r="H2402" s="2">
        <f t="shared" si="111"/>
        <v>50.400000000000091</v>
      </c>
      <c r="I2402" s="3">
        <f t="shared" si="112"/>
        <v>1.9699427387676167E-2</v>
      </c>
    </row>
    <row r="2403" spans="2:9" x14ac:dyDescent="0.25">
      <c r="B2403" s="1">
        <v>38674</v>
      </c>
      <c r="C2403" s="2">
        <v>2620.0500000000002</v>
      </c>
      <c r="D2403" s="2">
        <v>2604</v>
      </c>
      <c r="E2403" s="2">
        <v>2632.35</v>
      </c>
      <c r="F2403" s="2">
        <v>2595.15</v>
      </c>
      <c r="G2403" s="3">
        <f t="shared" si="113"/>
        <v>6.1829144184797347E-3</v>
      </c>
      <c r="H2403" s="2">
        <f t="shared" si="111"/>
        <v>37.199999999999818</v>
      </c>
      <c r="I2403" s="3">
        <f t="shared" si="112"/>
        <v>1.4285714285714216E-2</v>
      </c>
    </row>
    <row r="2404" spans="2:9" x14ac:dyDescent="0.25">
      <c r="B2404" s="1">
        <v>38677</v>
      </c>
      <c r="C2404" s="2">
        <v>2602.5</v>
      </c>
      <c r="D2404" s="2">
        <v>2620.1</v>
      </c>
      <c r="E2404" s="2">
        <v>2626.4</v>
      </c>
      <c r="F2404" s="2">
        <v>2591.75</v>
      </c>
      <c r="G2404" s="3">
        <f t="shared" si="113"/>
        <v>-6.6983454514227825E-3</v>
      </c>
      <c r="H2404" s="2">
        <f t="shared" si="111"/>
        <v>34.650000000000091</v>
      </c>
      <c r="I2404" s="3">
        <f t="shared" si="112"/>
        <v>1.3224686080683978E-2</v>
      </c>
    </row>
    <row r="2405" spans="2:9" x14ac:dyDescent="0.25">
      <c r="B2405" s="1">
        <v>38678</v>
      </c>
      <c r="C2405" s="2">
        <v>2572.85</v>
      </c>
      <c r="D2405" s="2">
        <v>2603.25</v>
      </c>
      <c r="E2405" s="2">
        <v>2614</v>
      </c>
      <c r="F2405" s="2">
        <v>2567.0500000000002</v>
      </c>
      <c r="G2405" s="3">
        <f t="shared" si="113"/>
        <v>-1.1392891450528353E-2</v>
      </c>
      <c r="H2405" s="2">
        <f t="shared" si="111"/>
        <v>46.949999999999818</v>
      </c>
      <c r="I2405" s="3">
        <f t="shared" si="112"/>
        <v>1.8035148372226955E-2</v>
      </c>
    </row>
    <row r="2406" spans="2:9" x14ac:dyDescent="0.25">
      <c r="B2406" s="1">
        <v>38679</v>
      </c>
      <c r="C2406" s="2">
        <v>2608.6</v>
      </c>
      <c r="D2406" s="2">
        <v>2572.85</v>
      </c>
      <c r="E2406" s="2">
        <v>2613.4</v>
      </c>
      <c r="F2406" s="2">
        <v>2563.1</v>
      </c>
      <c r="G2406" s="3">
        <f t="shared" si="113"/>
        <v>1.3895096877004187E-2</v>
      </c>
      <c r="H2406" s="2">
        <f t="shared" si="111"/>
        <v>50.300000000000182</v>
      </c>
      <c r="I2406" s="3">
        <f t="shared" si="112"/>
        <v>1.955030413743521E-2</v>
      </c>
    </row>
    <row r="2407" spans="2:9" x14ac:dyDescent="0.25">
      <c r="B2407" s="1">
        <v>38680</v>
      </c>
      <c r="C2407" s="2">
        <v>2635</v>
      </c>
      <c r="D2407" s="2">
        <v>2608.9</v>
      </c>
      <c r="E2407" s="2">
        <v>2643.7</v>
      </c>
      <c r="F2407" s="2">
        <v>2608.6999999999998</v>
      </c>
      <c r="G2407" s="3">
        <f t="shared" si="113"/>
        <v>1.0120371080273083E-2</v>
      </c>
      <c r="H2407" s="2">
        <f t="shared" si="111"/>
        <v>35</v>
      </c>
      <c r="I2407" s="3">
        <f t="shared" si="112"/>
        <v>1.3415615776764154E-2</v>
      </c>
    </row>
    <row r="2408" spans="2:9" x14ac:dyDescent="0.25">
      <c r="B2408" s="1">
        <v>38681</v>
      </c>
      <c r="C2408" s="2">
        <v>2664.3</v>
      </c>
      <c r="D2408" s="2">
        <v>2635.35</v>
      </c>
      <c r="E2408" s="2">
        <v>2668.9</v>
      </c>
      <c r="F2408" s="2">
        <v>2633.75</v>
      </c>
      <c r="G2408" s="3">
        <f t="shared" si="113"/>
        <v>1.1119544592030461E-2</v>
      </c>
      <c r="H2408" s="2">
        <f t="shared" si="111"/>
        <v>35.150000000000091</v>
      </c>
      <c r="I2408" s="3">
        <f t="shared" si="112"/>
        <v>1.3337886808203879E-2</v>
      </c>
    </row>
    <row r="2409" spans="2:9" x14ac:dyDescent="0.25">
      <c r="B2409" s="1">
        <v>38682</v>
      </c>
      <c r="C2409" s="2">
        <v>2683.45</v>
      </c>
      <c r="D2409" s="2">
        <v>2664.85</v>
      </c>
      <c r="E2409" s="2">
        <v>2686.5</v>
      </c>
      <c r="F2409" s="2">
        <v>2664.7</v>
      </c>
      <c r="G2409" s="3">
        <f t="shared" si="113"/>
        <v>7.1876290207557592E-3</v>
      </c>
      <c r="H2409" s="2">
        <f t="shared" si="111"/>
        <v>21.800000000000182</v>
      </c>
      <c r="I2409" s="3">
        <f t="shared" si="112"/>
        <v>8.1805730153667877E-3</v>
      </c>
    </row>
    <row r="2410" spans="2:9" x14ac:dyDescent="0.25">
      <c r="B2410" s="1">
        <v>38684</v>
      </c>
      <c r="C2410" s="2">
        <v>2712</v>
      </c>
      <c r="D2410" s="2">
        <v>2683.6</v>
      </c>
      <c r="E2410" s="2">
        <v>2717.15</v>
      </c>
      <c r="F2410" s="2">
        <v>2682.65</v>
      </c>
      <c r="G2410" s="3">
        <f t="shared" si="113"/>
        <v>1.0639288975013539E-2</v>
      </c>
      <c r="H2410" s="2">
        <f t="shared" si="111"/>
        <v>34.5</v>
      </c>
      <c r="I2410" s="3">
        <f t="shared" si="112"/>
        <v>1.2855865255626771E-2</v>
      </c>
    </row>
    <row r="2411" spans="2:9" x14ac:dyDescent="0.25">
      <c r="B2411" s="1">
        <v>38685</v>
      </c>
      <c r="C2411" s="2">
        <v>2698.3</v>
      </c>
      <c r="D2411" s="2">
        <v>2712.35</v>
      </c>
      <c r="E2411" s="2">
        <v>2713.9</v>
      </c>
      <c r="F2411" s="2">
        <v>2679.9</v>
      </c>
      <c r="G2411" s="3">
        <f t="shared" si="113"/>
        <v>-5.0516224188790204E-3</v>
      </c>
      <c r="H2411" s="2">
        <f t="shared" si="111"/>
        <v>34</v>
      </c>
      <c r="I2411" s="3">
        <f t="shared" si="112"/>
        <v>1.2535255405828893E-2</v>
      </c>
    </row>
    <row r="2412" spans="2:9" x14ac:dyDescent="0.25">
      <c r="B2412" s="1">
        <v>38686</v>
      </c>
      <c r="C2412" s="2">
        <v>2652.25</v>
      </c>
      <c r="D2412" s="2">
        <v>2698.1</v>
      </c>
      <c r="E2412" s="2">
        <v>2727.05</v>
      </c>
      <c r="F2412" s="2">
        <v>2647.1</v>
      </c>
      <c r="G2412" s="3">
        <f t="shared" si="113"/>
        <v>-1.7066301004336148E-2</v>
      </c>
      <c r="H2412" s="2">
        <f t="shared" si="111"/>
        <v>79.950000000000273</v>
      </c>
      <c r="I2412" s="3">
        <f t="shared" si="112"/>
        <v>2.9631963233386561E-2</v>
      </c>
    </row>
    <row r="2413" spans="2:9" x14ac:dyDescent="0.25">
      <c r="B2413" s="1">
        <v>38687</v>
      </c>
      <c r="C2413" s="2">
        <v>2698.95</v>
      </c>
      <c r="D2413" s="2">
        <v>2651.6</v>
      </c>
      <c r="E2413" s="2">
        <v>2705</v>
      </c>
      <c r="F2413" s="2">
        <v>2641.95</v>
      </c>
      <c r="G2413" s="3">
        <f t="shared" si="113"/>
        <v>1.7607691582618434E-2</v>
      </c>
      <c r="H2413" s="2">
        <f t="shared" si="111"/>
        <v>63.050000000000182</v>
      </c>
      <c r="I2413" s="3">
        <f t="shared" si="112"/>
        <v>2.377809624377741E-2</v>
      </c>
    </row>
    <row r="2414" spans="2:9" x14ac:dyDescent="0.25">
      <c r="B2414" s="1">
        <v>38688</v>
      </c>
      <c r="C2414" s="2">
        <v>2697.95</v>
      </c>
      <c r="D2414" s="2">
        <v>2699.55</v>
      </c>
      <c r="E2414" s="2">
        <v>2730.7</v>
      </c>
      <c r="F2414" s="2">
        <v>2691.5</v>
      </c>
      <c r="G2414" s="3">
        <f t="shared" si="113"/>
        <v>-3.7051445932678728E-4</v>
      </c>
      <c r="H2414" s="2">
        <f t="shared" si="111"/>
        <v>39.199999999999818</v>
      </c>
      <c r="I2414" s="3">
        <f t="shared" si="112"/>
        <v>1.4520938674964278E-2</v>
      </c>
    </row>
    <row r="2415" spans="2:9" x14ac:dyDescent="0.25">
      <c r="B2415" s="1">
        <v>38691</v>
      </c>
      <c r="C2415" s="2">
        <v>2660.5</v>
      </c>
      <c r="D2415" s="2">
        <v>2697.6</v>
      </c>
      <c r="E2415" s="2">
        <v>2710.65</v>
      </c>
      <c r="F2415" s="2">
        <v>2654.35</v>
      </c>
      <c r="G2415" s="3">
        <f t="shared" si="113"/>
        <v>-1.3880909579495504E-2</v>
      </c>
      <c r="H2415" s="2">
        <f t="shared" si="111"/>
        <v>56.300000000000182</v>
      </c>
      <c r="I2415" s="3">
        <f t="shared" si="112"/>
        <v>2.0870403321471005E-2</v>
      </c>
    </row>
    <row r="2416" spans="2:9" x14ac:dyDescent="0.25">
      <c r="B2416" s="1">
        <v>38692</v>
      </c>
      <c r="C2416" s="2">
        <v>2662.3</v>
      </c>
      <c r="D2416" s="2">
        <v>2661.4</v>
      </c>
      <c r="E2416" s="2">
        <v>2694.4</v>
      </c>
      <c r="F2416" s="2">
        <v>2647.35</v>
      </c>
      <c r="G2416" s="3">
        <f t="shared" si="113"/>
        <v>6.7656455553466444E-4</v>
      </c>
      <c r="H2416" s="2">
        <f t="shared" si="111"/>
        <v>47.050000000000182</v>
      </c>
      <c r="I2416" s="3">
        <f t="shared" si="112"/>
        <v>1.7678665364094154E-2</v>
      </c>
    </row>
    <row r="2417" spans="2:9" x14ac:dyDescent="0.25">
      <c r="B2417" s="1">
        <v>38693</v>
      </c>
      <c r="C2417" s="2">
        <v>2693</v>
      </c>
      <c r="D2417" s="2">
        <v>2662.3</v>
      </c>
      <c r="E2417" s="2">
        <v>2697.1</v>
      </c>
      <c r="F2417" s="2">
        <v>2662.3</v>
      </c>
      <c r="G2417" s="3">
        <f t="shared" si="113"/>
        <v>1.1531382639071497E-2</v>
      </c>
      <c r="H2417" s="2">
        <f t="shared" si="111"/>
        <v>34.799999999999727</v>
      </c>
      <c r="I2417" s="3">
        <f t="shared" si="112"/>
        <v>1.3071404424745418E-2</v>
      </c>
    </row>
    <row r="2418" spans="2:9" x14ac:dyDescent="0.25">
      <c r="B2418" s="1">
        <v>38694</v>
      </c>
      <c r="C2418" s="2">
        <v>2706.7</v>
      </c>
      <c r="D2418" s="2">
        <v>2694.95</v>
      </c>
      <c r="E2418" s="2">
        <v>2711.6</v>
      </c>
      <c r="F2418" s="2">
        <v>2673.5</v>
      </c>
      <c r="G2418" s="3">
        <f t="shared" si="113"/>
        <v>5.0872632751577385E-3</v>
      </c>
      <c r="H2418" s="2">
        <f t="shared" si="111"/>
        <v>38.099999999999909</v>
      </c>
      <c r="I2418" s="3">
        <f t="shared" si="112"/>
        <v>1.4137553572422461E-2</v>
      </c>
    </row>
    <row r="2419" spans="2:9" x14ac:dyDescent="0.25">
      <c r="B2419" s="1">
        <v>38695</v>
      </c>
      <c r="C2419" s="2">
        <v>2756.45</v>
      </c>
      <c r="D2419" s="2">
        <v>2706.75</v>
      </c>
      <c r="E2419" s="2">
        <v>2761.1</v>
      </c>
      <c r="F2419" s="2">
        <v>2698</v>
      </c>
      <c r="G2419" s="3">
        <f t="shared" si="113"/>
        <v>1.8380315513355727E-2</v>
      </c>
      <c r="H2419" s="2">
        <f t="shared" si="111"/>
        <v>63.099999999999909</v>
      </c>
      <c r="I2419" s="3">
        <f t="shared" si="112"/>
        <v>2.3312090145007819E-2</v>
      </c>
    </row>
    <row r="2420" spans="2:9" x14ac:dyDescent="0.25">
      <c r="B2420" s="1">
        <v>38698</v>
      </c>
      <c r="C2420" s="2">
        <v>2776.2</v>
      </c>
      <c r="D2420" s="2">
        <v>2756.4</v>
      </c>
      <c r="E2420" s="2">
        <v>2789.35</v>
      </c>
      <c r="F2420" s="2">
        <v>2756.4</v>
      </c>
      <c r="G2420" s="3">
        <f t="shared" si="113"/>
        <v>7.1650129695803866E-3</v>
      </c>
      <c r="H2420" s="2">
        <f t="shared" si="111"/>
        <v>32.949999999999818</v>
      </c>
      <c r="I2420" s="3">
        <f t="shared" si="112"/>
        <v>1.1953997968364468E-2</v>
      </c>
    </row>
    <row r="2421" spans="2:9" x14ac:dyDescent="0.25">
      <c r="B2421" s="1">
        <v>38699</v>
      </c>
      <c r="C2421" s="2">
        <v>2812.3</v>
      </c>
      <c r="D2421" s="2">
        <v>2776.8</v>
      </c>
      <c r="E2421" s="2">
        <v>2815.3</v>
      </c>
      <c r="F2421" s="2">
        <v>2764.65</v>
      </c>
      <c r="G2421" s="3">
        <f t="shared" si="113"/>
        <v>1.3003385923204602E-2</v>
      </c>
      <c r="H2421" s="2">
        <f t="shared" si="111"/>
        <v>50.650000000000091</v>
      </c>
      <c r="I2421" s="3">
        <f t="shared" si="112"/>
        <v>1.824042062806111E-2</v>
      </c>
    </row>
    <row r="2422" spans="2:9" x14ac:dyDescent="0.25">
      <c r="B2422" s="1">
        <v>38700</v>
      </c>
      <c r="C2422" s="2">
        <v>2804.55</v>
      </c>
      <c r="D2422" s="2">
        <v>2812.8</v>
      </c>
      <c r="E2422" s="2">
        <v>2825.65</v>
      </c>
      <c r="F2422" s="2">
        <v>2788.3</v>
      </c>
      <c r="G2422" s="3">
        <f t="shared" si="113"/>
        <v>-2.7557515201080962E-3</v>
      </c>
      <c r="H2422" s="2">
        <f t="shared" si="111"/>
        <v>37.349999999999909</v>
      </c>
      <c r="I2422" s="3">
        <f t="shared" si="112"/>
        <v>1.3278583617747407E-2</v>
      </c>
    </row>
    <row r="2423" spans="2:9" x14ac:dyDescent="0.25">
      <c r="B2423" s="1">
        <v>38701</v>
      </c>
      <c r="C2423" s="2">
        <v>2778.55</v>
      </c>
      <c r="D2423" s="2">
        <v>2805.2</v>
      </c>
      <c r="E2423" s="2">
        <v>2821.5</v>
      </c>
      <c r="F2423" s="2">
        <v>2763.35</v>
      </c>
      <c r="G2423" s="3">
        <f t="shared" si="113"/>
        <v>-9.2706494803087569E-3</v>
      </c>
      <c r="H2423" s="2">
        <f t="shared" si="111"/>
        <v>58.150000000000091</v>
      </c>
      <c r="I2423" s="3">
        <f t="shared" si="112"/>
        <v>2.0729359760444922E-2</v>
      </c>
    </row>
    <row r="2424" spans="2:9" x14ac:dyDescent="0.25">
      <c r="B2424" s="1">
        <v>38702</v>
      </c>
      <c r="C2424" s="2">
        <v>2810.15</v>
      </c>
      <c r="D2424" s="2">
        <v>2778.65</v>
      </c>
      <c r="E2424" s="2">
        <v>2814.9</v>
      </c>
      <c r="F2424" s="2">
        <v>2766.5</v>
      </c>
      <c r="G2424" s="3">
        <f t="shared" si="113"/>
        <v>1.1372838350938386E-2</v>
      </c>
      <c r="H2424" s="2">
        <f t="shared" si="111"/>
        <v>48.400000000000091</v>
      </c>
      <c r="I2424" s="3">
        <f t="shared" si="112"/>
        <v>1.7418530581397473E-2</v>
      </c>
    </row>
    <row r="2425" spans="2:9" x14ac:dyDescent="0.25">
      <c r="B2425" s="1">
        <v>38705</v>
      </c>
      <c r="C2425" s="2">
        <v>2842.6</v>
      </c>
      <c r="D2425" s="2">
        <v>2808.35</v>
      </c>
      <c r="E2425" s="2">
        <v>2846</v>
      </c>
      <c r="F2425" s="2">
        <v>2803.45</v>
      </c>
      <c r="G2425" s="3">
        <f t="shared" si="113"/>
        <v>1.1547426293970098E-2</v>
      </c>
      <c r="H2425" s="2">
        <f t="shared" si="111"/>
        <v>42.550000000000182</v>
      </c>
      <c r="I2425" s="3">
        <f t="shared" si="112"/>
        <v>1.515124539320248E-2</v>
      </c>
    </row>
    <row r="2426" spans="2:9" x14ac:dyDescent="0.25">
      <c r="B2426" s="1">
        <v>38706</v>
      </c>
      <c r="C2426" s="2">
        <v>2826.2</v>
      </c>
      <c r="D2426" s="2">
        <v>2843.15</v>
      </c>
      <c r="E2426" s="2">
        <v>2853.1</v>
      </c>
      <c r="F2426" s="2">
        <v>2815.2</v>
      </c>
      <c r="G2426" s="3">
        <f t="shared" si="113"/>
        <v>-5.7693660733132424E-3</v>
      </c>
      <c r="H2426" s="2">
        <f t="shared" si="111"/>
        <v>37.900000000000091</v>
      </c>
      <c r="I2426" s="3">
        <f t="shared" si="112"/>
        <v>1.3330285071135919E-2</v>
      </c>
    </row>
    <row r="2427" spans="2:9" x14ac:dyDescent="0.25">
      <c r="B2427" s="1">
        <v>38707</v>
      </c>
      <c r="C2427" s="2">
        <v>2822.9</v>
      </c>
      <c r="D2427" s="2">
        <v>2826.45</v>
      </c>
      <c r="E2427" s="2">
        <v>2847.3</v>
      </c>
      <c r="F2427" s="2">
        <v>2799.45</v>
      </c>
      <c r="G2427" s="3">
        <f t="shared" si="113"/>
        <v>-1.1676456018681058E-3</v>
      </c>
      <c r="H2427" s="2">
        <f t="shared" si="111"/>
        <v>47.850000000000364</v>
      </c>
      <c r="I2427" s="3">
        <f t="shared" si="112"/>
        <v>1.692936368943387E-2</v>
      </c>
    </row>
    <row r="2428" spans="2:9" x14ac:dyDescent="0.25">
      <c r="B2428" s="1">
        <v>38708</v>
      </c>
      <c r="C2428" s="2">
        <v>2835.25</v>
      </c>
      <c r="D2428" s="2">
        <v>2826.7</v>
      </c>
      <c r="E2428" s="2">
        <v>2846.65</v>
      </c>
      <c r="F2428" s="2">
        <v>2818.65</v>
      </c>
      <c r="G2428" s="3">
        <f t="shared" si="113"/>
        <v>4.374933578943585E-3</v>
      </c>
      <c r="H2428" s="2">
        <f t="shared" si="111"/>
        <v>28</v>
      </c>
      <c r="I2428" s="3">
        <f t="shared" si="112"/>
        <v>9.9055435667032236E-3</v>
      </c>
    </row>
    <row r="2429" spans="2:9" x14ac:dyDescent="0.25">
      <c r="B2429" s="1">
        <v>38709</v>
      </c>
      <c r="C2429" s="2">
        <v>2804.85</v>
      </c>
      <c r="D2429" s="2">
        <v>2835.7</v>
      </c>
      <c r="E2429" s="2">
        <v>2857</v>
      </c>
      <c r="F2429" s="2">
        <v>2799.7</v>
      </c>
      <c r="G2429" s="3">
        <f t="shared" si="113"/>
        <v>-1.0722158539811288E-2</v>
      </c>
      <c r="H2429" s="2">
        <f t="shared" si="111"/>
        <v>57.300000000000182</v>
      </c>
      <c r="I2429" s="3">
        <f t="shared" si="112"/>
        <v>2.0206650915118026E-2</v>
      </c>
    </row>
    <row r="2430" spans="2:9" x14ac:dyDescent="0.25">
      <c r="B2430" s="1">
        <v>38712</v>
      </c>
      <c r="C2430" s="2">
        <v>2749.6</v>
      </c>
      <c r="D2430" s="2">
        <v>2804.3</v>
      </c>
      <c r="E2430" s="2">
        <v>2804.3</v>
      </c>
      <c r="F2430" s="2">
        <v>2741.8</v>
      </c>
      <c r="G2430" s="3">
        <f t="shared" si="113"/>
        <v>-1.9698023067187154E-2</v>
      </c>
      <c r="H2430" s="2">
        <f t="shared" si="111"/>
        <v>62.5</v>
      </c>
      <c r="I2430" s="3">
        <f t="shared" si="112"/>
        <v>2.2287201797239951E-2</v>
      </c>
    </row>
    <row r="2431" spans="2:9" x14ac:dyDescent="0.25">
      <c r="B2431" s="1">
        <v>38713</v>
      </c>
      <c r="C2431" s="2">
        <v>2805.9</v>
      </c>
      <c r="D2431" s="2">
        <v>2746.25</v>
      </c>
      <c r="E2431" s="2">
        <v>2812.6</v>
      </c>
      <c r="F2431" s="2">
        <v>2725.7</v>
      </c>
      <c r="G2431" s="3">
        <f t="shared" si="113"/>
        <v>2.0475705557172041E-2</v>
      </c>
      <c r="H2431" s="2">
        <f t="shared" si="111"/>
        <v>86.900000000000091</v>
      </c>
      <c r="I2431" s="3">
        <f t="shared" si="112"/>
        <v>3.1643149749658657E-2</v>
      </c>
    </row>
    <row r="2432" spans="2:9" x14ac:dyDescent="0.25">
      <c r="B2432" s="1">
        <v>38714</v>
      </c>
      <c r="C2432" s="2">
        <v>2794.05</v>
      </c>
      <c r="D2432" s="2">
        <v>2806.8</v>
      </c>
      <c r="E2432" s="2">
        <v>2824.3</v>
      </c>
      <c r="F2432" s="2">
        <v>2780</v>
      </c>
      <c r="G2432" s="3">
        <f t="shared" si="113"/>
        <v>-4.2232438789693294E-3</v>
      </c>
      <c r="H2432" s="2">
        <f t="shared" si="111"/>
        <v>44.300000000000182</v>
      </c>
      <c r="I2432" s="3">
        <f t="shared" si="112"/>
        <v>1.5783098190109798E-2</v>
      </c>
    </row>
    <row r="2433" spans="2:9" x14ac:dyDescent="0.25">
      <c r="B2433" s="1">
        <v>38715</v>
      </c>
      <c r="C2433" s="2">
        <v>2821.95</v>
      </c>
      <c r="D2433" s="2">
        <v>2792.75</v>
      </c>
      <c r="E2433" s="2">
        <v>2829.4</v>
      </c>
      <c r="F2433" s="2">
        <v>2792.75</v>
      </c>
      <c r="G2433" s="3">
        <f t="shared" si="113"/>
        <v>9.9855049122241635E-3</v>
      </c>
      <c r="H2433" s="2">
        <f t="shared" si="111"/>
        <v>36.650000000000091</v>
      </c>
      <c r="I2433" s="3">
        <f t="shared" si="112"/>
        <v>1.3123265598424524E-2</v>
      </c>
    </row>
    <row r="2434" spans="2:9" x14ac:dyDescent="0.25">
      <c r="B2434" s="1">
        <v>38716</v>
      </c>
      <c r="C2434" s="2">
        <v>2836.55</v>
      </c>
      <c r="D2434" s="2">
        <v>2823.95</v>
      </c>
      <c r="E2434" s="2">
        <v>2845.55</v>
      </c>
      <c r="F2434" s="2">
        <v>2812.75</v>
      </c>
      <c r="G2434" s="3">
        <f t="shared" si="113"/>
        <v>5.1737273870906542E-3</v>
      </c>
      <c r="H2434" s="2">
        <f t="shared" si="111"/>
        <v>32.800000000000182</v>
      </c>
      <c r="I2434" s="3">
        <f t="shared" si="112"/>
        <v>1.1614936525080184E-2</v>
      </c>
    </row>
    <row r="2435" spans="2:9" x14ac:dyDescent="0.25">
      <c r="B2435" s="1">
        <v>38719</v>
      </c>
      <c r="C2435" s="2">
        <v>2835.95</v>
      </c>
      <c r="D2435" s="2">
        <v>2836.8</v>
      </c>
      <c r="E2435" s="2">
        <v>2849.45</v>
      </c>
      <c r="F2435" s="2">
        <v>2825.4</v>
      </c>
      <c r="G2435" s="3">
        <f t="shared" si="113"/>
        <v>-2.115245632899887E-4</v>
      </c>
      <c r="H2435" s="2">
        <f t="shared" si="111"/>
        <v>24.049999999999727</v>
      </c>
      <c r="I2435" s="3">
        <f t="shared" si="112"/>
        <v>8.4778623801465471E-3</v>
      </c>
    </row>
    <row r="2436" spans="2:9" x14ac:dyDescent="0.25">
      <c r="B2436" s="1">
        <v>38720</v>
      </c>
      <c r="C2436" s="2">
        <v>2883.35</v>
      </c>
      <c r="D2436" s="2">
        <v>2835.95</v>
      </c>
      <c r="E2436" s="2">
        <v>2887.2</v>
      </c>
      <c r="F2436" s="2">
        <v>2832.05</v>
      </c>
      <c r="G2436" s="3">
        <f t="shared" si="113"/>
        <v>1.6713975916359702E-2</v>
      </c>
      <c r="H2436" s="2">
        <f t="shared" si="111"/>
        <v>55.149999999999636</v>
      </c>
      <c r="I2436" s="3">
        <f t="shared" si="112"/>
        <v>1.9446746240236831E-2</v>
      </c>
    </row>
    <row r="2437" spans="2:9" x14ac:dyDescent="0.25">
      <c r="B2437" s="1">
        <v>38721</v>
      </c>
      <c r="C2437" s="2">
        <v>2904.4</v>
      </c>
      <c r="D2437" s="2">
        <v>2883</v>
      </c>
      <c r="E2437" s="2">
        <v>2909.35</v>
      </c>
      <c r="F2437" s="2">
        <v>2883</v>
      </c>
      <c r="G2437" s="3">
        <f t="shared" si="113"/>
        <v>7.3005358350530791E-3</v>
      </c>
      <c r="H2437" s="2">
        <f t="shared" ref="H2437:H2500" si="114">E2437-F2437</f>
        <v>26.349999999999909</v>
      </c>
      <c r="I2437" s="3">
        <f t="shared" si="112"/>
        <v>9.1397849462365281E-3</v>
      </c>
    </row>
    <row r="2438" spans="2:9" x14ac:dyDescent="0.25">
      <c r="B2438" s="1">
        <v>38722</v>
      </c>
      <c r="C2438" s="2">
        <v>2899.85</v>
      </c>
      <c r="D2438" s="2">
        <v>2904.45</v>
      </c>
      <c r="E2438" s="2">
        <v>2916.2</v>
      </c>
      <c r="F2438" s="2">
        <v>2884.8</v>
      </c>
      <c r="G2438" s="3">
        <f t="shared" si="113"/>
        <v>-1.5665886241564841E-3</v>
      </c>
      <c r="H2438" s="2">
        <f t="shared" si="114"/>
        <v>31.399999999999636</v>
      </c>
      <c r="I2438" s="3">
        <f t="shared" ref="I2438:I2501" si="115">H2438/D2438</f>
        <v>1.0810996918521455E-2</v>
      </c>
    </row>
    <row r="2439" spans="2:9" x14ac:dyDescent="0.25">
      <c r="B2439" s="1">
        <v>38723</v>
      </c>
      <c r="C2439" s="2">
        <v>2914</v>
      </c>
      <c r="D2439" s="2">
        <v>2899.85</v>
      </c>
      <c r="E2439" s="2">
        <v>2921.7</v>
      </c>
      <c r="F2439" s="2">
        <v>2877.25</v>
      </c>
      <c r="G2439" s="3">
        <f t="shared" ref="G2439:G2502" si="116">C2439/C2438-1</f>
        <v>4.8795627360036509E-3</v>
      </c>
      <c r="H2439" s="2">
        <f t="shared" si="114"/>
        <v>44.449999999999818</v>
      </c>
      <c r="I2439" s="3">
        <f t="shared" si="115"/>
        <v>1.5328379054088943E-2</v>
      </c>
    </row>
    <row r="2440" spans="2:9" x14ac:dyDescent="0.25">
      <c r="B2440" s="1">
        <v>38726</v>
      </c>
      <c r="C2440" s="2">
        <v>2910.1</v>
      </c>
      <c r="D2440" s="2">
        <v>2913.35</v>
      </c>
      <c r="E2440" s="2">
        <v>2927.25</v>
      </c>
      <c r="F2440" s="2">
        <v>2898.25</v>
      </c>
      <c r="G2440" s="3">
        <f t="shared" si="116"/>
        <v>-1.3383665065203054E-3</v>
      </c>
      <c r="H2440" s="2">
        <f t="shared" si="114"/>
        <v>29</v>
      </c>
      <c r="I2440" s="3">
        <f t="shared" si="115"/>
        <v>9.9541764635213761E-3</v>
      </c>
    </row>
    <row r="2441" spans="2:9" x14ac:dyDescent="0.25">
      <c r="B2441" s="1">
        <v>38727</v>
      </c>
      <c r="C2441" s="2">
        <v>2870.8</v>
      </c>
      <c r="D2441" s="2">
        <v>2910.15</v>
      </c>
      <c r="E2441" s="2">
        <v>2913.05</v>
      </c>
      <c r="F2441" s="2">
        <v>2865.6</v>
      </c>
      <c r="G2441" s="3">
        <f t="shared" si="116"/>
        <v>-1.3504690560461774E-2</v>
      </c>
      <c r="H2441" s="2">
        <f t="shared" si="114"/>
        <v>47.450000000000273</v>
      </c>
      <c r="I2441" s="3">
        <f t="shared" si="115"/>
        <v>1.6305001460405914E-2</v>
      </c>
    </row>
    <row r="2442" spans="2:9" x14ac:dyDescent="0.25">
      <c r="B2442" s="1">
        <v>38729</v>
      </c>
      <c r="C2442" s="2">
        <v>2850.7</v>
      </c>
      <c r="D2442" s="2">
        <v>2869.35</v>
      </c>
      <c r="E2442" s="2">
        <v>2869.35</v>
      </c>
      <c r="F2442" s="2">
        <v>2824</v>
      </c>
      <c r="G2442" s="3">
        <f t="shared" si="116"/>
        <v>-7.0015326738193107E-3</v>
      </c>
      <c r="H2442" s="2">
        <f t="shared" si="114"/>
        <v>45.349999999999909</v>
      </c>
      <c r="I2442" s="3">
        <f t="shared" si="115"/>
        <v>1.5804973251781731E-2</v>
      </c>
    </row>
    <row r="2443" spans="2:9" x14ac:dyDescent="0.25">
      <c r="B2443" s="1">
        <v>38730</v>
      </c>
      <c r="C2443" s="2">
        <v>2850.55</v>
      </c>
      <c r="D2443" s="2">
        <v>2851.4</v>
      </c>
      <c r="E2443" s="2">
        <v>2878.35</v>
      </c>
      <c r="F2443" s="2">
        <v>2846.7</v>
      </c>
      <c r="G2443" s="3">
        <f t="shared" si="116"/>
        <v>-5.2618655067004916E-5</v>
      </c>
      <c r="H2443" s="2">
        <f t="shared" si="114"/>
        <v>31.650000000000091</v>
      </c>
      <c r="I2443" s="3">
        <f t="shared" si="115"/>
        <v>1.1099810619344916E-2</v>
      </c>
    </row>
    <row r="2444" spans="2:9" x14ac:dyDescent="0.25">
      <c r="B2444" s="1">
        <v>38733</v>
      </c>
      <c r="C2444" s="2">
        <v>2833.1</v>
      </c>
      <c r="D2444" s="2">
        <v>2851.35</v>
      </c>
      <c r="E2444" s="2">
        <v>2855.7</v>
      </c>
      <c r="F2444" s="2">
        <v>2824.05</v>
      </c>
      <c r="G2444" s="3">
        <f t="shared" si="116"/>
        <v>-6.1216256511902323E-3</v>
      </c>
      <c r="H2444" s="2">
        <f t="shared" si="114"/>
        <v>31.649999999999636</v>
      </c>
      <c r="I2444" s="3">
        <f t="shared" si="115"/>
        <v>1.1100005260665874E-2</v>
      </c>
    </row>
    <row r="2445" spans="2:9" x14ac:dyDescent="0.25">
      <c r="B2445" s="1">
        <v>38734</v>
      </c>
      <c r="C2445" s="2">
        <v>2829.1</v>
      </c>
      <c r="D2445" s="2">
        <v>2833.8</v>
      </c>
      <c r="E2445" s="2">
        <v>2861.25</v>
      </c>
      <c r="F2445" s="2">
        <v>2820.65</v>
      </c>
      <c r="G2445" s="3">
        <f t="shared" si="116"/>
        <v>-1.4118809784334774E-3</v>
      </c>
      <c r="H2445" s="2">
        <f t="shared" si="114"/>
        <v>40.599999999999909</v>
      </c>
      <c r="I2445" s="3">
        <f t="shared" si="115"/>
        <v>1.4327052014962208E-2</v>
      </c>
    </row>
    <row r="2446" spans="2:9" x14ac:dyDescent="0.25">
      <c r="B2446" s="1">
        <v>38735</v>
      </c>
      <c r="C2446" s="2">
        <v>2809.2</v>
      </c>
      <c r="D2446" s="2">
        <v>2809.9</v>
      </c>
      <c r="E2446" s="2">
        <v>2840.1</v>
      </c>
      <c r="F2446" s="2">
        <v>2783.85</v>
      </c>
      <c r="G2446" s="3">
        <f t="shared" si="116"/>
        <v>-7.0340390937047026E-3</v>
      </c>
      <c r="H2446" s="2">
        <f t="shared" si="114"/>
        <v>56.25</v>
      </c>
      <c r="I2446" s="3">
        <f t="shared" si="115"/>
        <v>2.0018505996654685E-2</v>
      </c>
    </row>
    <row r="2447" spans="2:9" x14ac:dyDescent="0.25">
      <c r="B2447" s="1">
        <v>38736</v>
      </c>
      <c r="C2447" s="2">
        <v>2870.85</v>
      </c>
      <c r="D2447" s="2">
        <v>2811.1</v>
      </c>
      <c r="E2447" s="2">
        <v>2875.95</v>
      </c>
      <c r="F2447" s="2">
        <v>2811.1</v>
      </c>
      <c r="G2447" s="3">
        <f t="shared" si="116"/>
        <v>2.1945749679624038E-2</v>
      </c>
      <c r="H2447" s="2">
        <f t="shared" si="114"/>
        <v>64.849999999999909</v>
      </c>
      <c r="I2447" s="3">
        <f t="shared" si="115"/>
        <v>2.3069261143324644E-2</v>
      </c>
    </row>
    <row r="2448" spans="2:9" x14ac:dyDescent="0.25">
      <c r="B2448" s="1">
        <v>38737</v>
      </c>
      <c r="C2448" s="2">
        <v>2900.95</v>
      </c>
      <c r="D2448" s="2">
        <v>2870.8</v>
      </c>
      <c r="E2448" s="2">
        <v>2912.8</v>
      </c>
      <c r="F2448" s="2">
        <v>2870.8</v>
      </c>
      <c r="G2448" s="3">
        <f t="shared" si="116"/>
        <v>1.0484699653412699E-2</v>
      </c>
      <c r="H2448" s="2">
        <f t="shared" si="114"/>
        <v>42</v>
      </c>
      <c r="I2448" s="3">
        <f t="shared" si="115"/>
        <v>1.4630068273651943E-2</v>
      </c>
    </row>
    <row r="2449" spans="2:9" x14ac:dyDescent="0.25">
      <c r="B2449" s="1">
        <v>38740</v>
      </c>
      <c r="C2449" s="2">
        <v>2884.05</v>
      </c>
      <c r="D2449" s="2">
        <v>2900.3</v>
      </c>
      <c r="E2449" s="2">
        <v>2900.3</v>
      </c>
      <c r="F2449" s="2">
        <v>2870.95</v>
      </c>
      <c r="G2449" s="3">
        <f t="shared" si="116"/>
        <v>-5.825677795204931E-3</v>
      </c>
      <c r="H2449" s="2">
        <f t="shared" si="114"/>
        <v>29.350000000000364</v>
      </c>
      <c r="I2449" s="3">
        <f t="shared" si="115"/>
        <v>1.0119642795572996E-2</v>
      </c>
    </row>
    <row r="2450" spans="2:9" x14ac:dyDescent="0.25">
      <c r="B2450" s="1">
        <v>38741</v>
      </c>
      <c r="C2450" s="2">
        <v>2908</v>
      </c>
      <c r="D2450" s="2">
        <v>2886.35</v>
      </c>
      <c r="E2450" s="2">
        <v>2914.25</v>
      </c>
      <c r="F2450" s="2">
        <v>2885.75</v>
      </c>
      <c r="G2450" s="3">
        <f t="shared" si="116"/>
        <v>8.3042943083511123E-3</v>
      </c>
      <c r="H2450" s="2">
        <f t="shared" si="114"/>
        <v>28.5</v>
      </c>
      <c r="I2450" s="3">
        <f t="shared" si="115"/>
        <v>9.8740623971451842E-3</v>
      </c>
    </row>
    <row r="2451" spans="2:9" x14ac:dyDescent="0.25">
      <c r="B2451" s="1">
        <v>38742</v>
      </c>
      <c r="C2451" s="2">
        <v>2940.35</v>
      </c>
      <c r="D2451" s="2">
        <v>2908.75</v>
      </c>
      <c r="E2451" s="2">
        <v>2949.1</v>
      </c>
      <c r="F2451" s="2">
        <v>2871.25</v>
      </c>
      <c r="G2451" s="3">
        <f t="shared" si="116"/>
        <v>1.1124484181568084E-2</v>
      </c>
      <c r="H2451" s="2">
        <f t="shared" si="114"/>
        <v>77.849999999999909</v>
      </c>
      <c r="I2451" s="3">
        <f t="shared" si="115"/>
        <v>2.6764073914911871E-2</v>
      </c>
    </row>
    <row r="2452" spans="2:9" x14ac:dyDescent="0.25">
      <c r="B2452" s="1">
        <v>38744</v>
      </c>
      <c r="C2452" s="2">
        <v>2982.75</v>
      </c>
      <c r="D2452" s="2">
        <v>2941.9</v>
      </c>
      <c r="E2452" s="2">
        <v>2989.7</v>
      </c>
      <c r="F2452" s="2">
        <v>2941.9</v>
      </c>
      <c r="G2452" s="3">
        <f t="shared" si="116"/>
        <v>1.4420052034621822E-2</v>
      </c>
      <c r="H2452" s="2">
        <f t="shared" si="114"/>
        <v>47.799999999999727</v>
      </c>
      <c r="I2452" s="3">
        <f t="shared" si="115"/>
        <v>1.6248002991264054E-2</v>
      </c>
    </row>
    <row r="2453" spans="2:9" x14ac:dyDescent="0.25">
      <c r="B2453" s="1">
        <v>38747</v>
      </c>
      <c r="C2453" s="2">
        <v>2974.5</v>
      </c>
      <c r="D2453" s="2">
        <v>2983.3</v>
      </c>
      <c r="E2453" s="2">
        <v>3002.2</v>
      </c>
      <c r="F2453" s="2">
        <v>2963.65</v>
      </c>
      <c r="G2453" s="3">
        <f t="shared" si="116"/>
        <v>-2.7659039476992664E-3</v>
      </c>
      <c r="H2453" s="2">
        <f t="shared" si="114"/>
        <v>38.549999999999727</v>
      </c>
      <c r="I2453" s="3">
        <f t="shared" si="115"/>
        <v>1.2921932088626596E-2</v>
      </c>
    </row>
    <row r="2454" spans="2:9" x14ac:dyDescent="0.25">
      <c r="B2454" s="1">
        <v>38748</v>
      </c>
      <c r="C2454" s="2">
        <v>3001.1</v>
      </c>
      <c r="D2454" s="2">
        <v>2968.95</v>
      </c>
      <c r="E2454" s="2">
        <v>3005.1</v>
      </c>
      <c r="F2454" s="2">
        <v>2968.85</v>
      </c>
      <c r="G2454" s="3">
        <f t="shared" si="116"/>
        <v>8.9426794419229516E-3</v>
      </c>
      <c r="H2454" s="2">
        <f t="shared" si="114"/>
        <v>36.25</v>
      </c>
      <c r="I2454" s="3">
        <f t="shared" si="115"/>
        <v>1.220970376732515E-2</v>
      </c>
    </row>
    <row r="2455" spans="2:9" x14ac:dyDescent="0.25">
      <c r="B2455" s="1">
        <v>38749</v>
      </c>
      <c r="C2455" s="2">
        <v>2971.55</v>
      </c>
      <c r="D2455" s="2">
        <v>3001.3</v>
      </c>
      <c r="E2455" s="2">
        <v>3011.05</v>
      </c>
      <c r="F2455" s="2">
        <v>2960.9</v>
      </c>
      <c r="G2455" s="3">
        <f t="shared" si="116"/>
        <v>-9.8463896571255871E-3</v>
      </c>
      <c r="H2455" s="2">
        <f t="shared" si="114"/>
        <v>50.150000000000091</v>
      </c>
      <c r="I2455" s="3">
        <f t="shared" si="115"/>
        <v>1.6709425915436674E-2</v>
      </c>
    </row>
    <row r="2456" spans="2:9" x14ac:dyDescent="0.25">
      <c r="B2456" s="1">
        <v>38750</v>
      </c>
      <c r="C2456" s="2">
        <v>2967.45</v>
      </c>
      <c r="D2456" s="2">
        <v>2972.2</v>
      </c>
      <c r="E2456" s="2">
        <v>2997.25</v>
      </c>
      <c r="F2456" s="2">
        <v>2957.55</v>
      </c>
      <c r="G2456" s="3">
        <f t="shared" si="116"/>
        <v>-1.3797513082399737E-3</v>
      </c>
      <c r="H2456" s="2">
        <f t="shared" si="114"/>
        <v>39.699999999999818</v>
      </c>
      <c r="I2456" s="3">
        <f t="shared" si="115"/>
        <v>1.3357109212031431E-2</v>
      </c>
    </row>
    <row r="2457" spans="2:9" x14ac:dyDescent="0.25">
      <c r="B2457" s="1">
        <v>38751</v>
      </c>
      <c r="C2457" s="2">
        <v>2940.6</v>
      </c>
      <c r="D2457" s="2">
        <v>2968.1</v>
      </c>
      <c r="E2457" s="2">
        <v>2973.9</v>
      </c>
      <c r="F2457" s="2">
        <v>2931.85</v>
      </c>
      <c r="G2457" s="3">
        <f t="shared" si="116"/>
        <v>-9.0481726735075485E-3</v>
      </c>
      <c r="H2457" s="2">
        <f t="shared" si="114"/>
        <v>42.050000000000182</v>
      </c>
      <c r="I2457" s="3">
        <f t="shared" si="115"/>
        <v>1.4167312422088267E-2</v>
      </c>
    </row>
    <row r="2458" spans="2:9" x14ac:dyDescent="0.25">
      <c r="B2458" s="1">
        <v>38754</v>
      </c>
      <c r="C2458" s="2">
        <v>3000.45</v>
      </c>
      <c r="D2458" s="2">
        <v>2940.95</v>
      </c>
      <c r="E2458" s="2">
        <v>3009.45</v>
      </c>
      <c r="F2458" s="2">
        <v>2928.1</v>
      </c>
      <c r="G2458" s="3">
        <f t="shared" si="116"/>
        <v>2.0352989185880466E-2</v>
      </c>
      <c r="H2458" s="2">
        <f t="shared" si="114"/>
        <v>81.349999999999909</v>
      </c>
      <c r="I2458" s="3">
        <f t="shared" si="115"/>
        <v>2.7661129907002809E-2</v>
      </c>
    </row>
    <row r="2459" spans="2:9" x14ac:dyDescent="0.25">
      <c r="B2459" s="1">
        <v>38755</v>
      </c>
      <c r="C2459" s="2">
        <v>3020.1</v>
      </c>
      <c r="D2459" s="2">
        <v>3001.15</v>
      </c>
      <c r="E2459" s="2">
        <v>3025.1</v>
      </c>
      <c r="F2459" s="2">
        <v>2991.25</v>
      </c>
      <c r="G2459" s="3">
        <f t="shared" si="116"/>
        <v>6.5490176473528283E-3</v>
      </c>
      <c r="H2459" s="2">
        <f t="shared" si="114"/>
        <v>33.849999999999909</v>
      </c>
      <c r="I2459" s="3">
        <f t="shared" si="115"/>
        <v>1.1279009712943341E-2</v>
      </c>
    </row>
    <row r="2460" spans="2:9" x14ac:dyDescent="0.25">
      <c r="B2460" s="1">
        <v>38756</v>
      </c>
      <c r="C2460" s="2">
        <v>3008.95</v>
      </c>
      <c r="D2460" s="2">
        <v>3018.2</v>
      </c>
      <c r="E2460" s="2">
        <v>3021.25</v>
      </c>
      <c r="F2460" s="2">
        <v>2984.9</v>
      </c>
      <c r="G2460" s="3">
        <f t="shared" si="116"/>
        <v>-3.6919307307705651E-3</v>
      </c>
      <c r="H2460" s="2">
        <f t="shared" si="114"/>
        <v>36.349999999999909</v>
      </c>
      <c r="I2460" s="3">
        <f t="shared" si="115"/>
        <v>1.2043602146974988E-2</v>
      </c>
    </row>
    <row r="2461" spans="2:9" x14ac:dyDescent="0.25">
      <c r="B2461" s="1">
        <v>38758</v>
      </c>
      <c r="C2461" s="2">
        <v>3027.55</v>
      </c>
      <c r="D2461" s="2">
        <v>3009.15</v>
      </c>
      <c r="E2461" s="2">
        <v>3031.75</v>
      </c>
      <c r="F2461" s="2">
        <v>3009.1</v>
      </c>
      <c r="G2461" s="3">
        <f t="shared" si="116"/>
        <v>6.1815583509199357E-3</v>
      </c>
      <c r="H2461" s="2">
        <f t="shared" si="114"/>
        <v>22.650000000000091</v>
      </c>
      <c r="I2461" s="3">
        <f t="shared" si="115"/>
        <v>7.527042520313075E-3</v>
      </c>
    </row>
    <row r="2462" spans="2:9" x14ac:dyDescent="0.25">
      <c r="B2462" s="1">
        <v>38761</v>
      </c>
      <c r="C2462" s="2">
        <v>3041.15</v>
      </c>
      <c r="D2462" s="2">
        <v>3026.15</v>
      </c>
      <c r="E2462" s="2">
        <v>3042.75</v>
      </c>
      <c r="F2462" s="2">
        <v>3018.5</v>
      </c>
      <c r="G2462" s="3">
        <f t="shared" si="116"/>
        <v>4.49208105563903E-3</v>
      </c>
      <c r="H2462" s="2">
        <f t="shared" si="114"/>
        <v>24.25</v>
      </c>
      <c r="I2462" s="3">
        <f t="shared" si="115"/>
        <v>8.013482477735737E-3</v>
      </c>
    </row>
    <row r="2463" spans="2:9" x14ac:dyDescent="0.25">
      <c r="B2463" s="1">
        <v>38762</v>
      </c>
      <c r="C2463" s="2">
        <v>3017.55</v>
      </c>
      <c r="D2463" s="2">
        <v>3040.25</v>
      </c>
      <c r="E2463" s="2">
        <v>3051.7</v>
      </c>
      <c r="F2463" s="2">
        <v>3009.9</v>
      </c>
      <c r="G2463" s="3">
        <f t="shared" si="116"/>
        <v>-7.7602222843331514E-3</v>
      </c>
      <c r="H2463" s="2">
        <f t="shared" si="114"/>
        <v>41.799999999999727</v>
      </c>
      <c r="I2463" s="3">
        <f t="shared" si="115"/>
        <v>1.3748869336403166E-2</v>
      </c>
    </row>
    <row r="2464" spans="2:9" x14ac:dyDescent="0.25">
      <c r="B2464" s="1">
        <v>38763</v>
      </c>
      <c r="C2464" s="2">
        <v>3022.2</v>
      </c>
      <c r="D2464" s="2">
        <v>3001.4</v>
      </c>
      <c r="E2464" s="2">
        <v>3048.8</v>
      </c>
      <c r="F2464" s="2">
        <v>2995.3</v>
      </c>
      <c r="G2464" s="3">
        <f t="shared" si="116"/>
        <v>1.5409852363670318E-3</v>
      </c>
      <c r="H2464" s="2">
        <f t="shared" si="114"/>
        <v>53.5</v>
      </c>
      <c r="I2464" s="3">
        <f t="shared" si="115"/>
        <v>1.7825014993003263E-2</v>
      </c>
    </row>
    <row r="2465" spans="2:9" x14ac:dyDescent="0.25">
      <c r="B2465" s="1">
        <v>38764</v>
      </c>
      <c r="C2465" s="2">
        <v>3021.6</v>
      </c>
      <c r="D2465" s="2">
        <v>3023.1</v>
      </c>
      <c r="E2465" s="2">
        <v>3036.65</v>
      </c>
      <c r="F2465" s="2">
        <v>3013.7</v>
      </c>
      <c r="G2465" s="3">
        <f t="shared" si="116"/>
        <v>-1.9853087155052851E-4</v>
      </c>
      <c r="H2465" s="2">
        <f t="shared" si="114"/>
        <v>22.950000000000273</v>
      </c>
      <c r="I2465" s="3">
        <f t="shared" si="115"/>
        <v>7.5915451027092299E-3</v>
      </c>
    </row>
    <row r="2466" spans="2:9" x14ac:dyDescent="0.25">
      <c r="B2466" s="1">
        <v>38765</v>
      </c>
      <c r="C2466" s="2">
        <v>2981.5</v>
      </c>
      <c r="D2466" s="2">
        <v>3021.65</v>
      </c>
      <c r="E2466" s="2">
        <v>3038.8</v>
      </c>
      <c r="F2466" s="2">
        <v>2976.7</v>
      </c>
      <c r="G2466" s="3">
        <f t="shared" si="116"/>
        <v>-1.3271114641249637E-2</v>
      </c>
      <c r="H2466" s="2">
        <f t="shared" si="114"/>
        <v>62.100000000000364</v>
      </c>
      <c r="I2466" s="3">
        <f t="shared" si="115"/>
        <v>2.0551685337481296E-2</v>
      </c>
    </row>
    <row r="2467" spans="2:9" x14ac:dyDescent="0.25">
      <c r="B2467" s="1">
        <v>38768</v>
      </c>
      <c r="C2467" s="2">
        <v>3005.85</v>
      </c>
      <c r="D2467" s="2">
        <v>2982.35</v>
      </c>
      <c r="E2467" s="2">
        <v>3010.65</v>
      </c>
      <c r="F2467" s="2">
        <v>2955.85</v>
      </c>
      <c r="G2467" s="3">
        <f t="shared" si="116"/>
        <v>8.1670300184470968E-3</v>
      </c>
      <c r="H2467" s="2">
        <f t="shared" si="114"/>
        <v>54.800000000000182</v>
      </c>
      <c r="I2467" s="3">
        <f t="shared" si="115"/>
        <v>1.8374771572753093E-2</v>
      </c>
    </row>
    <row r="2468" spans="2:9" x14ac:dyDescent="0.25">
      <c r="B2468" s="1">
        <v>38769</v>
      </c>
      <c r="C2468" s="2">
        <v>3035.5</v>
      </c>
      <c r="D2468" s="2">
        <v>3008.55</v>
      </c>
      <c r="E2468" s="2">
        <v>3042.05</v>
      </c>
      <c r="F2468" s="2">
        <v>3008.55</v>
      </c>
      <c r="G2468" s="3">
        <f t="shared" si="116"/>
        <v>9.8640983415672068E-3</v>
      </c>
      <c r="H2468" s="2">
        <f t="shared" si="114"/>
        <v>33.5</v>
      </c>
      <c r="I2468" s="3">
        <f t="shared" si="115"/>
        <v>1.1134932110152731E-2</v>
      </c>
    </row>
    <row r="2469" spans="2:9" x14ac:dyDescent="0.25">
      <c r="B2469" s="1">
        <v>38770</v>
      </c>
      <c r="C2469" s="2">
        <v>3050.8</v>
      </c>
      <c r="D2469" s="2">
        <v>3035.65</v>
      </c>
      <c r="E2469" s="2">
        <v>3055.65</v>
      </c>
      <c r="F2469" s="2">
        <v>3032.5</v>
      </c>
      <c r="G2469" s="3">
        <f t="shared" si="116"/>
        <v>5.0403557898204276E-3</v>
      </c>
      <c r="H2469" s="2">
        <f t="shared" si="114"/>
        <v>23.150000000000091</v>
      </c>
      <c r="I2469" s="3">
        <f t="shared" si="115"/>
        <v>7.6260438456344079E-3</v>
      </c>
    </row>
    <row r="2470" spans="2:9" x14ac:dyDescent="0.25">
      <c r="B2470" s="1">
        <v>38771</v>
      </c>
      <c r="C2470" s="2">
        <v>3062.1</v>
      </c>
      <c r="D2470" s="2">
        <v>3050.85</v>
      </c>
      <c r="E2470" s="2">
        <v>3078.4</v>
      </c>
      <c r="F2470" s="2">
        <v>3050.85</v>
      </c>
      <c r="G2470" s="3">
        <f t="shared" si="116"/>
        <v>3.7039465058343879E-3</v>
      </c>
      <c r="H2470" s="2">
        <f t="shared" si="114"/>
        <v>27.550000000000182</v>
      </c>
      <c r="I2470" s="3">
        <f t="shared" si="115"/>
        <v>9.0302702525526263E-3</v>
      </c>
    </row>
    <row r="2471" spans="2:9" x14ac:dyDescent="0.25">
      <c r="B2471" s="1">
        <v>38772</v>
      </c>
      <c r="C2471" s="2">
        <v>3050.05</v>
      </c>
      <c r="D2471" s="2">
        <v>3061.7</v>
      </c>
      <c r="E2471" s="2">
        <v>3072</v>
      </c>
      <c r="F2471" s="2">
        <v>3041.6</v>
      </c>
      <c r="G2471" s="3">
        <f t="shared" si="116"/>
        <v>-3.935207863884127E-3</v>
      </c>
      <c r="H2471" s="2">
        <f t="shared" si="114"/>
        <v>30.400000000000091</v>
      </c>
      <c r="I2471" s="3">
        <f t="shared" si="115"/>
        <v>9.9291243426854661E-3</v>
      </c>
    </row>
    <row r="2472" spans="2:9" x14ac:dyDescent="0.25">
      <c r="B2472" s="1">
        <v>38775</v>
      </c>
      <c r="C2472" s="2">
        <v>3067.45</v>
      </c>
      <c r="D2472" s="2">
        <v>3050.3</v>
      </c>
      <c r="E2472" s="2">
        <v>3070.35</v>
      </c>
      <c r="F2472" s="2">
        <v>3050.3</v>
      </c>
      <c r="G2472" s="3">
        <f t="shared" si="116"/>
        <v>5.7048245110735696E-3</v>
      </c>
      <c r="H2472" s="2">
        <f t="shared" si="114"/>
        <v>20.049999999999727</v>
      </c>
      <c r="I2472" s="3">
        <f t="shared" si="115"/>
        <v>6.5731239550207276E-3</v>
      </c>
    </row>
    <row r="2473" spans="2:9" x14ac:dyDescent="0.25">
      <c r="B2473" s="1">
        <v>38776</v>
      </c>
      <c r="C2473" s="2">
        <v>3074.7</v>
      </c>
      <c r="D2473" s="2">
        <v>3067.9</v>
      </c>
      <c r="E2473" s="2">
        <v>3090.3</v>
      </c>
      <c r="F2473" s="2">
        <v>3031.8</v>
      </c>
      <c r="G2473" s="3">
        <f t="shared" si="116"/>
        <v>2.3635267078518929E-3</v>
      </c>
      <c r="H2473" s="2">
        <f t="shared" si="114"/>
        <v>58.5</v>
      </c>
      <c r="I2473" s="3">
        <f t="shared" si="115"/>
        <v>1.9068418136184359E-2</v>
      </c>
    </row>
    <row r="2474" spans="2:9" x14ac:dyDescent="0.25">
      <c r="B2474" s="1">
        <v>38777</v>
      </c>
      <c r="C2474" s="2">
        <v>3123.1</v>
      </c>
      <c r="D2474" s="2">
        <v>3074.6</v>
      </c>
      <c r="E2474" s="2">
        <v>3127.25</v>
      </c>
      <c r="F2474" s="2">
        <v>3064</v>
      </c>
      <c r="G2474" s="3">
        <f t="shared" si="116"/>
        <v>1.5741373142095227E-2</v>
      </c>
      <c r="H2474" s="2">
        <f t="shared" si="114"/>
        <v>63.25</v>
      </c>
      <c r="I2474" s="3">
        <f t="shared" si="115"/>
        <v>2.0571781695179862E-2</v>
      </c>
    </row>
    <row r="2475" spans="2:9" x14ac:dyDescent="0.25">
      <c r="B2475" s="1">
        <v>38778</v>
      </c>
      <c r="C2475" s="2">
        <v>3150.7</v>
      </c>
      <c r="D2475" s="2">
        <v>3124.25</v>
      </c>
      <c r="E2475" s="2">
        <v>3170.35</v>
      </c>
      <c r="F2475" s="2">
        <v>3124.25</v>
      </c>
      <c r="G2475" s="3">
        <f t="shared" si="116"/>
        <v>8.8373731228585939E-3</v>
      </c>
      <c r="H2475" s="2">
        <f t="shared" si="114"/>
        <v>46.099999999999909</v>
      </c>
      <c r="I2475" s="3">
        <f t="shared" si="115"/>
        <v>1.4755541329919152E-2</v>
      </c>
    </row>
    <row r="2476" spans="2:9" x14ac:dyDescent="0.25">
      <c r="B2476" s="1">
        <v>38779</v>
      </c>
      <c r="C2476" s="2">
        <v>3147.35</v>
      </c>
      <c r="D2476" s="2">
        <v>3151.3</v>
      </c>
      <c r="E2476" s="2">
        <v>3167.2</v>
      </c>
      <c r="F2476" s="2">
        <v>3132.6</v>
      </c>
      <c r="G2476" s="3">
        <f t="shared" si="116"/>
        <v>-1.0632557844287849E-3</v>
      </c>
      <c r="H2476" s="2">
        <f t="shared" si="114"/>
        <v>34.599999999999909</v>
      </c>
      <c r="I2476" s="3">
        <f t="shared" si="115"/>
        <v>1.0979595722400249E-2</v>
      </c>
    </row>
    <row r="2477" spans="2:9" x14ac:dyDescent="0.25">
      <c r="B2477" s="1">
        <v>38782</v>
      </c>
      <c r="C2477" s="2">
        <v>3190.4</v>
      </c>
      <c r="D2477" s="2">
        <v>3147.25</v>
      </c>
      <c r="E2477" s="2">
        <v>3194</v>
      </c>
      <c r="F2477" s="2">
        <v>3147.2</v>
      </c>
      <c r="G2477" s="3">
        <f t="shared" si="116"/>
        <v>1.3678173701685559E-2</v>
      </c>
      <c r="H2477" s="2">
        <f t="shared" si="114"/>
        <v>46.800000000000182</v>
      </c>
      <c r="I2477" s="3">
        <f t="shared" si="115"/>
        <v>1.4870124712050261E-2</v>
      </c>
    </row>
    <row r="2478" spans="2:9" x14ac:dyDescent="0.25">
      <c r="B2478" s="1">
        <v>38783</v>
      </c>
      <c r="C2478" s="2">
        <v>3182.8</v>
      </c>
      <c r="D2478" s="2">
        <v>3190.45</v>
      </c>
      <c r="E2478" s="2">
        <v>3192.95</v>
      </c>
      <c r="F2478" s="2">
        <v>3166.75</v>
      </c>
      <c r="G2478" s="3">
        <f t="shared" si="116"/>
        <v>-2.3821464393178893E-3</v>
      </c>
      <c r="H2478" s="2">
        <f t="shared" si="114"/>
        <v>26.199999999999818</v>
      </c>
      <c r="I2478" s="3">
        <f t="shared" si="115"/>
        <v>8.2120077105109993E-3</v>
      </c>
    </row>
    <row r="2479" spans="2:9" x14ac:dyDescent="0.25">
      <c r="B2479" s="1">
        <v>38784</v>
      </c>
      <c r="C2479" s="2">
        <v>3116.7</v>
      </c>
      <c r="D2479" s="2">
        <v>3183.45</v>
      </c>
      <c r="E2479" s="2">
        <v>3187.5</v>
      </c>
      <c r="F2479" s="2">
        <v>3107.9</v>
      </c>
      <c r="G2479" s="3">
        <f t="shared" si="116"/>
        <v>-2.0767877340706398E-2</v>
      </c>
      <c r="H2479" s="2">
        <f t="shared" si="114"/>
        <v>79.599999999999909</v>
      </c>
      <c r="I2479" s="3">
        <f t="shared" si="115"/>
        <v>2.5004319213431943E-2</v>
      </c>
    </row>
    <row r="2480" spans="2:9" x14ac:dyDescent="0.25">
      <c r="B2480" s="1">
        <v>38785</v>
      </c>
      <c r="C2480" s="2">
        <v>3129.1</v>
      </c>
      <c r="D2480" s="2">
        <v>3116.75</v>
      </c>
      <c r="E2480" s="2">
        <v>3132.65</v>
      </c>
      <c r="F2480" s="2">
        <v>3069.85</v>
      </c>
      <c r="G2480" s="3">
        <f t="shared" si="116"/>
        <v>3.9785670741490087E-3</v>
      </c>
      <c r="H2480" s="2">
        <f t="shared" si="114"/>
        <v>62.800000000000182</v>
      </c>
      <c r="I2480" s="3">
        <f t="shared" si="115"/>
        <v>2.0149193871821666E-2</v>
      </c>
    </row>
    <row r="2481" spans="2:9" x14ac:dyDescent="0.25">
      <c r="B2481" s="1">
        <v>38786</v>
      </c>
      <c r="C2481" s="2">
        <v>3183.9</v>
      </c>
      <c r="D2481" s="2">
        <v>3129.05</v>
      </c>
      <c r="E2481" s="2">
        <v>3189.35</v>
      </c>
      <c r="F2481" s="2">
        <v>3128.6</v>
      </c>
      <c r="G2481" s="3">
        <f t="shared" si="116"/>
        <v>1.7513022913937082E-2</v>
      </c>
      <c r="H2481" s="2">
        <f t="shared" si="114"/>
        <v>60.75</v>
      </c>
      <c r="I2481" s="3">
        <f t="shared" si="115"/>
        <v>1.9414838369473161E-2</v>
      </c>
    </row>
    <row r="2482" spans="2:9" x14ac:dyDescent="0.25">
      <c r="B2482" s="1">
        <v>38789</v>
      </c>
      <c r="C2482" s="2">
        <v>3202.65</v>
      </c>
      <c r="D2482" s="2">
        <v>3184.1</v>
      </c>
      <c r="E2482" s="2">
        <v>3221.3</v>
      </c>
      <c r="F2482" s="2">
        <v>3174.05</v>
      </c>
      <c r="G2482" s="3">
        <f t="shared" si="116"/>
        <v>5.8890040516348385E-3</v>
      </c>
      <c r="H2482" s="2">
        <f t="shared" si="114"/>
        <v>47.25</v>
      </c>
      <c r="I2482" s="3">
        <f t="shared" si="115"/>
        <v>1.4839358060362426E-2</v>
      </c>
    </row>
    <row r="2483" spans="2:9" x14ac:dyDescent="0.25">
      <c r="B2483" s="1">
        <v>38790</v>
      </c>
      <c r="C2483" s="2">
        <v>3195.35</v>
      </c>
      <c r="D2483" s="2">
        <v>3197.2</v>
      </c>
      <c r="E2483" s="2">
        <v>3223.45</v>
      </c>
      <c r="F2483" s="2">
        <v>3184.05</v>
      </c>
      <c r="G2483" s="3">
        <f t="shared" si="116"/>
        <v>-2.2793624030100768E-3</v>
      </c>
      <c r="H2483" s="2">
        <f t="shared" si="114"/>
        <v>39.399999999999636</v>
      </c>
      <c r="I2483" s="3">
        <f t="shared" si="115"/>
        <v>1.2323282872513336E-2</v>
      </c>
    </row>
    <row r="2484" spans="2:9" x14ac:dyDescent="0.25">
      <c r="B2484" s="1">
        <v>38792</v>
      </c>
      <c r="C2484" s="2">
        <v>3226.6</v>
      </c>
      <c r="D2484" s="2">
        <v>3197.3</v>
      </c>
      <c r="E2484" s="2">
        <v>3230.4</v>
      </c>
      <c r="F2484" s="2">
        <v>3196.95</v>
      </c>
      <c r="G2484" s="3">
        <f t="shared" si="116"/>
        <v>9.7798363246592857E-3</v>
      </c>
      <c r="H2484" s="2">
        <f t="shared" si="114"/>
        <v>33.450000000000273</v>
      </c>
      <c r="I2484" s="3">
        <f t="shared" si="115"/>
        <v>1.0461952272229779E-2</v>
      </c>
    </row>
    <row r="2485" spans="2:9" x14ac:dyDescent="0.25">
      <c r="B2485" s="1">
        <v>38793</v>
      </c>
      <c r="C2485" s="2">
        <v>3234.05</v>
      </c>
      <c r="D2485" s="2">
        <v>3226.9</v>
      </c>
      <c r="E2485" s="2">
        <v>3258.3</v>
      </c>
      <c r="F2485" s="2">
        <v>3226.9</v>
      </c>
      <c r="G2485" s="3">
        <f t="shared" si="116"/>
        <v>2.3089320027274152E-3</v>
      </c>
      <c r="H2485" s="2">
        <f t="shared" si="114"/>
        <v>31.400000000000091</v>
      </c>
      <c r="I2485" s="3">
        <f t="shared" si="115"/>
        <v>9.7307012922619503E-3</v>
      </c>
    </row>
    <row r="2486" spans="2:9" x14ac:dyDescent="0.25">
      <c r="B2486" s="1">
        <v>38796</v>
      </c>
      <c r="C2486" s="2">
        <v>3265.65</v>
      </c>
      <c r="D2486" s="2">
        <v>3234.2</v>
      </c>
      <c r="E2486" s="2">
        <v>3268.25</v>
      </c>
      <c r="F2486" s="2">
        <v>3234.2</v>
      </c>
      <c r="G2486" s="3">
        <f t="shared" si="116"/>
        <v>9.7710301324964721E-3</v>
      </c>
      <c r="H2486" s="2">
        <f t="shared" si="114"/>
        <v>34.050000000000182</v>
      </c>
      <c r="I2486" s="3">
        <f t="shared" si="115"/>
        <v>1.0528105868530141E-2</v>
      </c>
    </row>
    <row r="2487" spans="2:9" x14ac:dyDescent="0.25">
      <c r="B2487" s="1">
        <v>38797</v>
      </c>
      <c r="C2487" s="2">
        <v>3262.3</v>
      </c>
      <c r="D2487" s="2">
        <v>3264.65</v>
      </c>
      <c r="E2487" s="2">
        <v>3292.15</v>
      </c>
      <c r="F2487" s="2">
        <v>3247.25</v>
      </c>
      <c r="G2487" s="3">
        <f t="shared" si="116"/>
        <v>-1.025829467334205E-3</v>
      </c>
      <c r="H2487" s="2">
        <f t="shared" si="114"/>
        <v>44.900000000000091</v>
      </c>
      <c r="I2487" s="3">
        <f t="shared" si="115"/>
        <v>1.3753388571516116E-2</v>
      </c>
    </row>
    <row r="2488" spans="2:9" x14ac:dyDescent="0.25">
      <c r="B2488" s="1">
        <v>38798</v>
      </c>
      <c r="C2488" s="2">
        <v>3240.15</v>
      </c>
      <c r="D2488" s="2">
        <v>3263.35</v>
      </c>
      <c r="E2488" s="2">
        <v>3267.95</v>
      </c>
      <c r="F2488" s="2">
        <v>3221.95</v>
      </c>
      <c r="G2488" s="3">
        <f t="shared" si="116"/>
        <v>-6.7896882567514139E-3</v>
      </c>
      <c r="H2488" s="2">
        <f t="shared" si="114"/>
        <v>46</v>
      </c>
      <c r="I2488" s="3">
        <f t="shared" si="115"/>
        <v>1.4095944351663168E-2</v>
      </c>
    </row>
    <row r="2489" spans="2:9" x14ac:dyDescent="0.25">
      <c r="B2489" s="1">
        <v>38799</v>
      </c>
      <c r="C2489" s="2">
        <v>3247.15</v>
      </c>
      <c r="D2489" s="2">
        <v>3240.85</v>
      </c>
      <c r="E2489" s="2">
        <v>3265.6</v>
      </c>
      <c r="F2489" s="2">
        <v>3225.2</v>
      </c>
      <c r="G2489" s="3">
        <f t="shared" si="116"/>
        <v>2.160393808928518E-3</v>
      </c>
      <c r="H2489" s="2">
        <f t="shared" si="114"/>
        <v>40.400000000000091</v>
      </c>
      <c r="I2489" s="3">
        <f t="shared" si="115"/>
        <v>1.2465865436536739E-2</v>
      </c>
    </row>
    <row r="2490" spans="2:9" x14ac:dyDescent="0.25">
      <c r="B2490" s="1">
        <v>38800</v>
      </c>
      <c r="C2490" s="2">
        <v>3279.8</v>
      </c>
      <c r="D2490" s="2">
        <v>3247.15</v>
      </c>
      <c r="E2490" s="2">
        <v>3286.2</v>
      </c>
      <c r="F2490" s="2">
        <v>3242.6</v>
      </c>
      <c r="G2490" s="3">
        <f t="shared" si="116"/>
        <v>1.0054971282509317E-2</v>
      </c>
      <c r="H2490" s="2">
        <f t="shared" si="114"/>
        <v>43.599999999999909</v>
      </c>
      <c r="I2490" s="3">
        <f t="shared" si="115"/>
        <v>1.3427159201145591E-2</v>
      </c>
    </row>
    <row r="2491" spans="2:9" x14ac:dyDescent="0.25">
      <c r="B2491" s="1">
        <v>38803</v>
      </c>
      <c r="C2491" s="2">
        <v>3321.65</v>
      </c>
      <c r="D2491" s="2">
        <v>3283.4</v>
      </c>
      <c r="E2491" s="2">
        <v>3327.05</v>
      </c>
      <c r="F2491" s="2">
        <v>3280.8</v>
      </c>
      <c r="G2491" s="3">
        <f t="shared" si="116"/>
        <v>1.2759924385633337E-2</v>
      </c>
      <c r="H2491" s="2">
        <f t="shared" si="114"/>
        <v>46.25</v>
      </c>
      <c r="I2491" s="3">
        <f t="shared" si="115"/>
        <v>1.4086008405920692E-2</v>
      </c>
    </row>
    <row r="2492" spans="2:9" x14ac:dyDescent="0.25">
      <c r="B2492" s="1">
        <v>38804</v>
      </c>
      <c r="C2492" s="2">
        <v>3325</v>
      </c>
      <c r="D2492" s="2">
        <v>3321.45</v>
      </c>
      <c r="E2492" s="2">
        <v>3344.5</v>
      </c>
      <c r="F2492" s="2">
        <v>3311.85</v>
      </c>
      <c r="G2492" s="3">
        <f t="shared" si="116"/>
        <v>1.0085349148765133E-3</v>
      </c>
      <c r="H2492" s="2">
        <f t="shared" si="114"/>
        <v>32.650000000000091</v>
      </c>
      <c r="I2492" s="3">
        <f t="shared" si="115"/>
        <v>9.8300441072423465E-3</v>
      </c>
    </row>
    <row r="2493" spans="2:9" x14ac:dyDescent="0.25">
      <c r="B2493" s="1">
        <v>38805</v>
      </c>
      <c r="C2493" s="2">
        <v>3354.2</v>
      </c>
      <c r="D2493" s="2">
        <v>3324.85</v>
      </c>
      <c r="E2493" s="2">
        <v>3359.8</v>
      </c>
      <c r="F2493" s="2">
        <v>3324.8</v>
      </c>
      <c r="G2493" s="3">
        <f t="shared" si="116"/>
        <v>8.781954887217891E-3</v>
      </c>
      <c r="H2493" s="2">
        <f t="shared" si="114"/>
        <v>35</v>
      </c>
      <c r="I2493" s="3">
        <f t="shared" si="115"/>
        <v>1.0526790682286419E-2</v>
      </c>
    </row>
    <row r="2494" spans="2:9" x14ac:dyDescent="0.25">
      <c r="B2494" s="1">
        <v>38806</v>
      </c>
      <c r="C2494" s="2">
        <v>3418.95</v>
      </c>
      <c r="D2494" s="2">
        <v>3354.25</v>
      </c>
      <c r="E2494" s="2">
        <v>3433.85</v>
      </c>
      <c r="F2494" s="2">
        <v>3354.25</v>
      </c>
      <c r="G2494" s="3">
        <f t="shared" si="116"/>
        <v>1.9304155983542959E-2</v>
      </c>
      <c r="H2494" s="2">
        <f t="shared" si="114"/>
        <v>79.599999999999909</v>
      </c>
      <c r="I2494" s="3">
        <f t="shared" si="115"/>
        <v>2.3731087426399317E-2</v>
      </c>
    </row>
    <row r="2495" spans="2:9" x14ac:dyDescent="0.25">
      <c r="B2495" s="1">
        <v>38807</v>
      </c>
      <c r="C2495" s="2">
        <v>3402.55</v>
      </c>
      <c r="D2495" s="2">
        <v>3420.55</v>
      </c>
      <c r="E2495" s="2">
        <v>3425.45</v>
      </c>
      <c r="F2495" s="2">
        <v>3381.9</v>
      </c>
      <c r="G2495" s="3">
        <f t="shared" si="116"/>
        <v>-4.7967943374426225E-3</v>
      </c>
      <c r="H2495" s="2">
        <f t="shared" si="114"/>
        <v>43.549999999999727</v>
      </c>
      <c r="I2495" s="3">
        <f t="shared" si="115"/>
        <v>1.2731870605604281E-2</v>
      </c>
    </row>
    <row r="2496" spans="2:9" x14ac:dyDescent="0.25">
      <c r="B2496" s="1">
        <v>38810</v>
      </c>
      <c r="C2496" s="2">
        <v>3473.3</v>
      </c>
      <c r="D2496" s="2">
        <v>3403.15</v>
      </c>
      <c r="E2496" s="2">
        <v>3478.25</v>
      </c>
      <c r="F2496" s="2">
        <v>3402.45</v>
      </c>
      <c r="G2496" s="3">
        <f t="shared" si="116"/>
        <v>2.0793228607955738E-2</v>
      </c>
      <c r="H2496" s="2">
        <f t="shared" si="114"/>
        <v>75.800000000000182</v>
      </c>
      <c r="I2496" s="3">
        <f t="shared" si="115"/>
        <v>2.2273481921161329E-2</v>
      </c>
    </row>
    <row r="2497" spans="2:9" x14ac:dyDescent="0.25">
      <c r="B2497" s="1">
        <v>38811</v>
      </c>
      <c r="C2497" s="2">
        <v>3483.15</v>
      </c>
      <c r="D2497" s="2">
        <v>3473.1</v>
      </c>
      <c r="E2497" s="2">
        <v>3508.25</v>
      </c>
      <c r="F2497" s="2">
        <v>3463.85</v>
      </c>
      <c r="G2497" s="3">
        <f t="shared" si="116"/>
        <v>2.835919730515668E-3</v>
      </c>
      <c r="H2497" s="2">
        <f t="shared" si="114"/>
        <v>44.400000000000091</v>
      </c>
      <c r="I2497" s="3">
        <f t="shared" si="115"/>
        <v>1.2783968212835822E-2</v>
      </c>
    </row>
    <row r="2498" spans="2:9" x14ac:dyDescent="0.25">
      <c r="B2498" s="1">
        <v>38812</v>
      </c>
      <c r="C2498" s="2">
        <v>3510.9</v>
      </c>
      <c r="D2498" s="2">
        <v>3483.15</v>
      </c>
      <c r="E2498" s="2">
        <v>3513.95</v>
      </c>
      <c r="F2498" s="2">
        <v>3483.15</v>
      </c>
      <c r="G2498" s="3">
        <f t="shared" si="116"/>
        <v>7.9669264889539182E-3</v>
      </c>
      <c r="H2498" s="2">
        <f t="shared" si="114"/>
        <v>30.799999999999727</v>
      </c>
      <c r="I2498" s="3">
        <f t="shared" si="115"/>
        <v>8.8425706616136902E-3</v>
      </c>
    </row>
    <row r="2499" spans="2:9" x14ac:dyDescent="0.25">
      <c r="B2499" s="1">
        <v>38814</v>
      </c>
      <c r="C2499" s="2">
        <v>3454.8</v>
      </c>
      <c r="D2499" s="2">
        <v>3525.6</v>
      </c>
      <c r="E2499" s="2">
        <v>3555.5</v>
      </c>
      <c r="F2499" s="2">
        <v>3445.9</v>
      </c>
      <c r="G2499" s="3">
        <f t="shared" si="116"/>
        <v>-1.597880885243097E-2</v>
      </c>
      <c r="H2499" s="2">
        <f t="shared" si="114"/>
        <v>109.59999999999991</v>
      </c>
      <c r="I2499" s="3">
        <f t="shared" si="115"/>
        <v>3.1086907193101858E-2</v>
      </c>
    </row>
    <row r="2500" spans="2:9" x14ac:dyDescent="0.25">
      <c r="B2500" s="1">
        <v>38817</v>
      </c>
      <c r="C2500" s="2">
        <v>3478.45</v>
      </c>
      <c r="D2500" s="2">
        <v>3455</v>
      </c>
      <c r="E2500" s="2">
        <v>3489.05</v>
      </c>
      <c r="F2500" s="2">
        <v>3430.4</v>
      </c>
      <c r="G2500" s="3">
        <f t="shared" si="116"/>
        <v>6.8455482227625097E-3</v>
      </c>
      <c r="H2500" s="2">
        <f t="shared" si="114"/>
        <v>58.650000000000091</v>
      </c>
      <c r="I2500" s="3">
        <f t="shared" si="115"/>
        <v>1.6975397973950822E-2</v>
      </c>
    </row>
    <row r="2501" spans="2:9" x14ac:dyDescent="0.25">
      <c r="B2501" s="1">
        <v>38819</v>
      </c>
      <c r="C2501" s="2">
        <v>3380</v>
      </c>
      <c r="D2501" s="2">
        <v>3479.1</v>
      </c>
      <c r="E2501" s="2">
        <v>3484.65</v>
      </c>
      <c r="F2501" s="2">
        <v>3366.75</v>
      </c>
      <c r="G2501" s="3">
        <f t="shared" si="116"/>
        <v>-2.8302836033290646E-2</v>
      </c>
      <c r="H2501" s="2">
        <f t="shared" ref="H2501:H2564" si="117">E2501-F2501</f>
        <v>117.90000000000009</v>
      </c>
      <c r="I2501" s="3">
        <f t="shared" si="115"/>
        <v>3.3888074502026411E-2</v>
      </c>
    </row>
    <row r="2502" spans="2:9" x14ac:dyDescent="0.25">
      <c r="B2502" s="1">
        <v>38820</v>
      </c>
      <c r="C2502" s="2">
        <v>3345.5</v>
      </c>
      <c r="D2502" s="2">
        <v>3380.4</v>
      </c>
      <c r="E2502" s="2">
        <v>3391.05</v>
      </c>
      <c r="F2502" s="2">
        <v>3290.35</v>
      </c>
      <c r="G2502" s="3">
        <f t="shared" si="116"/>
        <v>-1.0207100591715923E-2</v>
      </c>
      <c r="H2502" s="2">
        <f t="shared" si="117"/>
        <v>100.70000000000027</v>
      </c>
      <c r="I2502" s="3">
        <f t="shared" ref="I2502:I2565" si="118">H2502/D2502</f>
        <v>2.9789374038575397E-2</v>
      </c>
    </row>
    <row r="2503" spans="2:9" x14ac:dyDescent="0.25">
      <c r="B2503" s="1">
        <v>38824</v>
      </c>
      <c r="C2503" s="2">
        <v>3425.15</v>
      </c>
      <c r="D2503" s="2">
        <v>3342.15</v>
      </c>
      <c r="E2503" s="2">
        <v>3433.65</v>
      </c>
      <c r="F2503" s="2">
        <v>3342.15</v>
      </c>
      <c r="G2503" s="3">
        <f t="shared" ref="G2503:G2566" si="119">C2503/C2502-1</f>
        <v>2.3808100433418078E-2</v>
      </c>
      <c r="H2503" s="2">
        <f t="shared" si="117"/>
        <v>91.5</v>
      </c>
      <c r="I2503" s="3">
        <f t="shared" si="118"/>
        <v>2.7377586284278083E-2</v>
      </c>
    </row>
    <row r="2504" spans="2:9" x14ac:dyDescent="0.25">
      <c r="B2504" s="1">
        <v>38825</v>
      </c>
      <c r="C2504" s="2">
        <v>3518.1</v>
      </c>
      <c r="D2504" s="2">
        <v>3429</v>
      </c>
      <c r="E2504" s="2">
        <v>3521.95</v>
      </c>
      <c r="F2504" s="2">
        <v>3429</v>
      </c>
      <c r="G2504" s="3">
        <f t="shared" si="119"/>
        <v>2.7137497627841123E-2</v>
      </c>
      <c r="H2504" s="2">
        <f t="shared" si="117"/>
        <v>92.949999999999818</v>
      </c>
      <c r="I2504" s="3">
        <f t="shared" si="118"/>
        <v>2.7107028288130598E-2</v>
      </c>
    </row>
    <row r="2505" spans="2:9" x14ac:dyDescent="0.25">
      <c r="B2505" s="1">
        <v>38826</v>
      </c>
      <c r="C2505" s="2">
        <v>3535.85</v>
      </c>
      <c r="D2505" s="2">
        <v>3523.65</v>
      </c>
      <c r="E2505" s="2">
        <v>3570.5</v>
      </c>
      <c r="F2505" s="2">
        <v>3502.75</v>
      </c>
      <c r="G2505" s="3">
        <f t="shared" si="119"/>
        <v>5.0453369716607632E-3</v>
      </c>
      <c r="H2505" s="2">
        <f t="shared" si="117"/>
        <v>67.75</v>
      </c>
      <c r="I2505" s="3">
        <f t="shared" si="118"/>
        <v>1.9227221772877556E-2</v>
      </c>
    </row>
    <row r="2506" spans="2:9" x14ac:dyDescent="0.25">
      <c r="B2506" s="1">
        <v>38827</v>
      </c>
      <c r="C2506" s="2">
        <v>3573.5</v>
      </c>
      <c r="D2506" s="2">
        <v>3539.8</v>
      </c>
      <c r="E2506" s="2">
        <v>3578.35</v>
      </c>
      <c r="F2506" s="2">
        <v>3527.25</v>
      </c>
      <c r="G2506" s="3">
        <f t="shared" si="119"/>
        <v>1.0648076134451401E-2</v>
      </c>
      <c r="H2506" s="2">
        <f t="shared" si="117"/>
        <v>51.099999999999909</v>
      </c>
      <c r="I2506" s="3">
        <f t="shared" si="118"/>
        <v>1.4435843832984888E-2</v>
      </c>
    </row>
    <row r="2507" spans="2:9" x14ac:dyDescent="0.25">
      <c r="B2507" s="1">
        <v>38828</v>
      </c>
      <c r="C2507" s="2">
        <v>3573.05</v>
      </c>
      <c r="D2507" s="2">
        <v>3576.75</v>
      </c>
      <c r="E2507" s="2">
        <v>3592.75</v>
      </c>
      <c r="F2507" s="2">
        <v>3517.1</v>
      </c>
      <c r="G2507" s="3">
        <f t="shared" si="119"/>
        <v>-1.2592696236179979E-4</v>
      </c>
      <c r="H2507" s="2">
        <f t="shared" si="117"/>
        <v>75.650000000000091</v>
      </c>
      <c r="I2507" s="3">
        <f t="shared" si="118"/>
        <v>2.1150485776193498E-2</v>
      </c>
    </row>
    <row r="2508" spans="2:9" x14ac:dyDescent="0.25">
      <c r="B2508" s="1">
        <v>38831</v>
      </c>
      <c r="C2508" s="2">
        <v>3548.9</v>
      </c>
      <c r="D2508" s="2">
        <v>3572.8</v>
      </c>
      <c r="E2508" s="2">
        <v>3585.35</v>
      </c>
      <c r="F2508" s="2">
        <v>3536.3</v>
      </c>
      <c r="G2508" s="3">
        <f t="shared" si="119"/>
        <v>-6.7589314451239613E-3</v>
      </c>
      <c r="H2508" s="2">
        <f t="shared" si="117"/>
        <v>49.049999999999727</v>
      </c>
      <c r="I2508" s="3">
        <f t="shared" si="118"/>
        <v>1.3728728168383263E-2</v>
      </c>
    </row>
    <row r="2509" spans="2:9" x14ac:dyDescent="0.25">
      <c r="B2509" s="1">
        <v>38832</v>
      </c>
      <c r="C2509" s="2">
        <v>3462.65</v>
      </c>
      <c r="D2509" s="2">
        <v>3548.8</v>
      </c>
      <c r="E2509" s="2">
        <v>3552.65</v>
      </c>
      <c r="F2509" s="2">
        <v>3433.55</v>
      </c>
      <c r="G2509" s="3">
        <f t="shared" si="119"/>
        <v>-2.4303305249513962E-2</v>
      </c>
      <c r="H2509" s="2">
        <f t="shared" si="117"/>
        <v>119.09999999999991</v>
      </c>
      <c r="I2509" s="3">
        <f t="shared" si="118"/>
        <v>3.3560640216411156E-2</v>
      </c>
    </row>
    <row r="2510" spans="2:9" x14ac:dyDescent="0.25">
      <c r="B2510" s="1">
        <v>38833</v>
      </c>
      <c r="C2510" s="2">
        <v>3555.75</v>
      </c>
      <c r="D2510" s="2">
        <v>3462.65</v>
      </c>
      <c r="E2510" s="2">
        <v>3562.3</v>
      </c>
      <c r="F2510" s="2">
        <v>3454.1</v>
      </c>
      <c r="G2510" s="3">
        <f t="shared" si="119"/>
        <v>2.6886921866200675E-2</v>
      </c>
      <c r="H2510" s="2">
        <f t="shared" si="117"/>
        <v>108.20000000000027</v>
      </c>
      <c r="I2510" s="3">
        <f t="shared" si="118"/>
        <v>3.1247743780052926E-2</v>
      </c>
    </row>
    <row r="2511" spans="2:9" x14ac:dyDescent="0.25">
      <c r="B2511" s="1">
        <v>38834</v>
      </c>
      <c r="C2511" s="2">
        <v>3508.1</v>
      </c>
      <c r="D2511" s="2">
        <v>3554.7</v>
      </c>
      <c r="E2511" s="2">
        <v>3598.95</v>
      </c>
      <c r="F2511" s="2">
        <v>3492.75</v>
      </c>
      <c r="G2511" s="3">
        <f t="shared" si="119"/>
        <v>-1.3400829642128964E-2</v>
      </c>
      <c r="H2511" s="2">
        <f t="shared" si="117"/>
        <v>106.19999999999982</v>
      </c>
      <c r="I2511" s="3">
        <f t="shared" si="118"/>
        <v>2.9875938897797234E-2</v>
      </c>
    </row>
    <row r="2512" spans="2:9" x14ac:dyDescent="0.25">
      <c r="B2512" s="1">
        <v>38835</v>
      </c>
      <c r="C2512" s="2">
        <v>3508.35</v>
      </c>
      <c r="D2512" s="2">
        <v>3507.45</v>
      </c>
      <c r="E2512" s="2">
        <v>3517.65</v>
      </c>
      <c r="F2512" s="2">
        <v>3342.85</v>
      </c>
      <c r="G2512" s="3">
        <f t="shared" si="119"/>
        <v>7.1263646988395379E-5</v>
      </c>
      <c r="H2512" s="2">
        <f t="shared" si="117"/>
        <v>174.80000000000018</v>
      </c>
      <c r="I2512" s="3">
        <f t="shared" si="118"/>
        <v>4.9836776005360073E-2</v>
      </c>
    </row>
    <row r="2513" spans="2:9" x14ac:dyDescent="0.25">
      <c r="B2513" s="1">
        <v>38836</v>
      </c>
      <c r="C2513" s="2">
        <v>3557.6</v>
      </c>
      <c r="D2513" s="2">
        <v>3508.35</v>
      </c>
      <c r="E2513" s="2">
        <v>3565.75</v>
      </c>
      <c r="F2513" s="2">
        <v>3508.35</v>
      </c>
      <c r="G2513" s="3">
        <f t="shared" si="119"/>
        <v>1.4037938062051891E-2</v>
      </c>
      <c r="H2513" s="2">
        <f t="shared" si="117"/>
        <v>57.400000000000091</v>
      </c>
      <c r="I2513" s="3">
        <f t="shared" si="118"/>
        <v>1.6360967406330636E-2</v>
      </c>
    </row>
    <row r="2514" spans="2:9" x14ac:dyDescent="0.25">
      <c r="B2514" s="1">
        <v>38839</v>
      </c>
      <c r="C2514" s="2">
        <v>3605.45</v>
      </c>
      <c r="D2514" s="2">
        <v>3557.55</v>
      </c>
      <c r="E2514" s="2">
        <v>3622.05</v>
      </c>
      <c r="F2514" s="2">
        <v>3556.9</v>
      </c>
      <c r="G2514" s="3">
        <f t="shared" si="119"/>
        <v>1.3450078704744683E-2</v>
      </c>
      <c r="H2514" s="2">
        <f t="shared" si="117"/>
        <v>65.150000000000091</v>
      </c>
      <c r="I2514" s="3">
        <f t="shared" si="118"/>
        <v>1.831316495903082E-2</v>
      </c>
    </row>
    <row r="2515" spans="2:9" x14ac:dyDescent="0.25">
      <c r="B2515" s="1">
        <v>38840</v>
      </c>
      <c r="C2515" s="2">
        <v>3634.25</v>
      </c>
      <c r="D2515" s="2">
        <v>3604.4</v>
      </c>
      <c r="E2515" s="2">
        <v>3640.8</v>
      </c>
      <c r="F2515" s="2">
        <v>3581.4</v>
      </c>
      <c r="G2515" s="3">
        <f t="shared" si="119"/>
        <v>7.9879071960504699E-3</v>
      </c>
      <c r="H2515" s="2">
        <f t="shared" si="117"/>
        <v>59.400000000000091</v>
      </c>
      <c r="I2515" s="3">
        <f t="shared" si="118"/>
        <v>1.6479857951392767E-2</v>
      </c>
    </row>
    <row r="2516" spans="2:9" x14ac:dyDescent="0.25">
      <c r="B2516" s="1">
        <v>38841</v>
      </c>
      <c r="C2516" s="2">
        <v>3648.4</v>
      </c>
      <c r="D2516" s="2">
        <v>3630.65</v>
      </c>
      <c r="E2516" s="2">
        <v>3674.5</v>
      </c>
      <c r="F2516" s="2">
        <v>3621.55</v>
      </c>
      <c r="G2516" s="3">
        <f t="shared" si="119"/>
        <v>3.8935131044919302E-3</v>
      </c>
      <c r="H2516" s="2">
        <f t="shared" si="117"/>
        <v>52.949999999999818</v>
      </c>
      <c r="I2516" s="3">
        <f t="shared" si="118"/>
        <v>1.4584165369837306E-2</v>
      </c>
    </row>
    <row r="2517" spans="2:9" x14ac:dyDescent="0.25">
      <c r="B2517" s="1">
        <v>38842</v>
      </c>
      <c r="C2517" s="2">
        <v>3663.95</v>
      </c>
      <c r="D2517" s="2">
        <v>3649.45</v>
      </c>
      <c r="E2517" s="2">
        <v>3676.55</v>
      </c>
      <c r="F2517" s="2">
        <v>3639.55</v>
      </c>
      <c r="G2517" s="3">
        <f t="shared" si="119"/>
        <v>4.262142308957273E-3</v>
      </c>
      <c r="H2517" s="2">
        <f t="shared" si="117"/>
        <v>37</v>
      </c>
      <c r="I2517" s="3">
        <f t="shared" si="118"/>
        <v>1.0138514022660949E-2</v>
      </c>
    </row>
    <row r="2518" spans="2:9" x14ac:dyDescent="0.25">
      <c r="B2518" s="1">
        <v>38845</v>
      </c>
      <c r="C2518" s="2">
        <v>3693.15</v>
      </c>
      <c r="D2518" s="2">
        <v>3668.65</v>
      </c>
      <c r="E2518" s="2">
        <v>3708.55</v>
      </c>
      <c r="F2518" s="2">
        <v>3668.65</v>
      </c>
      <c r="G2518" s="3">
        <f t="shared" si="119"/>
        <v>7.9695410690647783E-3</v>
      </c>
      <c r="H2518" s="2">
        <f t="shared" si="117"/>
        <v>39.900000000000091</v>
      </c>
      <c r="I2518" s="3">
        <f t="shared" si="118"/>
        <v>1.0875935289547951E-2</v>
      </c>
    </row>
    <row r="2519" spans="2:9" x14ac:dyDescent="0.25">
      <c r="B2519" s="1">
        <v>38846</v>
      </c>
      <c r="C2519" s="2">
        <v>3720.55</v>
      </c>
      <c r="D2519" s="2">
        <v>3694.65</v>
      </c>
      <c r="E2519" s="2">
        <v>3725.4</v>
      </c>
      <c r="F2519" s="2">
        <v>3655.65</v>
      </c>
      <c r="G2519" s="3">
        <f t="shared" si="119"/>
        <v>7.4191408418287086E-3</v>
      </c>
      <c r="H2519" s="2">
        <f t="shared" si="117"/>
        <v>69.75</v>
      </c>
      <c r="I2519" s="3">
        <f t="shared" si="118"/>
        <v>1.8878648857131256E-2</v>
      </c>
    </row>
    <row r="2520" spans="2:9" x14ac:dyDescent="0.25">
      <c r="B2520" s="1">
        <v>38847</v>
      </c>
      <c r="C2520" s="2">
        <v>3754.25</v>
      </c>
      <c r="D2520" s="2">
        <v>3720.75</v>
      </c>
      <c r="E2520" s="2">
        <v>3758.05</v>
      </c>
      <c r="F2520" s="2">
        <v>3717.25</v>
      </c>
      <c r="G2520" s="3">
        <f t="shared" si="119"/>
        <v>9.0578005939980777E-3</v>
      </c>
      <c r="H2520" s="2">
        <f t="shared" si="117"/>
        <v>40.800000000000182</v>
      </c>
      <c r="I2520" s="3">
        <f t="shared" si="118"/>
        <v>1.0965531142914783E-2</v>
      </c>
    </row>
    <row r="2521" spans="2:9" x14ac:dyDescent="0.25">
      <c r="B2521" s="1">
        <v>38848</v>
      </c>
      <c r="C2521" s="2">
        <v>3701.05</v>
      </c>
      <c r="D2521" s="2">
        <v>3755.8</v>
      </c>
      <c r="E2521" s="2">
        <v>3774.15</v>
      </c>
      <c r="F2521" s="2">
        <v>3687.9</v>
      </c>
      <c r="G2521" s="3">
        <f t="shared" si="119"/>
        <v>-1.4170606645801387E-2</v>
      </c>
      <c r="H2521" s="2">
        <f t="shared" si="117"/>
        <v>86.25</v>
      </c>
      <c r="I2521" s="3">
        <f t="shared" si="118"/>
        <v>2.2964481601789231E-2</v>
      </c>
    </row>
    <row r="2522" spans="2:9" x14ac:dyDescent="0.25">
      <c r="B2522" s="1">
        <v>38849</v>
      </c>
      <c r="C2522" s="2">
        <v>3650.05</v>
      </c>
      <c r="D2522" s="2">
        <v>3704.15</v>
      </c>
      <c r="E2522" s="2">
        <v>3704.15</v>
      </c>
      <c r="F2522" s="2">
        <v>3633.85</v>
      </c>
      <c r="G2522" s="3">
        <f t="shared" si="119"/>
        <v>-1.3779873279204602E-2</v>
      </c>
      <c r="H2522" s="2">
        <f t="shared" si="117"/>
        <v>70.300000000000182</v>
      </c>
      <c r="I2522" s="3">
        <f t="shared" si="118"/>
        <v>1.8978713065075706E-2</v>
      </c>
    </row>
    <row r="2523" spans="2:9" x14ac:dyDescent="0.25">
      <c r="B2523" s="1">
        <v>38852</v>
      </c>
      <c r="C2523" s="2">
        <v>3502.95</v>
      </c>
      <c r="D2523" s="2">
        <v>3651</v>
      </c>
      <c r="E2523" s="2">
        <v>3653</v>
      </c>
      <c r="F2523" s="2">
        <v>3482.85</v>
      </c>
      <c r="G2523" s="3">
        <f t="shared" si="119"/>
        <v>-4.0300817797016553E-2</v>
      </c>
      <c r="H2523" s="2">
        <f t="shared" si="117"/>
        <v>170.15000000000009</v>
      </c>
      <c r="I2523" s="3">
        <f t="shared" si="118"/>
        <v>4.6603670227335005E-2</v>
      </c>
    </row>
    <row r="2524" spans="2:9" x14ac:dyDescent="0.25">
      <c r="B2524" s="1">
        <v>38853</v>
      </c>
      <c r="C2524" s="2">
        <v>3523.3</v>
      </c>
      <c r="D2524" s="2">
        <v>3502.95</v>
      </c>
      <c r="E2524" s="2">
        <v>3543.5</v>
      </c>
      <c r="F2524" s="2">
        <v>3382.4</v>
      </c>
      <c r="G2524" s="3">
        <f t="shared" si="119"/>
        <v>5.8093892290784765E-3</v>
      </c>
      <c r="H2524" s="2">
        <f t="shared" si="117"/>
        <v>161.09999999999991</v>
      </c>
      <c r="I2524" s="3">
        <f t="shared" si="118"/>
        <v>4.5989808589902773E-2</v>
      </c>
    </row>
    <row r="2525" spans="2:9" x14ac:dyDescent="0.25">
      <c r="B2525" s="1">
        <v>38854</v>
      </c>
      <c r="C2525" s="2">
        <v>3635.1</v>
      </c>
      <c r="D2525" s="2">
        <v>3525.05</v>
      </c>
      <c r="E2525" s="2">
        <v>3641.85</v>
      </c>
      <c r="F2525" s="2">
        <v>3525.05</v>
      </c>
      <c r="G2525" s="3">
        <f t="shared" si="119"/>
        <v>3.1731615247069467E-2</v>
      </c>
      <c r="H2525" s="2">
        <f t="shared" si="117"/>
        <v>116.79999999999973</v>
      </c>
      <c r="I2525" s="3">
        <f t="shared" si="118"/>
        <v>3.3134281783237039E-2</v>
      </c>
    </row>
    <row r="2526" spans="2:9" x14ac:dyDescent="0.25">
      <c r="B2526" s="1">
        <v>38855</v>
      </c>
      <c r="C2526" s="2">
        <v>3388.9</v>
      </c>
      <c r="D2526" s="2">
        <v>3636.45</v>
      </c>
      <c r="E2526" s="2">
        <v>3636.45</v>
      </c>
      <c r="F2526" s="2">
        <v>3365.9</v>
      </c>
      <c r="G2526" s="3">
        <f t="shared" si="119"/>
        <v>-6.7728535666143896E-2</v>
      </c>
      <c r="H2526" s="2">
        <f t="shared" si="117"/>
        <v>270.54999999999973</v>
      </c>
      <c r="I2526" s="3">
        <f t="shared" si="118"/>
        <v>7.4399483012278389E-2</v>
      </c>
    </row>
    <row r="2527" spans="2:9" x14ac:dyDescent="0.25">
      <c r="B2527" s="1">
        <v>38856</v>
      </c>
      <c r="C2527" s="2">
        <v>3246.9</v>
      </c>
      <c r="D2527" s="2">
        <v>3391.85</v>
      </c>
      <c r="E2527" s="2">
        <v>3493.05</v>
      </c>
      <c r="F2527" s="2">
        <v>3205.25</v>
      </c>
      <c r="G2527" s="3">
        <f t="shared" si="119"/>
        <v>-4.1901501962288701E-2</v>
      </c>
      <c r="H2527" s="2">
        <f t="shared" si="117"/>
        <v>287.80000000000018</v>
      </c>
      <c r="I2527" s="3">
        <f t="shared" si="118"/>
        <v>8.485045034420749E-2</v>
      </c>
    </row>
    <row r="2528" spans="2:9" x14ac:dyDescent="0.25">
      <c r="B2528" s="1">
        <v>38859</v>
      </c>
      <c r="C2528" s="2">
        <v>3081.35</v>
      </c>
      <c r="D2528" s="2">
        <v>3254.3</v>
      </c>
      <c r="E2528" s="2">
        <v>3313.9</v>
      </c>
      <c r="F2528" s="2">
        <v>2896.4</v>
      </c>
      <c r="G2528" s="3">
        <f t="shared" si="119"/>
        <v>-5.0987095383288716E-2</v>
      </c>
      <c r="H2528" s="2">
        <f t="shared" si="117"/>
        <v>417.5</v>
      </c>
      <c r="I2528" s="3">
        <f t="shared" si="118"/>
        <v>0.12829179854346556</v>
      </c>
    </row>
    <row r="2529" spans="2:9" x14ac:dyDescent="0.25">
      <c r="B2529" s="1">
        <v>38860</v>
      </c>
      <c r="C2529" s="2">
        <v>3199.35</v>
      </c>
      <c r="D2529" s="2">
        <v>3068.6</v>
      </c>
      <c r="E2529" s="2">
        <v>3221.05</v>
      </c>
      <c r="F2529" s="2">
        <v>2997.35</v>
      </c>
      <c r="G2529" s="3">
        <f t="shared" si="119"/>
        <v>3.8294903208009545E-2</v>
      </c>
      <c r="H2529" s="2">
        <f t="shared" si="117"/>
        <v>223.70000000000027</v>
      </c>
      <c r="I2529" s="3">
        <f t="shared" si="118"/>
        <v>7.2899693671381174E-2</v>
      </c>
    </row>
    <row r="2530" spans="2:9" x14ac:dyDescent="0.25">
      <c r="B2530" s="1">
        <v>38861</v>
      </c>
      <c r="C2530" s="2">
        <v>3115.55</v>
      </c>
      <c r="D2530" s="2">
        <v>3203.5</v>
      </c>
      <c r="E2530" s="2">
        <v>3249.75</v>
      </c>
      <c r="F2530" s="2">
        <v>3091.6</v>
      </c>
      <c r="G2530" s="3">
        <f t="shared" si="119"/>
        <v>-2.6192820416647056E-2</v>
      </c>
      <c r="H2530" s="2">
        <f t="shared" si="117"/>
        <v>158.15000000000009</v>
      </c>
      <c r="I2530" s="3">
        <f t="shared" si="118"/>
        <v>4.9367878882472321E-2</v>
      </c>
    </row>
    <row r="2531" spans="2:9" x14ac:dyDescent="0.25">
      <c r="B2531" s="1">
        <v>38862</v>
      </c>
      <c r="C2531" s="2">
        <v>3177.7</v>
      </c>
      <c r="D2531" s="2">
        <v>3114.7</v>
      </c>
      <c r="E2531" s="2">
        <v>3198.35</v>
      </c>
      <c r="F2531" s="2">
        <v>3012.95</v>
      </c>
      <c r="G2531" s="3">
        <f t="shared" si="119"/>
        <v>1.9948323730962336E-2</v>
      </c>
      <c r="H2531" s="2">
        <f t="shared" si="117"/>
        <v>185.40000000000009</v>
      </c>
      <c r="I2531" s="3">
        <f t="shared" si="118"/>
        <v>5.9524191735961761E-2</v>
      </c>
    </row>
    <row r="2532" spans="2:9" x14ac:dyDescent="0.25">
      <c r="B2532" s="1">
        <v>38863</v>
      </c>
      <c r="C2532" s="2">
        <v>3209.6</v>
      </c>
      <c r="D2532" s="2">
        <v>3177.7</v>
      </c>
      <c r="E2532" s="2">
        <v>3277.95</v>
      </c>
      <c r="F2532" s="2">
        <v>3177.7</v>
      </c>
      <c r="G2532" s="3">
        <f t="shared" si="119"/>
        <v>1.0038707241086353E-2</v>
      </c>
      <c r="H2532" s="2">
        <f t="shared" si="117"/>
        <v>100.25</v>
      </c>
      <c r="I2532" s="3">
        <f t="shared" si="118"/>
        <v>3.1547974950435854E-2</v>
      </c>
    </row>
    <row r="2533" spans="2:9" x14ac:dyDescent="0.25">
      <c r="B2533" s="1">
        <v>38866</v>
      </c>
      <c r="C2533" s="2">
        <v>3214.9</v>
      </c>
      <c r="D2533" s="2">
        <v>3207.25</v>
      </c>
      <c r="E2533" s="2">
        <v>3255.25</v>
      </c>
      <c r="F2533" s="2">
        <v>3193.15</v>
      </c>
      <c r="G2533" s="3">
        <f t="shared" si="119"/>
        <v>1.6512961116650349E-3</v>
      </c>
      <c r="H2533" s="2">
        <f t="shared" si="117"/>
        <v>62.099999999999909</v>
      </c>
      <c r="I2533" s="3">
        <f t="shared" si="118"/>
        <v>1.9362382103047755E-2</v>
      </c>
    </row>
    <row r="2534" spans="2:9" x14ac:dyDescent="0.25">
      <c r="B2534" s="1">
        <v>38867</v>
      </c>
      <c r="C2534" s="2">
        <v>3185.3</v>
      </c>
      <c r="D2534" s="2">
        <v>3215.5</v>
      </c>
      <c r="E2534" s="2">
        <v>3252.1</v>
      </c>
      <c r="F2534" s="2">
        <v>3167.05</v>
      </c>
      <c r="G2534" s="3">
        <f t="shared" si="119"/>
        <v>-9.2071293041774416E-3</v>
      </c>
      <c r="H2534" s="2">
        <f t="shared" si="117"/>
        <v>85.049999999999727</v>
      </c>
      <c r="I2534" s="3">
        <f t="shared" si="118"/>
        <v>2.645000777484053E-2</v>
      </c>
    </row>
    <row r="2535" spans="2:9" x14ac:dyDescent="0.25">
      <c r="B2535" s="1">
        <v>38868</v>
      </c>
      <c r="C2535" s="2">
        <v>3071.05</v>
      </c>
      <c r="D2535" s="2">
        <v>3181.95</v>
      </c>
      <c r="E2535" s="2">
        <v>3181.95</v>
      </c>
      <c r="F2535" s="2">
        <v>2972.9</v>
      </c>
      <c r="G2535" s="3">
        <f t="shared" si="119"/>
        <v>-3.5867893134084672E-2</v>
      </c>
      <c r="H2535" s="2">
        <f t="shared" si="117"/>
        <v>209.04999999999973</v>
      </c>
      <c r="I2535" s="3">
        <f t="shared" si="118"/>
        <v>6.5698706767862394E-2</v>
      </c>
    </row>
    <row r="2536" spans="2:9" x14ac:dyDescent="0.25">
      <c r="B2536" s="1">
        <v>38869</v>
      </c>
      <c r="C2536" s="2">
        <v>2962.25</v>
      </c>
      <c r="D2536" s="2">
        <v>3072.55</v>
      </c>
      <c r="E2536" s="2">
        <v>3130</v>
      </c>
      <c r="F2536" s="2">
        <v>2936.6</v>
      </c>
      <c r="G2536" s="3">
        <f t="shared" si="119"/>
        <v>-3.5427622474398013E-2</v>
      </c>
      <c r="H2536" s="2">
        <f t="shared" si="117"/>
        <v>193.40000000000009</v>
      </c>
      <c r="I2536" s="3">
        <f t="shared" si="118"/>
        <v>6.2944459813509976E-2</v>
      </c>
    </row>
    <row r="2537" spans="2:9" x14ac:dyDescent="0.25">
      <c r="B2537" s="1">
        <v>38870</v>
      </c>
      <c r="C2537" s="2">
        <v>3091.35</v>
      </c>
      <c r="D2537" s="2">
        <v>2961.5</v>
      </c>
      <c r="E2537" s="2">
        <v>3099.35</v>
      </c>
      <c r="F2537" s="2">
        <v>2940.2</v>
      </c>
      <c r="G2537" s="3">
        <f t="shared" si="119"/>
        <v>4.3581736855430764E-2</v>
      </c>
      <c r="H2537" s="2">
        <f t="shared" si="117"/>
        <v>159.15000000000009</v>
      </c>
      <c r="I2537" s="3">
        <f t="shared" si="118"/>
        <v>5.3739658956609856E-2</v>
      </c>
    </row>
    <row r="2538" spans="2:9" x14ac:dyDescent="0.25">
      <c r="B2538" s="1">
        <v>38873</v>
      </c>
      <c r="C2538" s="2">
        <v>3016.65</v>
      </c>
      <c r="D2538" s="2">
        <v>3092.6</v>
      </c>
      <c r="E2538" s="2">
        <v>3125.4</v>
      </c>
      <c r="F2538" s="2">
        <v>3006.4</v>
      </c>
      <c r="G2538" s="3">
        <f t="shared" si="119"/>
        <v>-2.4164200106749467E-2</v>
      </c>
      <c r="H2538" s="2">
        <f t="shared" si="117"/>
        <v>119</v>
      </c>
      <c r="I2538" s="3">
        <f t="shared" si="118"/>
        <v>3.8478949751018558E-2</v>
      </c>
    </row>
    <row r="2539" spans="2:9" x14ac:dyDescent="0.25">
      <c r="B2539" s="1">
        <v>38874</v>
      </c>
      <c r="C2539" s="2">
        <v>2937.3</v>
      </c>
      <c r="D2539" s="2">
        <v>3015.05</v>
      </c>
      <c r="E2539" s="2">
        <v>3015.05</v>
      </c>
      <c r="F2539" s="2">
        <v>2910.3</v>
      </c>
      <c r="G2539" s="3">
        <f t="shared" si="119"/>
        <v>-2.6304012729352011E-2</v>
      </c>
      <c r="H2539" s="2">
        <f t="shared" si="117"/>
        <v>104.75</v>
      </c>
      <c r="I2539" s="3">
        <f t="shared" si="118"/>
        <v>3.474237574832921E-2</v>
      </c>
    </row>
    <row r="2540" spans="2:9" x14ac:dyDescent="0.25">
      <c r="B2540" s="1">
        <v>38875</v>
      </c>
      <c r="C2540" s="2">
        <v>2860.45</v>
      </c>
      <c r="D2540" s="2">
        <v>2935.25</v>
      </c>
      <c r="E2540" s="2">
        <v>2956.9</v>
      </c>
      <c r="F2540" s="2">
        <v>2819.45</v>
      </c>
      <c r="G2540" s="3">
        <f t="shared" si="119"/>
        <v>-2.6163483471215221E-2</v>
      </c>
      <c r="H2540" s="2">
        <f t="shared" si="117"/>
        <v>137.45000000000027</v>
      </c>
      <c r="I2540" s="3">
        <f t="shared" si="118"/>
        <v>4.6827357124606173E-2</v>
      </c>
    </row>
    <row r="2541" spans="2:9" x14ac:dyDescent="0.25">
      <c r="B2541" s="1">
        <v>38876</v>
      </c>
      <c r="C2541" s="2">
        <v>2724.35</v>
      </c>
      <c r="D2541" s="2">
        <v>2856.9</v>
      </c>
      <c r="E2541" s="2">
        <v>2859.4</v>
      </c>
      <c r="F2541" s="2">
        <v>2683.2</v>
      </c>
      <c r="G2541" s="3">
        <f t="shared" si="119"/>
        <v>-4.7579926235382541E-2</v>
      </c>
      <c r="H2541" s="2">
        <f t="shared" si="117"/>
        <v>176.20000000000027</v>
      </c>
      <c r="I2541" s="3">
        <f t="shared" si="118"/>
        <v>6.1675242395603722E-2</v>
      </c>
    </row>
    <row r="2542" spans="2:9" x14ac:dyDescent="0.25">
      <c r="B2542" s="1">
        <v>38877</v>
      </c>
      <c r="C2542" s="2">
        <v>2866.3</v>
      </c>
      <c r="D2542" s="2">
        <v>2721.2</v>
      </c>
      <c r="E2542" s="2">
        <v>2875.75</v>
      </c>
      <c r="F2542" s="2">
        <v>2707.85</v>
      </c>
      <c r="G2542" s="3">
        <f t="shared" si="119"/>
        <v>5.2104171637271435E-2</v>
      </c>
      <c r="H2542" s="2">
        <f t="shared" si="117"/>
        <v>167.90000000000009</v>
      </c>
      <c r="I2542" s="3">
        <f t="shared" si="118"/>
        <v>6.1700720270468946E-2</v>
      </c>
    </row>
    <row r="2543" spans="2:9" x14ac:dyDescent="0.25">
      <c r="B2543" s="1">
        <v>38880</v>
      </c>
      <c r="C2543" s="2">
        <v>2776.85</v>
      </c>
      <c r="D2543" s="2">
        <v>2867.65</v>
      </c>
      <c r="E2543" s="2">
        <v>2877.8</v>
      </c>
      <c r="F2543" s="2">
        <v>2761.85</v>
      </c>
      <c r="G2543" s="3">
        <f t="shared" si="119"/>
        <v>-3.1207480026515078E-2</v>
      </c>
      <c r="H2543" s="2">
        <f t="shared" si="117"/>
        <v>115.95000000000027</v>
      </c>
      <c r="I2543" s="3">
        <f t="shared" si="118"/>
        <v>4.0433804683277341E-2</v>
      </c>
    </row>
    <row r="2544" spans="2:9" x14ac:dyDescent="0.25">
      <c r="B2544" s="1">
        <v>38881</v>
      </c>
      <c r="C2544" s="2">
        <v>2663.3</v>
      </c>
      <c r="D2544" s="2">
        <v>2773.6</v>
      </c>
      <c r="E2544" s="2">
        <v>2773.6</v>
      </c>
      <c r="F2544" s="2">
        <v>2638.1</v>
      </c>
      <c r="G2544" s="3">
        <f t="shared" si="119"/>
        <v>-4.0891657813709736E-2</v>
      </c>
      <c r="H2544" s="2">
        <f t="shared" si="117"/>
        <v>135.5</v>
      </c>
      <c r="I2544" s="3">
        <f t="shared" si="118"/>
        <v>4.8853475627343525E-2</v>
      </c>
    </row>
    <row r="2545" spans="2:9" x14ac:dyDescent="0.25">
      <c r="B2545" s="1">
        <v>38882</v>
      </c>
      <c r="C2545" s="2">
        <v>2632.8</v>
      </c>
      <c r="D2545" s="2">
        <v>2665.05</v>
      </c>
      <c r="E2545" s="2">
        <v>2767.75</v>
      </c>
      <c r="F2545" s="2">
        <v>2595.65</v>
      </c>
      <c r="G2545" s="3">
        <f t="shared" si="119"/>
        <v>-1.1451958097097537E-2</v>
      </c>
      <c r="H2545" s="2">
        <f t="shared" si="117"/>
        <v>172.09999999999991</v>
      </c>
      <c r="I2545" s="3">
        <f t="shared" si="118"/>
        <v>6.4576649593816218E-2</v>
      </c>
    </row>
    <row r="2546" spans="2:9" x14ac:dyDescent="0.25">
      <c r="B2546" s="1">
        <v>38883</v>
      </c>
      <c r="C2546" s="2">
        <v>2798.8</v>
      </c>
      <c r="D2546" s="2">
        <v>2634.1</v>
      </c>
      <c r="E2546" s="2">
        <v>2814.15</v>
      </c>
      <c r="F2546" s="2">
        <v>2634.1</v>
      </c>
      <c r="G2546" s="3">
        <f t="shared" si="119"/>
        <v>6.3050744454573149E-2</v>
      </c>
      <c r="H2546" s="2">
        <f t="shared" si="117"/>
        <v>180.05000000000018</v>
      </c>
      <c r="I2546" s="3">
        <f t="shared" si="118"/>
        <v>6.8353517330397545E-2</v>
      </c>
    </row>
    <row r="2547" spans="2:9" x14ac:dyDescent="0.25">
      <c r="B2547" s="1">
        <v>38884</v>
      </c>
      <c r="C2547" s="2">
        <v>2890.35</v>
      </c>
      <c r="D2547" s="2">
        <v>2799.85</v>
      </c>
      <c r="E2547" s="2">
        <v>2960.15</v>
      </c>
      <c r="F2547" s="2">
        <v>2799.85</v>
      </c>
      <c r="G2547" s="3">
        <f t="shared" si="119"/>
        <v>3.2710447334571846E-2</v>
      </c>
      <c r="H2547" s="2">
        <f t="shared" si="117"/>
        <v>160.30000000000018</v>
      </c>
      <c r="I2547" s="3">
        <f t="shared" si="118"/>
        <v>5.7253067128596243E-2</v>
      </c>
    </row>
    <row r="2548" spans="2:9" x14ac:dyDescent="0.25">
      <c r="B2548" s="1">
        <v>38887</v>
      </c>
      <c r="C2548" s="2">
        <v>2916.9</v>
      </c>
      <c r="D2548" s="2">
        <v>2892</v>
      </c>
      <c r="E2548" s="2">
        <v>2932.9</v>
      </c>
      <c r="F2548" s="2">
        <v>2846.5</v>
      </c>
      <c r="G2548" s="3">
        <f t="shared" si="119"/>
        <v>9.1857387513623046E-3</v>
      </c>
      <c r="H2548" s="2">
        <f t="shared" si="117"/>
        <v>86.400000000000091</v>
      </c>
      <c r="I2548" s="3">
        <f t="shared" si="118"/>
        <v>2.9875518672199203E-2</v>
      </c>
    </row>
    <row r="2549" spans="2:9" x14ac:dyDescent="0.25">
      <c r="B2549" s="1">
        <v>38888</v>
      </c>
      <c r="C2549" s="2">
        <v>2861.3</v>
      </c>
      <c r="D2549" s="2">
        <v>2919</v>
      </c>
      <c r="E2549" s="2">
        <v>2919</v>
      </c>
      <c r="F2549" s="2">
        <v>2837.45</v>
      </c>
      <c r="G2549" s="3">
        <f t="shared" si="119"/>
        <v>-1.9061332236278261E-2</v>
      </c>
      <c r="H2549" s="2">
        <f t="shared" si="117"/>
        <v>81.550000000000182</v>
      </c>
      <c r="I2549" s="3">
        <f t="shared" si="118"/>
        <v>2.7937649880095984E-2</v>
      </c>
    </row>
    <row r="2550" spans="2:9" x14ac:dyDescent="0.25">
      <c r="B2550" s="1">
        <v>38889</v>
      </c>
      <c r="C2550" s="2">
        <v>2923.45</v>
      </c>
      <c r="D2550" s="2">
        <v>2861.4</v>
      </c>
      <c r="E2550" s="2">
        <v>2930.8</v>
      </c>
      <c r="F2550" s="2">
        <v>2836.4</v>
      </c>
      <c r="G2550" s="3">
        <f t="shared" si="119"/>
        <v>2.1720896096179887E-2</v>
      </c>
      <c r="H2550" s="2">
        <f t="shared" si="117"/>
        <v>94.400000000000091</v>
      </c>
      <c r="I2550" s="3">
        <f t="shared" si="118"/>
        <v>3.2990843642972001E-2</v>
      </c>
    </row>
    <row r="2551" spans="2:9" x14ac:dyDescent="0.25">
      <c r="B2551" s="1">
        <v>38890</v>
      </c>
      <c r="C2551" s="2">
        <v>2994.75</v>
      </c>
      <c r="D2551" s="2">
        <v>2923.75</v>
      </c>
      <c r="E2551" s="2">
        <v>3017.65</v>
      </c>
      <c r="F2551" s="2">
        <v>2923.75</v>
      </c>
      <c r="G2551" s="3">
        <f t="shared" si="119"/>
        <v>2.4388992457541558E-2</v>
      </c>
      <c r="H2551" s="2">
        <f t="shared" si="117"/>
        <v>93.900000000000091</v>
      </c>
      <c r="I2551" s="3">
        <f t="shared" si="118"/>
        <v>3.2116289012398491E-2</v>
      </c>
    </row>
    <row r="2552" spans="2:9" x14ac:dyDescent="0.25">
      <c r="B2552" s="1">
        <v>38891</v>
      </c>
      <c r="C2552" s="2">
        <v>3042.7</v>
      </c>
      <c r="D2552" s="2">
        <v>2993.55</v>
      </c>
      <c r="E2552" s="2">
        <v>3063.2</v>
      </c>
      <c r="F2552" s="2">
        <v>2920.2</v>
      </c>
      <c r="G2552" s="3">
        <f t="shared" si="119"/>
        <v>1.6011353201435874E-2</v>
      </c>
      <c r="H2552" s="2">
        <f t="shared" si="117"/>
        <v>143</v>
      </c>
      <c r="I2552" s="3">
        <f t="shared" si="118"/>
        <v>4.7769370813916585E-2</v>
      </c>
    </row>
    <row r="2553" spans="2:9" x14ac:dyDescent="0.25">
      <c r="B2553" s="1">
        <v>38893</v>
      </c>
      <c r="C2553" s="2">
        <v>3050.3</v>
      </c>
      <c r="D2553" s="2">
        <v>3043.15</v>
      </c>
      <c r="E2553" s="2">
        <v>3083</v>
      </c>
      <c r="F2553" s="2">
        <v>3035.95</v>
      </c>
      <c r="G2553" s="3">
        <f t="shared" si="119"/>
        <v>2.4977815755744537E-3</v>
      </c>
      <c r="H2553" s="2">
        <f t="shared" si="117"/>
        <v>47.050000000000182</v>
      </c>
      <c r="I2553" s="3">
        <f t="shared" si="118"/>
        <v>1.5460953288533322E-2</v>
      </c>
    </row>
    <row r="2554" spans="2:9" x14ac:dyDescent="0.25">
      <c r="B2554" s="1">
        <v>38894</v>
      </c>
      <c r="C2554" s="2">
        <v>2943.2</v>
      </c>
      <c r="D2554" s="2">
        <v>3051.8</v>
      </c>
      <c r="E2554" s="2">
        <v>3059.85</v>
      </c>
      <c r="F2554" s="2">
        <v>2928</v>
      </c>
      <c r="G2554" s="3">
        <f t="shared" si="119"/>
        <v>-3.511130052781708E-2</v>
      </c>
      <c r="H2554" s="2">
        <f t="shared" si="117"/>
        <v>131.84999999999991</v>
      </c>
      <c r="I2554" s="3">
        <f t="shared" si="118"/>
        <v>4.3204010747755393E-2</v>
      </c>
    </row>
    <row r="2555" spans="2:9" x14ac:dyDescent="0.25">
      <c r="B2555" s="1">
        <v>38895</v>
      </c>
      <c r="C2555" s="2">
        <v>2982.45</v>
      </c>
      <c r="D2555" s="2">
        <v>2943.6</v>
      </c>
      <c r="E2555" s="2">
        <v>3004.15</v>
      </c>
      <c r="F2555" s="2">
        <v>2899.25</v>
      </c>
      <c r="G2555" s="3">
        <f t="shared" si="119"/>
        <v>1.3335824952432684E-2</v>
      </c>
      <c r="H2555" s="2">
        <f t="shared" si="117"/>
        <v>104.90000000000009</v>
      </c>
      <c r="I2555" s="3">
        <f t="shared" si="118"/>
        <v>3.5636635412420195E-2</v>
      </c>
    </row>
    <row r="2556" spans="2:9" x14ac:dyDescent="0.25">
      <c r="B2556" s="1">
        <v>38896</v>
      </c>
      <c r="C2556" s="2">
        <v>2981.1</v>
      </c>
      <c r="D2556" s="2">
        <v>2982.2</v>
      </c>
      <c r="E2556" s="2">
        <v>3003.65</v>
      </c>
      <c r="F2556" s="2">
        <v>2909.6</v>
      </c>
      <c r="G2556" s="3">
        <f t="shared" si="119"/>
        <v>-4.5264799074584694E-4</v>
      </c>
      <c r="H2556" s="2">
        <f t="shared" si="117"/>
        <v>94.050000000000182</v>
      </c>
      <c r="I2556" s="3">
        <f t="shared" si="118"/>
        <v>3.153712024679773E-2</v>
      </c>
    </row>
    <row r="2557" spans="2:9" x14ac:dyDescent="0.25">
      <c r="B2557" s="1">
        <v>38897</v>
      </c>
      <c r="C2557" s="2">
        <v>2997.9</v>
      </c>
      <c r="D2557" s="2">
        <v>2982.9</v>
      </c>
      <c r="E2557" s="2">
        <v>3049.25</v>
      </c>
      <c r="F2557" s="2">
        <v>2982.9</v>
      </c>
      <c r="G2557" s="3">
        <f t="shared" si="119"/>
        <v>5.635503673140807E-3</v>
      </c>
      <c r="H2557" s="2">
        <f t="shared" si="117"/>
        <v>66.349999999999909</v>
      </c>
      <c r="I2557" s="3">
        <f t="shared" si="118"/>
        <v>2.2243454356498677E-2</v>
      </c>
    </row>
    <row r="2558" spans="2:9" x14ac:dyDescent="0.25">
      <c r="B2558" s="1">
        <v>38898</v>
      </c>
      <c r="C2558" s="2">
        <v>3128.2</v>
      </c>
      <c r="D2558" s="2">
        <v>2993.5</v>
      </c>
      <c r="E2558" s="2">
        <v>3134.15</v>
      </c>
      <c r="F2558" s="2">
        <v>2993.5</v>
      </c>
      <c r="G2558" s="3">
        <f t="shared" si="119"/>
        <v>4.346375796390789E-2</v>
      </c>
      <c r="H2558" s="2">
        <f t="shared" si="117"/>
        <v>140.65000000000009</v>
      </c>
      <c r="I2558" s="3">
        <f t="shared" si="118"/>
        <v>4.698513445799235E-2</v>
      </c>
    </row>
    <row r="2559" spans="2:9" x14ac:dyDescent="0.25">
      <c r="B2559" s="1">
        <v>38901</v>
      </c>
      <c r="C2559" s="2">
        <v>3150.95</v>
      </c>
      <c r="D2559" s="2">
        <v>3128.75</v>
      </c>
      <c r="E2559" s="2">
        <v>3160.35</v>
      </c>
      <c r="F2559" s="2">
        <v>3114.85</v>
      </c>
      <c r="G2559" s="3">
        <f t="shared" si="119"/>
        <v>7.2725529058244032E-3</v>
      </c>
      <c r="H2559" s="2">
        <f t="shared" si="117"/>
        <v>45.5</v>
      </c>
      <c r="I2559" s="3">
        <f t="shared" si="118"/>
        <v>1.4542548941270475E-2</v>
      </c>
    </row>
    <row r="2560" spans="2:9" x14ac:dyDescent="0.25">
      <c r="B2560" s="1">
        <v>38902</v>
      </c>
      <c r="C2560" s="2">
        <v>3138.65</v>
      </c>
      <c r="D2560" s="2">
        <v>3151.05</v>
      </c>
      <c r="E2560" s="2">
        <v>3177.4</v>
      </c>
      <c r="F2560" s="2">
        <v>3130.3</v>
      </c>
      <c r="G2560" s="3">
        <f t="shared" si="119"/>
        <v>-3.9035846332057256E-3</v>
      </c>
      <c r="H2560" s="2">
        <f t="shared" si="117"/>
        <v>47.099999999999909</v>
      </c>
      <c r="I2560" s="3">
        <f t="shared" si="118"/>
        <v>1.4947398486218851E-2</v>
      </c>
    </row>
    <row r="2561" spans="2:9" x14ac:dyDescent="0.25">
      <c r="B2561" s="1">
        <v>38903</v>
      </c>
      <c r="C2561" s="2">
        <v>3197.1</v>
      </c>
      <c r="D2561" s="2">
        <v>3136.95</v>
      </c>
      <c r="E2561" s="2">
        <v>3201.2</v>
      </c>
      <c r="F2561" s="2">
        <v>3121.8</v>
      </c>
      <c r="G2561" s="3">
        <f t="shared" si="119"/>
        <v>1.8622656237554214E-2</v>
      </c>
      <c r="H2561" s="2">
        <f t="shared" si="117"/>
        <v>79.399999999999636</v>
      </c>
      <c r="I2561" s="3">
        <f t="shared" si="118"/>
        <v>2.531120993321527E-2</v>
      </c>
    </row>
    <row r="2562" spans="2:9" x14ac:dyDescent="0.25">
      <c r="B2562" s="1">
        <v>38904</v>
      </c>
      <c r="C2562" s="2">
        <v>3156.4</v>
      </c>
      <c r="D2562" s="2">
        <v>3197.5</v>
      </c>
      <c r="E2562" s="2">
        <v>3197.5</v>
      </c>
      <c r="F2562" s="2">
        <v>3138.4</v>
      </c>
      <c r="G2562" s="3">
        <f t="shared" si="119"/>
        <v>-1.2730286822432824E-2</v>
      </c>
      <c r="H2562" s="2">
        <f t="shared" si="117"/>
        <v>59.099999999999909</v>
      </c>
      <c r="I2562" s="3">
        <f t="shared" si="118"/>
        <v>1.8483189992181362E-2</v>
      </c>
    </row>
    <row r="2563" spans="2:9" x14ac:dyDescent="0.25">
      <c r="B2563" s="1">
        <v>38905</v>
      </c>
      <c r="C2563" s="2">
        <v>3075.85</v>
      </c>
      <c r="D2563" s="2">
        <v>3157.95</v>
      </c>
      <c r="E2563" s="2">
        <v>3193.1</v>
      </c>
      <c r="F2563" s="2">
        <v>3056.3</v>
      </c>
      <c r="G2563" s="3">
        <f t="shared" si="119"/>
        <v>-2.5519579267520021E-2</v>
      </c>
      <c r="H2563" s="2">
        <f t="shared" si="117"/>
        <v>136.79999999999973</v>
      </c>
      <c r="I2563" s="3">
        <f t="shared" si="118"/>
        <v>4.3319241913266436E-2</v>
      </c>
    </row>
    <row r="2564" spans="2:9" x14ac:dyDescent="0.25">
      <c r="B2564" s="1">
        <v>38908</v>
      </c>
      <c r="C2564" s="2">
        <v>3142</v>
      </c>
      <c r="D2564" s="2">
        <v>3077.1</v>
      </c>
      <c r="E2564" s="2">
        <v>3147.7</v>
      </c>
      <c r="F2564" s="2">
        <v>3064.1</v>
      </c>
      <c r="G2564" s="3">
        <f t="shared" si="119"/>
        <v>2.1506250304793806E-2</v>
      </c>
      <c r="H2564" s="2">
        <f t="shared" si="117"/>
        <v>83.599999999999909</v>
      </c>
      <c r="I2564" s="3">
        <f t="shared" si="118"/>
        <v>2.716843781482562E-2</v>
      </c>
    </row>
    <row r="2565" spans="2:9" x14ac:dyDescent="0.25">
      <c r="B2565" s="1">
        <v>38909</v>
      </c>
      <c r="C2565" s="2">
        <v>3116.15</v>
      </c>
      <c r="D2565" s="2">
        <v>3145.3</v>
      </c>
      <c r="E2565" s="2">
        <v>3146</v>
      </c>
      <c r="F2565" s="2">
        <v>3100.4</v>
      </c>
      <c r="G2565" s="3">
        <f t="shared" si="119"/>
        <v>-8.2272437937619403E-3</v>
      </c>
      <c r="H2565" s="2">
        <f t="shared" ref="H2565:H2628" si="120">E2565-F2565</f>
        <v>45.599999999999909</v>
      </c>
      <c r="I2565" s="3">
        <f t="shared" si="118"/>
        <v>1.4497822147330908E-2</v>
      </c>
    </row>
    <row r="2566" spans="2:9" x14ac:dyDescent="0.25">
      <c r="B2566" s="1">
        <v>38910</v>
      </c>
      <c r="C2566" s="2">
        <v>3195.9</v>
      </c>
      <c r="D2566" s="2">
        <v>3124.95</v>
      </c>
      <c r="E2566" s="2">
        <v>3201.35</v>
      </c>
      <c r="F2566" s="2">
        <v>3078.25</v>
      </c>
      <c r="G2566" s="3">
        <f t="shared" si="119"/>
        <v>2.5592477897405486E-2</v>
      </c>
      <c r="H2566" s="2">
        <f t="shared" si="120"/>
        <v>123.09999999999991</v>
      </c>
      <c r="I2566" s="3">
        <f t="shared" ref="I2566:I2629" si="121">H2566/D2566</f>
        <v>3.9392630282084486E-2</v>
      </c>
    </row>
    <row r="2567" spans="2:9" x14ac:dyDescent="0.25">
      <c r="B2567" s="1">
        <v>38911</v>
      </c>
      <c r="C2567" s="2">
        <v>3169.3</v>
      </c>
      <c r="D2567" s="2">
        <v>3196.3</v>
      </c>
      <c r="E2567" s="2">
        <v>3208.85</v>
      </c>
      <c r="F2567" s="2">
        <v>3148.95</v>
      </c>
      <c r="G2567" s="3">
        <f t="shared" ref="G2567:G2630" si="122">C2567/C2566-1</f>
        <v>-8.3231640539440654E-3</v>
      </c>
      <c r="H2567" s="2">
        <f t="shared" si="120"/>
        <v>59.900000000000091</v>
      </c>
      <c r="I2567" s="3">
        <f t="shared" si="121"/>
        <v>1.8740418609016703E-2</v>
      </c>
    </row>
    <row r="2568" spans="2:9" x14ac:dyDescent="0.25">
      <c r="B2568" s="1">
        <v>38912</v>
      </c>
      <c r="C2568" s="2">
        <v>3123.35</v>
      </c>
      <c r="D2568" s="2">
        <v>3166.25</v>
      </c>
      <c r="E2568" s="2">
        <v>3166.25</v>
      </c>
      <c r="F2568" s="2">
        <v>3089.55</v>
      </c>
      <c r="G2568" s="3">
        <f t="shared" si="122"/>
        <v>-1.4498469693623228E-2</v>
      </c>
      <c r="H2568" s="2">
        <f t="shared" si="120"/>
        <v>76.699999999999818</v>
      </c>
      <c r="I2568" s="3">
        <f t="shared" si="121"/>
        <v>2.4224240031583046E-2</v>
      </c>
    </row>
    <row r="2569" spans="2:9" x14ac:dyDescent="0.25">
      <c r="B2569" s="1">
        <v>38915</v>
      </c>
      <c r="C2569" s="2">
        <v>3007.55</v>
      </c>
      <c r="D2569" s="2">
        <v>3123.65</v>
      </c>
      <c r="E2569" s="2">
        <v>3125.1</v>
      </c>
      <c r="F2569" s="2">
        <v>2999.35</v>
      </c>
      <c r="G2569" s="3">
        <f t="shared" si="122"/>
        <v>-3.7075575904077285E-2</v>
      </c>
      <c r="H2569" s="2">
        <f t="shared" si="120"/>
        <v>125.75</v>
      </c>
      <c r="I2569" s="3">
        <f t="shared" si="121"/>
        <v>4.0257391192995373E-2</v>
      </c>
    </row>
    <row r="2570" spans="2:9" x14ac:dyDescent="0.25">
      <c r="B2570" s="1">
        <v>38916</v>
      </c>
      <c r="C2570" s="2">
        <v>2993.65</v>
      </c>
      <c r="D2570" s="2">
        <v>3007.15</v>
      </c>
      <c r="E2570" s="2">
        <v>3038.25</v>
      </c>
      <c r="F2570" s="2">
        <v>2967.95</v>
      </c>
      <c r="G2570" s="3">
        <f t="shared" si="122"/>
        <v>-4.6217020498412476E-3</v>
      </c>
      <c r="H2570" s="2">
        <f t="shared" si="120"/>
        <v>70.300000000000182</v>
      </c>
      <c r="I2570" s="3">
        <f t="shared" si="121"/>
        <v>2.3377616680245475E-2</v>
      </c>
    </row>
    <row r="2571" spans="2:9" x14ac:dyDescent="0.25">
      <c r="B2571" s="1">
        <v>38917</v>
      </c>
      <c r="C2571" s="2">
        <v>2932.75</v>
      </c>
      <c r="D2571" s="2">
        <v>2995.85</v>
      </c>
      <c r="E2571" s="2">
        <v>3045.35</v>
      </c>
      <c r="F2571" s="2">
        <v>2919.95</v>
      </c>
      <c r="G2571" s="3">
        <f t="shared" si="122"/>
        <v>-2.0343059475890657E-2</v>
      </c>
      <c r="H2571" s="2">
        <f t="shared" si="120"/>
        <v>125.40000000000009</v>
      </c>
      <c r="I2571" s="3">
        <f t="shared" si="121"/>
        <v>4.1857903433082461E-2</v>
      </c>
    </row>
    <row r="2572" spans="2:9" x14ac:dyDescent="0.25">
      <c r="B2572" s="1">
        <v>38918</v>
      </c>
      <c r="C2572" s="2">
        <v>3023.05</v>
      </c>
      <c r="D2572" s="2">
        <v>2943.65</v>
      </c>
      <c r="E2572" s="2">
        <v>3041.25</v>
      </c>
      <c r="F2572" s="2">
        <v>2943.65</v>
      </c>
      <c r="G2572" s="3">
        <f t="shared" si="122"/>
        <v>3.0790213963004076E-2</v>
      </c>
      <c r="H2572" s="2">
        <f t="shared" si="120"/>
        <v>97.599999999999909</v>
      </c>
      <c r="I2572" s="3">
        <f t="shared" si="121"/>
        <v>3.3156115706690643E-2</v>
      </c>
    </row>
    <row r="2573" spans="2:9" x14ac:dyDescent="0.25">
      <c r="B2573" s="1">
        <v>38919</v>
      </c>
      <c r="C2573" s="2">
        <v>2945</v>
      </c>
      <c r="D2573" s="2">
        <v>3025.1</v>
      </c>
      <c r="E2573" s="2">
        <v>3029.1</v>
      </c>
      <c r="F2573" s="2">
        <v>2930.15</v>
      </c>
      <c r="G2573" s="3">
        <f t="shared" si="122"/>
        <v>-2.5818296091695503E-2</v>
      </c>
      <c r="H2573" s="2">
        <f t="shared" si="120"/>
        <v>98.949999999999818</v>
      </c>
      <c r="I2573" s="3">
        <f t="shared" si="121"/>
        <v>3.2709662490496123E-2</v>
      </c>
    </row>
    <row r="2574" spans="2:9" x14ac:dyDescent="0.25">
      <c r="B2574" s="1">
        <v>38922</v>
      </c>
      <c r="C2574" s="2">
        <v>2985.85</v>
      </c>
      <c r="D2574" s="2">
        <v>2944.9</v>
      </c>
      <c r="E2574" s="2">
        <v>2996.65</v>
      </c>
      <c r="F2574" s="2">
        <v>2878.25</v>
      </c>
      <c r="G2574" s="3">
        <f t="shared" si="122"/>
        <v>1.3870967741935525E-2</v>
      </c>
      <c r="H2574" s="2">
        <f t="shared" si="120"/>
        <v>118.40000000000009</v>
      </c>
      <c r="I2574" s="3">
        <f t="shared" si="121"/>
        <v>4.0205100342965837E-2</v>
      </c>
    </row>
    <row r="2575" spans="2:9" x14ac:dyDescent="0.25">
      <c r="B2575" s="1">
        <v>38923</v>
      </c>
      <c r="C2575" s="2">
        <v>3040.5</v>
      </c>
      <c r="D2575" s="2">
        <v>2989.5</v>
      </c>
      <c r="E2575" s="2">
        <v>3046.95</v>
      </c>
      <c r="F2575" s="2">
        <v>2987.15</v>
      </c>
      <c r="G2575" s="3">
        <f t="shared" si="122"/>
        <v>1.8302995796841692E-2</v>
      </c>
      <c r="H2575" s="2">
        <f t="shared" si="120"/>
        <v>59.799999999999727</v>
      </c>
      <c r="I2575" s="3">
        <f t="shared" si="121"/>
        <v>2.0003345040976662E-2</v>
      </c>
    </row>
    <row r="2576" spans="2:9" x14ac:dyDescent="0.25">
      <c r="B2576" s="1">
        <v>38924</v>
      </c>
      <c r="C2576" s="2">
        <v>3110.15</v>
      </c>
      <c r="D2576" s="2">
        <v>3040.45</v>
      </c>
      <c r="E2576" s="2">
        <v>3121.4</v>
      </c>
      <c r="F2576" s="2">
        <v>3022.7</v>
      </c>
      <c r="G2576" s="3">
        <f t="shared" si="122"/>
        <v>2.2907416543331616E-2</v>
      </c>
      <c r="H2576" s="2">
        <f t="shared" si="120"/>
        <v>98.700000000000273</v>
      </c>
      <c r="I2576" s="3">
        <f t="shared" si="121"/>
        <v>3.2462299988488638E-2</v>
      </c>
    </row>
    <row r="2577" spans="2:9" x14ac:dyDescent="0.25">
      <c r="B2577" s="1">
        <v>38925</v>
      </c>
      <c r="C2577" s="2">
        <v>3156.15</v>
      </c>
      <c r="D2577" s="2">
        <v>3109.85</v>
      </c>
      <c r="E2577" s="2">
        <v>3167.1</v>
      </c>
      <c r="F2577" s="2">
        <v>3109.85</v>
      </c>
      <c r="G2577" s="3">
        <f t="shared" si="122"/>
        <v>1.4790283426844297E-2</v>
      </c>
      <c r="H2577" s="2">
        <f t="shared" si="120"/>
        <v>57.25</v>
      </c>
      <c r="I2577" s="3">
        <f t="shared" si="121"/>
        <v>1.8409248034471117E-2</v>
      </c>
    </row>
    <row r="2578" spans="2:9" x14ac:dyDescent="0.25">
      <c r="B2578" s="1">
        <v>38926</v>
      </c>
      <c r="C2578" s="2">
        <v>3130.8</v>
      </c>
      <c r="D2578" s="2">
        <v>3158</v>
      </c>
      <c r="E2578" s="2">
        <v>3168.5</v>
      </c>
      <c r="F2578" s="2">
        <v>3109.45</v>
      </c>
      <c r="G2578" s="3">
        <f t="shared" si="122"/>
        <v>-8.0319376455491032E-3</v>
      </c>
      <c r="H2578" s="2">
        <f t="shared" si="120"/>
        <v>59.050000000000182</v>
      </c>
      <c r="I2578" s="3">
        <f t="shared" si="121"/>
        <v>1.8698543381887329E-2</v>
      </c>
    </row>
    <row r="2579" spans="2:9" x14ac:dyDescent="0.25">
      <c r="B2579" s="1">
        <v>38929</v>
      </c>
      <c r="C2579" s="2">
        <v>3143.2</v>
      </c>
      <c r="D2579" s="2">
        <v>3131.35</v>
      </c>
      <c r="E2579" s="2">
        <v>3179.7</v>
      </c>
      <c r="F2579" s="2">
        <v>3110.6</v>
      </c>
      <c r="G2579" s="3">
        <f t="shared" si="122"/>
        <v>3.9606490353902846E-3</v>
      </c>
      <c r="H2579" s="2">
        <f t="shared" si="120"/>
        <v>69.099999999999909</v>
      </c>
      <c r="I2579" s="3">
        <f t="shared" si="121"/>
        <v>2.206715953183129E-2</v>
      </c>
    </row>
    <row r="2580" spans="2:9" x14ac:dyDescent="0.25">
      <c r="B2580" s="1">
        <v>38930</v>
      </c>
      <c r="C2580" s="2">
        <v>3147.8</v>
      </c>
      <c r="D2580" s="2">
        <v>3128.2</v>
      </c>
      <c r="E2580" s="2">
        <v>3154.7</v>
      </c>
      <c r="F2580" s="2">
        <v>3113.6</v>
      </c>
      <c r="G2580" s="3">
        <f t="shared" si="122"/>
        <v>1.4634767116314951E-3</v>
      </c>
      <c r="H2580" s="2">
        <f t="shared" si="120"/>
        <v>41.099999999999909</v>
      </c>
      <c r="I2580" s="3">
        <f t="shared" si="121"/>
        <v>1.3138546128764117E-2</v>
      </c>
    </row>
    <row r="2581" spans="2:9" x14ac:dyDescent="0.25">
      <c r="B2581" s="1">
        <v>38931</v>
      </c>
      <c r="C2581" s="2">
        <v>3182.1</v>
      </c>
      <c r="D2581" s="2">
        <v>3129.45</v>
      </c>
      <c r="E2581" s="2">
        <v>3187.85</v>
      </c>
      <c r="F2581" s="2">
        <v>3127.9</v>
      </c>
      <c r="G2581" s="3">
        <f t="shared" si="122"/>
        <v>1.0896499142257987E-2</v>
      </c>
      <c r="H2581" s="2">
        <f t="shared" si="120"/>
        <v>59.949999999999818</v>
      </c>
      <c r="I2581" s="3">
        <f t="shared" si="121"/>
        <v>1.9156720829538679E-2</v>
      </c>
    </row>
    <row r="2582" spans="2:9" x14ac:dyDescent="0.25">
      <c r="B2582" s="1">
        <v>38932</v>
      </c>
      <c r="C2582" s="2">
        <v>3190</v>
      </c>
      <c r="D2582" s="2">
        <v>3182.55</v>
      </c>
      <c r="E2582" s="2">
        <v>3234.25</v>
      </c>
      <c r="F2582" s="2">
        <v>3175.15</v>
      </c>
      <c r="G2582" s="3">
        <f t="shared" si="122"/>
        <v>2.4826372521291606E-3</v>
      </c>
      <c r="H2582" s="2">
        <f t="shared" si="120"/>
        <v>59.099999999999909</v>
      </c>
      <c r="I2582" s="3">
        <f t="shared" si="121"/>
        <v>1.8570014610925171E-2</v>
      </c>
    </row>
    <row r="2583" spans="2:9" x14ac:dyDescent="0.25">
      <c r="B2583" s="1">
        <v>38933</v>
      </c>
      <c r="C2583" s="2">
        <v>3176.75</v>
      </c>
      <c r="D2583" s="2">
        <v>3189.7</v>
      </c>
      <c r="E2583" s="2">
        <v>3228.15</v>
      </c>
      <c r="F2583" s="2">
        <v>3161.8</v>
      </c>
      <c r="G2583" s="3">
        <f t="shared" si="122"/>
        <v>-4.1536050156739668E-3</v>
      </c>
      <c r="H2583" s="2">
        <f t="shared" si="120"/>
        <v>66.349999999999909</v>
      </c>
      <c r="I2583" s="3">
        <f t="shared" si="121"/>
        <v>2.0801329278615516E-2</v>
      </c>
    </row>
    <row r="2584" spans="2:9" x14ac:dyDescent="0.25">
      <c r="B2584" s="1">
        <v>38936</v>
      </c>
      <c r="C2584" s="2">
        <v>3151.1</v>
      </c>
      <c r="D2584" s="2">
        <v>3176.7</v>
      </c>
      <c r="E2584" s="2">
        <v>3178.5</v>
      </c>
      <c r="F2584" s="2">
        <v>3142.55</v>
      </c>
      <c r="G2584" s="3">
        <f t="shared" si="122"/>
        <v>-8.0742897615487808E-3</v>
      </c>
      <c r="H2584" s="2">
        <f t="shared" si="120"/>
        <v>35.949999999999818</v>
      </c>
      <c r="I2584" s="3">
        <f t="shared" si="121"/>
        <v>1.1316775269934153E-2</v>
      </c>
    </row>
    <row r="2585" spans="2:9" x14ac:dyDescent="0.25">
      <c r="B2585" s="1">
        <v>38937</v>
      </c>
      <c r="C2585" s="2">
        <v>3212.4</v>
      </c>
      <c r="D2585" s="2">
        <v>3151.55</v>
      </c>
      <c r="E2585" s="2">
        <v>3216.75</v>
      </c>
      <c r="F2585" s="2">
        <v>3151.55</v>
      </c>
      <c r="G2585" s="3">
        <f t="shared" si="122"/>
        <v>1.9453524166164193E-2</v>
      </c>
      <c r="H2585" s="2">
        <f t="shared" si="120"/>
        <v>65.199999999999818</v>
      </c>
      <c r="I2585" s="3">
        <f t="shared" si="121"/>
        <v>2.0688232774349072E-2</v>
      </c>
    </row>
    <row r="2586" spans="2:9" x14ac:dyDescent="0.25">
      <c r="B2586" s="1">
        <v>38938</v>
      </c>
      <c r="C2586" s="2">
        <v>3254.6</v>
      </c>
      <c r="D2586" s="2">
        <v>3211.55</v>
      </c>
      <c r="E2586" s="2">
        <v>3267.2</v>
      </c>
      <c r="F2586" s="2">
        <v>3187.85</v>
      </c>
      <c r="G2586" s="3">
        <f t="shared" si="122"/>
        <v>1.3136595691694675E-2</v>
      </c>
      <c r="H2586" s="2">
        <f t="shared" si="120"/>
        <v>79.349999999999909</v>
      </c>
      <c r="I2586" s="3">
        <f t="shared" si="121"/>
        <v>2.4707695660973642E-2</v>
      </c>
    </row>
    <row r="2587" spans="2:9" x14ac:dyDescent="0.25">
      <c r="B2587" s="1">
        <v>38939</v>
      </c>
      <c r="C2587" s="2">
        <v>3260.1</v>
      </c>
      <c r="D2587" s="2">
        <v>3254.6</v>
      </c>
      <c r="E2587" s="2">
        <v>3274.75</v>
      </c>
      <c r="F2587" s="2">
        <v>3229.45</v>
      </c>
      <c r="G2587" s="3">
        <f t="shared" si="122"/>
        <v>1.6899158114669355E-3</v>
      </c>
      <c r="H2587" s="2">
        <f t="shared" si="120"/>
        <v>45.300000000000182</v>
      </c>
      <c r="I2587" s="3">
        <f t="shared" si="121"/>
        <v>1.3918761138081541E-2</v>
      </c>
    </row>
    <row r="2588" spans="2:9" x14ac:dyDescent="0.25">
      <c r="B2588" s="1">
        <v>38940</v>
      </c>
      <c r="C2588" s="2">
        <v>3274.35</v>
      </c>
      <c r="D2588" s="2">
        <v>3260.05</v>
      </c>
      <c r="E2588" s="2">
        <v>3286.5</v>
      </c>
      <c r="F2588" s="2">
        <v>3236.95</v>
      </c>
      <c r="G2588" s="3">
        <f t="shared" si="122"/>
        <v>4.3710315634488683E-3</v>
      </c>
      <c r="H2588" s="2">
        <f t="shared" si="120"/>
        <v>49.550000000000182</v>
      </c>
      <c r="I2588" s="3">
        <f t="shared" si="121"/>
        <v>1.5199153387218042E-2</v>
      </c>
    </row>
    <row r="2589" spans="2:9" x14ac:dyDescent="0.25">
      <c r="B2589" s="1">
        <v>38943</v>
      </c>
      <c r="C2589" s="2">
        <v>3313.1</v>
      </c>
      <c r="D2589" s="2">
        <v>3274.95</v>
      </c>
      <c r="E2589" s="2">
        <v>3317.8</v>
      </c>
      <c r="F2589" s="2">
        <v>3269.15</v>
      </c>
      <c r="G2589" s="3">
        <f t="shared" si="122"/>
        <v>1.1834409882877539E-2</v>
      </c>
      <c r="H2589" s="2">
        <f t="shared" si="120"/>
        <v>48.650000000000091</v>
      </c>
      <c r="I2589" s="3">
        <f t="shared" si="121"/>
        <v>1.4855188628834056E-2</v>
      </c>
    </row>
    <row r="2590" spans="2:9" x14ac:dyDescent="0.25">
      <c r="B2590" s="1">
        <v>38945</v>
      </c>
      <c r="C2590" s="2">
        <v>3356.05</v>
      </c>
      <c r="D2590" s="2">
        <v>3314.75</v>
      </c>
      <c r="E2590" s="2">
        <v>3377.1</v>
      </c>
      <c r="F2590" s="2">
        <v>3314.75</v>
      </c>
      <c r="G2590" s="3">
        <f t="shared" si="122"/>
        <v>1.2963689595846928E-2</v>
      </c>
      <c r="H2590" s="2">
        <f t="shared" si="120"/>
        <v>62.349999999999909</v>
      </c>
      <c r="I2590" s="3">
        <f t="shared" si="121"/>
        <v>1.8809864997360256E-2</v>
      </c>
    </row>
    <row r="2591" spans="2:9" x14ac:dyDescent="0.25">
      <c r="B2591" s="1">
        <v>38946</v>
      </c>
      <c r="C2591" s="2">
        <v>3353.9</v>
      </c>
      <c r="D2591" s="2">
        <v>3359.7</v>
      </c>
      <c r="E2591" s="2">
        <v>3385.15</v>
      </c>
      <c r="F2591" s="2">
        <v>3328.6</v>
      </c>
      <c r="G2591" s="3">
        <f t="shared" si="122"/>
        <v>-6.4063407875336598E-4</v>
      </c>
      <c r="H2591" s="2">
        <f t="shared" si="120"/>
        <v>56.550000000000182</v>
      </c>
      <c r="I2591" s="3">
        <f t="shared" si="121"/>
        <v>1.6831859987498938E-2</v>
      </c>
    </row>
    <row r="2592" spans="2:9" x14ac:dyDescent="0.25">
      <c r="B2592" s="1">
        <v>38947</v>
      </c>
      <c r="C2592" s="2">
        <v>3356.75</v>
      </c>
      <c r="D2592" s="2">
        <v>3354.5</v>
      </c>
      <c r="E2592" s="2">
        <v>3366.25</v>
      </c>
      <c r="F2592" s="2">
        <v>3332.2</v>
      </c>
      <c r="G2592" s="3">
        <f t="shared" si="122"/>
        <v>8.4975699931422177E-4</v>
      </c>
      <c r="H2592" s="2">
        <f t="shared" si="120"/>
        <v>34.050000000000182</v>
      </c>
      <c r="I2592" s="3">
        <f t="shared" si="121"/>
        <v>1.0150544045312321E-2</v>
      </c>
    </row>
    <row r="2593" spans="2:9" x14ac:dyDescent="0.25">
      <c r="B2593" s="1">
        <v>38950</v>
      </c>
      <c r="C2593" s="2">
        <v>3366</v>
      </c>
      <c r="D2593" s="2">
        <v>3356.8</v>
      </c>
      <c r="E2593" s="2">
        <v>3374.9</v>
      </c>
      <c r="F2593" s="2">
        <v>3332.9</v>
      </c>
      <c r="G2593" s="3">
        <f t="shared" si="122"/>
        <v>2.7556416176361953E-3</v>
      </c>
      <c r="H2593" s="2">
        <f t="shared" si="120"/>
        <v>42</v>
      </c>
      <c r="I2593" s="3">
        <f t="shared" si="121"/>
        <v>1.2511916110581505E-2</v>
      </c>
    </row>
    <row r="2594" spans="2:9" x14ac:dyDescent="0.25">
      <c r="B2594" s="1">
        <v>38951</v>
      </c>
      <c r="C2594" s="2">
        <v>3364.6</v>
      </c>
      <c r="D2594" s="2">
        <v>3369.6</v>
      </c>
      <c r="E2594" s="2">
        <v>3398.35</v>
      </c>
      <c r="F2594" s="2">
        <v>3351.5</v>
      </c>
      <c r="G2594" s="3">
        <f t="shared" si="122"/>
        <v>-4.1592394533573884E-4</v>
      </c>
      <c r="H2594" s="2">
        <f t="shared" si="120"/>
        <v>46.849999999999909</v>
      </c>
      <c r="I2594" s="3">
        <f t="shared" si="121"/>
        <v>1.3903727445394086E-2</v>
      </c>
    </row>
    <row r="2595" spans="2:9" x14ac:dyDescent="0.25">
      <c r="B2595" s="1">
        <v>38952</v>
      </c>
      <c r="C2595" s="2">
        <v>3335.8</v>
      </c>
      <c r="D2595" s="2">
        <v>3363.6</v>
      </c>
      <c r="E2595" s="2">
        <v>3369.65</v>
      </c>
      <c r="F2595" s="2">
        <v>3325.1</v>
      </c>
      <c r="G2595" s="3">
        <f t="shared" si="122"/>
        <v>-8.5597099209414607E-3</v>
      </c>
      <c r="H2595" s="2">
        <f t="shared" si="120"/>
        <v>44.550000000000182</v>
      </c>
      <c r="I2595" s="3">
        <f t="shared" si="121"/>
        <v>1.3244737780949038E-2</v>
      </c>
    </row>
    <row r="2596" spans="2:9" x14ac:dyDescent="0.25">
      <c r="B2596" s="1">
        <v>38953</v>
      </c>
      <c r="C2596" s="2">
        <v>3370.4</v>
      </c>
      <c r="D2596" s="2">
        <v>3336.65</v>
      </c>
      <c r="E2596" s="2">
        <v>3379.55</v>
      </c>
      <c r="F2596" s="2">
        <v>3304.85</v>
      </c>
      <c r="G2596" s="3">
        <f t="shared" si="122"/>
        <v>1.0372324479884787E-2</v>
      </c>
      <c r="H2596" s="2">
        <f t="shared" si="120"/>
        <v>74.700000000000273</v>
      </c>
      <c r="I2596" s="3">
        <f t="shared" si="121"/>
        <v>2.2387724214406747E-2</v>
      </c>
    </row>
    <row r="2597" spans="2:9" x14ac:dyDescent="0.25">
      <c r="B2597" s="1">
        <v>38954</v>
      </c>
      <c r="C2597" s="2">
        <v>3385.95</v>
      </c>
      <c r="D2597" s="2">
        <v>3368.55</v>
      </c>
      <c r="E2597" s="2">
        <v>3402.7</v>
      </c>
      <c r="F2597" s="2">
        <v>3368.55</v>
      </c>
      <c r="G2597" s="3">
        <f t="shared" si="122"/>
        <v>4.6136957037739013E-3</v>
      </c>
      <c r="H2597" s="2">
        <f t="shared" si="120"/>
        <v>34.149999999999636</v>
      </c>
      <c r="I2597" s="3">
        <f t="shared" si="121"/>
        <v>1.0137893158777406E-2</v>
      </c>
    </row>
    <row r="2598" spans="2:9" x14ac:dyDescent="0.25">
      <c r="B2598" s="1">
        <v>38957</v>
      </c>
      <c r="C2598" s="2">
        <v>3401.1</v>
      </c>
      <c r="D2598" s="2">
        <v>3386</v>
      </c>
      <c r="E2598" s="2">
        <v>3405.3</v>
      </c>
      <c r="F2598" s="2">
        <v>3377.75</v>
      </c>
      <c r="G2598" s="3">
        <f t="shared" si="122"/>
        <v>4.4743720373898732E-3</v>
      </c>
      <c r="H2598" s="2">
        <f t="shared" si="120"/>
        <v>27.550000000000182</v>
      </c>
      <c r="I2598" s="3">
        <f t="shared" si="121"/>
        <v>8.1364441819256304E-3</v>
      </c>
    </row>
    <row r="2599" spans="2:9" x14ac:dyDescent="0.25">
      <c r="B2599" s="1">
        <v>38958</v>
      </c>
      <c r="C2599" s="2">
        <v>3425.7</v>
      </c>
      <c r="D2599" s="2">
        <v>3405.05</v>
      </c>
      <c r="E2599" s="2">
        <v>3434.95</v>
      </c>
      <c r="F2599" s="2">
        <v>3396.1</v>
      </c>
      <c r="G2599" s="3">
        <f t="shared" si="122"/>
        <v>7.2329540442797047E-3</v>
      </c>
      <c r="H2599" s="2">
        <f t="shared" si="120"/>
        <v>38.849999999999909</v>
      </c>
      <c r="I2599" s="3">
        <f t="shared" si="121"/>
        <v>1.1409524089220396E-2</v>
      </c>
    </row>
    <row r="2600" spans="2:9" x14ac:dyDescent="0.25">
      <c r="B2600" s="1">
        <v>38959</v>
      </c>
      <c r="C2600" s="2">
        <v>3430.35</v>
      </c>
      <c r="D2600" s="2">
        <v>3425.8</v>
      </c>
      <c r="E2600" s="2">
        <v>3440.2</v>
      </c>
      <c r="F2600" s="2">
        <v>3407.75</v>
      </c>
      <c r="G2600" s="3">
        <f t="shared" si="122"/>
        <v>1.3573868114546972E-3</v>
      </c>
      <c r="H2600" s="2">
        <f t="shared" si="120"/>
        <v>32.449999999999818</v>
      </c>
      <c r="I2600" s="3">
        <f t="shared" si="121"/>
        <v>9.472240060715691E-3</v>
      </c>
    </row>
    <row r="2601" spans="2:9" x14ac:dyDescent="0.25">
      <c r="B2601" s="1">
        <v>38960</v>
      </c>
      <c r="C2601" s="2">
        <v>3413.9</v>
      </c>
      <c r="D2601" s="2">
        <v>3404.5</v>
      </c>
      <c r="E2601" s="2">
        <v>3452.3</v>
      </c>
      <c r="F2601" s="2">
        <v>3403.65</v>
      </c>
      <c r="G2601" s="3">
        <f t="shared" si="122"/>
        <v>-4.7954290378532383E-3</v>
      </c>
      <c r="H2601" s="2">
        <f t="shared" si="120"/>
        <v>48.650000000000091</v>
      </c>
      <c r="I2601" s="3">
        <f t="shared" si="121"/>
        <v>1.4289910412689115E-2</v>
      </c>
    </row>
    <row r="2602" spans="2:9" x14ac:dyDescent="0.25">
      <c r="B2602" s="1">
        <v>38961</v>
      </c>
      <c r="C2602" s="2">
        <v>3435.45</v>
      </c>
      <c r="D2602" s="2">
        <v>3414</v>
      </c>
      <c r="E2602" s="2">
        <v>3439.5</v>
      </c>
      <c r="F2602" s="2">
        <v>3402.9</v>
      </c>
      <c r="G2602" s="3">
        <f t="shared" si="122"/>
        <v>6.3124286007205654E-3</v>
      </c>
      <c r="H2602" s="2">
        <f t="shared" si="120"/>
        <v>36.599999999999909</v>
      </c>
      <c r="I2602" s="3">
        <f t="shared" si="121"/>
        <v>1.0720562390158145E-2</v>
      </c>
    </row>
    <row r="2603" spans="2:9" x14ac:dyDescent="0.25">
      <c r="B2603" s="1">
        <v>38964</v>
      </c>
      <c r="C2603" s="2">
        <v>3476.85</v>
      </c>
      <c r="D2603" s="2">
        <v>3435.55</v>
      </c>
      <c r="E2603" s="2">
        <v>3483.1</v>
      </c>
      <c r="F2603" s="2">
        <v>3435.55</v>
      </c>
      <c r="G2603" s="3">
        <f t="shared" si="122"/>
        <v>1.2050823036283465E-2</v>
      </c>
      <c r="H2603" s="2">
        <f t="shared" si="120"/>
        <v>47.549999999999727</v>
      </c>
      <c r="I2603" s="3">
        <f t="shared" si="121"/>
        <v>1.3840578655528147E-2</v>
      </c>
    </row>
    <row r="2604" spans="2:9" x14ac:dyDescent="0.25">
      <c r="B2604" s="1">
        <v>38965</v>
      </c>
      <c r="C2604" s="2">
        <v>3473.75</v>
      </c>
      <c r="D2604" s="2">
        <v>3471.4</v>
      </c>
      <c r="E2604" s="2">
        <v>3488.6</v>
      </c>
      <c r="F2604" s="2">
        <v>3457.9</v>
      </c>
      <c r="G2604" s="3">
        <f t="shared" si="122"/>
        <v>-8.9161165997952985E-4</v>
      </c>
      <c r="H2604" s="2">
        <f t="shared" si="120"/>
        <v>30.699999999999818</v>
      </c>
      <c r="I2604" s="3">
        <f t="shared" si="121"/>
        <v>8.8436941867833779E-3</v>
      </c>
    </row>
    <row r="2605" spans="2:9" x14ac:dyDescent="0.25">
      <c r="B2605" s="1">
        <v>38966</v>
      </c>
      <c r="C2605" s="2">
        <v>3477.25</v>
      </c>
      <c r="D2605" s="2">
        <v>3474.4</v>
      </c>
      <c r="E2605" s="2">
        <v>3490.7</v>
      </c>
      <c r="F2605" s="2">
        <v>3465.8</v>
      </c>
      <c r="G2605" s="3">
        <f t="shared" si="122"/>
        <v>1.007556675062915E-3</v>
      </c>
      <c r="H2605" s="2">
        <f t="shared" si="120"/>
        <v>24.899999999999636</v>
      </c>
      <c r="I2605" s="3">
        <f t="shared" si="121"/>
        <v>7.1667050425971782E-3</v>
      </c>
    </row>
    <row r="2606" spans="2:9" x14ac:dyDescent="0.25">
      <c r="B2606" s="1">
        <v>38967</v>
      </c>
      <c r="C2606" s="2">
        <v>3454.55</v>
      </c>
      <c r="D2606" s="2">
        <v>3477.15</v>
      </c>
      <c r="E2606" s="2">
        <v>3478.85</v>
      </c>
      <c r="F2606" s="2">
        <v>3438.8</v>
      </c>
      <c r="G2606" s="3">
        <f t="shared" si="122"/>
        <v>-6.5281472427923815E-3</v>
      </c>
      <c r="H2606" s="2">
        <f t="shared" si="120"/>
        <v>40.049999999999727</v>
      </c>
      <c r="I2606" s="3">
        <f t="shared" si="121"/>
        <v>1.151805357836151E-2</v>
      </c>
    </row>
    <row r="2607" spans="2:9" x14ac:dyDescent="0.25">
      <c r="B2607" s="1">
        <v>38968</v>
      </c>
      <c r="C2607" s="2">
        <v>3471.45</v>
      </c>
      <c r="D2607" s="2">
        <v>3454.65</v>
      </c>
      <c r="E2607" s="2">
        <v>3477.95</v>
      </c>
      <c r="F2607" s="2">
        <v>3442.85</v>
      </c>
      <c r="G2607" s="3">
        <f t="shared" si="122"/>
        <v>4.8920988261855758E-3</v>
      </c>
      <c r="H2607" s="2">
        <f t="shared" si="120"/>
        <v>35.099999999999909</v>
      </c>
      <c r="I2607" s="3">
        <f t="shared" si="121"/>
        <v>1.0160218835482585E-2</v>
      </c>
    </row>
    <row r="2608" spans="2:9" x14ac:dyDescent="0.25">
      <c r="B2608" s="1">
        <v>38971</v>
      </c>
      <c r="C2608" s="2">
        <v>3366.15</v>
      </c>
      <c r="D2608" s="2">
        <v>3470.35</v>
      </c>
      <c r="E2608" s="2">
        <v>3486.65</v>
      </c>
      <c r="F2608" s="2">
        <v>3351.3</v>
      </c>
      <c r="G2608" s="3">
        <f t="shared" si="122"/>
        <v>-3.0333146091690688E-2</v>
      </c>
      <c r="H2608" s="2">
        <f t="shared" si="120"/>
        <v>135.34999999999991</v>
      </c>
      <c r="I2608" s="3">
        <f t="shared" si="121"/>
        <v>3.9001829786620923E-2</v>
      </c>
    </row>
    <row r="2609" spans="2:9" x14ac:dyDescent="0.25">
      <c r="B2609" s="1">
        <v>38972</v>
      </c>
      <c r="C2609" s="2">
        <v>3389.9</v>
      </c>
      <c r="D2609" s="2">
        <v>3363.3</v>
      </c>
      <c r="E2609" s="2">
        <v>3395.05</v>
      </c>
      <c r="F2609" s="2">
        <v>3328.45</v>
      </c>
      <c r="G2609" s="3">
        <f t="shared" si="122"/>
        <v>7.0555382261634492E-3</v>
      </c>
      <c r="H2609" s="2">
        <f t="shared" si="120"/>
        <v>66.600000000000364</v>
      </c>
      <c r="I2609" s="3">
        <f t="shared" si="121"/>
        <v>1.980198019801991E-2</v>
      </c>
    </row>
    <row r="2610" spans="2:9" x14ac:dyDescent="0.25">
      <c r="B2610" s="1">
        <v>38973</v>
      </c>
      <c r="C2610" s="2">
        <v>3454.55</v>
      </c>
      <c r="D2610" s="2">
        <v>3389.85</v>
      </c>
      <c r="E2610" s="2">
        <v>3470.65</v>
      </c>
      <c r="F2610" s="2">
        <v>3389.8</v>
      </c>
      <c r="G2610" s="3">
        <f t="shared" si="122"/>
        <v>1.9071359037139857E-2</v>
      </c>
      <c r="H2610" s="2">
        <f t="shared" si="120"/>
        <v>80.849999999999909</v>
      </c>
      <c r="I2610" s="3">
        <f t="shared" si="121"/>
        <v>2.3850612858976036E-2</v>
      </c>
    </row>
    <row r="2611" spans="2:9" x14ac:dyDescent="0.25">
      <c r="B2611" s="1">
        <v>38974</v>
      </c>
      <c r="C2611" s="2">
        <v>3471.6</v>
      </c>
      <c r="D2611" s="2">
        <v>3454.6</v>
      </c>
      <c r="E2611" s="2">
        <v>3484</v>
      </c>
      <c r="F2611" s="2">
        <v>3454.6</v>
      </c>
      <c r="G2611" s="3">
        <f t="shared" si="122"/>
        <v>4.9355198216842755E-3</v>
      </c>
      <c r="H2611" s="2">
        <f t="shared" si="120"/>
        <v>29.400000000000091</v>
      </c>
      <c r="I2611" s="3">
        <f t="shared" si="121"/>
        <v>8.5103919411799022E-3</v>
      </c>
    </row>
    <row r="2612" spans="2:9" x14ac:dyDescent="0.25">
      <c r="B2612" s="1">
        <v>38975</v>
      </c>
      <c r="C2612" s="2">
        <v>3478.6</v>
      </c>
      <c r="D2612" s="2">
        <v>3471.65</v>
      </c>
      <c r="E2612" s="2">
        <v>3487.45</v>
      </c>
      <c r="F2612" s="2">
        <v>3434.55</v>
      </c>
      <c r="G2612" s="3">
        <f t="shared" si="122"/>
        <v>2.0163613319506002E-3</v>
      </c>
      <c r="H2612" s="2">
        <f t="shared" si="120"/>
        <v>52.899999999999636</v>
      </c>
      <c r="I2612" s="3">
        <f t="shared" si="121"/>
        <v>1.5237711174801502E-2</v>
      </c>
    </row>
    <row r="2613" spans="2:9" x14ac:dyDescent="0.25">
      <c r="B2613" s="1">
        <v>38978</v>
      </c>
      <c r="C2613" s="2">
        <v>3492.75</v>
      </c>
      <c r="D2613" s="2">
        <v>3478.65</v>
      </c>
      <c r="E2613" s="2">
        <v>3506.2</v>
      </c>
      <c r="F2613" s="2">
        <v>3478.4</v>
      </c>
      <c r="G2613" s="3">
        <f t="shared" si="122"/>
        <v>4.0677283964813959E-3</v>
      </c>
      <c r="H2613" s="2">
        <f t="shared" si="120"/>
        <v>27.799999999999727</v>
      </c>
      <c r="I2613" s="3">
        <f t="shared" si="121"/>
        <v>7.9916059390854853E-3</v>
      </c>
    </row>
    <row r="2614" spans="2:9" x14ac:dyDescent="0.25">
      <c r="B2614" s="1">
        <v>38979</v>
      </c>
      <c r="C2614" s="2">
        <v>3457.35</v>
      </c>
      <c r="D2614" s="2">
        <v>3493.5</v>
      </c>
      <c r="E2614" s="2">
        <v>3514.95</v>
      </c>
      <c r="F2614" s="2">
        <v>3438.8</v>
      </c>
      <c r="G2614" s="3">
        <f t="shared" si="122"/>
        <v>-1.0135280223319776E-2</v>
      </c>
      <c r="H2614" s="2">
        <f t="shared" si="120"/>
        <v>76.149999999999636</v>
      </c>
      <c r="I2614" s="3">
        <f t="shared" si="121"/>
        <v>2.1797624159152609E-2</v>
      </c>
    </row>
    <row r="2615" spans="2:9" x14ac:dyDescent="0.25">
      <c r="B2615" s="1">
        <v>38980</v>
      </c>
      <c r="C2615" s="2">
        <v>3502.8</v>
      </c>
      <c r="D2615" s="2">
        <v>3457.85</v>
      </c>
      <c r="E2615" s="2">
        <v>3509.85</v>
      </c>
      <c r="F2615" s="2">
        <v>3419.75</v>
      </c>
      <c r="G2615" s="3">
        <f t="shared" si="122"/>
        <v>1.3145906546921937E-2</v>
      </c>
      <c r="H2615" s="2">
        <f t="shared" si="120"/>
        <v>90.099999999999909</v>
      </c>
      <c r="I2615" s="3">
        <f t="shared" si="121"/>
        <v>2.605665370099915E-2</v>
      </c>
    </row>
    <row r="2616" spans="2:9" x14ac:dyDescent="0.25">
      <c r="B2616" s="1">
        <v>38981</v>
      </c>
      <c r="C2616" s="2">
        <v>3553.05</v>
      </c>
      <c r="D2616" s="2">
        <v>3506.7</v>
      </c>
      <c r="E2616" s="2">
        <v>3556.35</v>
      </c>
      <c r="F2616" s="2">
        <v>3506.7</v>
      </c>
      <c r="G2616" s="3">
        <f t="shared" si="122"/>
        <v>1.4345666324083517E-2</v>
      </c>
      <c r="H2616" s="2">
        <f t="shared" si="120"/>
        <v>49.650000000000091</v>
      </c>
      <c r="I2616" s="3">
        <f t="shared" si="121"/>
        <v>1.4158610659594516E-2</v>
      </c>
    </row>
    <row r="2617" spans="2:9" x14ac:dyDescent="0.25">
      <c r="B2617" s="1">
        <v>38982</v>
      </c>
      <c r="C2617" s="2">
        <v>3544.05</v>
      </c>
      <c r="D2617" s="2">
        <v>3554.05</v>
      </c>
      <c r="E2617" s="2">
        <v>3562.45</v>
      </c>
      <c r="F2617" s="2">
        <v>3525.4</v>
      </c>
      <c r="G2617" s="3">
        <f t="shared" si="122"/>
        <v>-2.5330349981002032E-3</v>
      </c>
      <c r="H2617" s="2">
        <f t="shared" si="120"/>
        <v>37.049999999999727</v>
      </c>
      <c r="I2617" s="3">
        <f t="shared" si="121"/>
        <v>1.0424726720220516E-2</v>
      </c>
    </row>
    <row r="2618" spans="2:9" x14ac:dyDescent="0.25">
      <c r="B2618" s="1">
        <v>38985</v>
      </c>
      <c r="C2618" s="2">
        <v>3523.45</v>
      </c>
      <c r="D2618" s="2">
        <v>3545.1</v>
      </c>
      <c r="E2618" s="2">
        <v>3568.65</v>
      </c>
      <c r="F2618" s="2">
        <v>3514.85</v>
      </c>
      <c r="G2618" s="3">
        <f t="shared" si="122"/>
        <v>-5.8125590778912439E-3</v>
      </c>
      <c r="H2618" s="2">
        <f t="shared" si="120"/>
        <v>53.800000000000182</v>
      </c>
      <c r="I2618" s="3">
        <f t="shared" si="121"/>
        <v>1.5175876562015227E-2</v>
      </c>
    </row>
    <row r="2619" spans="2:9" x14ac:dyDescent="0.25">
      <c r="B2619" s="1">
        <v>38986</v>
      </c>
      <c r="C2619" s="2">
        <v>3571.75</v>
      </c>
      <c r="D2619" s="2">
        <v>3523.7</v>
      </c>
      <c r="E2619" s="2">
        <v>3576.75</v>
      </c>
      <c r="F2619" s="2">
        <v>3517.15</v>
      </c>
      <c r="G2619" s="3">
        <f t="shared" si="122"/>
        <v>1.3708155359094087E-2</v>
      </c>
      <c r="H2619" s="2">
        <f t="shared" si="120"/>
        <v>59.599999999999909</v>
      </c>
      <c r="I2619" s="3">
        <f t="shared" si="121"/>
        <v>1.69140392201379E-2</v>
      </c>
    </row>
    <row r="2620" spans="2:9" x14ac:dyDescent="0.25">
      <c r="B2620" s="1">
        <v>38987</v>
      </c>
      <c r="C2620" s="2">
        <v>3579.3</v>
      </c>
      <c r="D2620" s="2">
        <v>3571.75</v>
      </c>
      <c r="E2620" s="2">
        <v>3603.7</v>
      </c>
      <c r="F2620" s="2">
        <v>3568.4</v>
      </c>
      <c r="G2620" s="3">
        <f t="shared" si="122"/>
        <v>2.1138097571218317E-3</v>
      </c>
      <c r="H2620" s="2">
        <f t="shared" si="120"/>
        <v>35.299999999999727</v>
      </c>
      <c r="I2620" s="3">
        <f t="shared" si="121"/>
        <v>9.8831105200531191E-3</v>
      </c>
    </row>
    <row r="2621" spans="2:9" x14ac:dyDescent="0.25">
      <c r="B2621" s="1">
        <v>38988</v>
      </c>
      <c r="C2621" s="2">
        <v>3571.75</v>
      </c>
      <c r="D2621" s="2">
        <v>3579.95</v>
      </c>
      <c r="E2621" s="2">
        <v>3589.3</v>
      </c>
      <c r="F2621" s="2">
        <v>3560.75</v>
      </c>
      <c r="G2621" s="3">
        <f t="shared" si="122"/>
        <v>-2.1093509904172025E-3</v>
      </c>
      <c r="H2621" s="2">
        <f t="shared" si="120"/>
        <v>28.550000000000182</v>
      </c>
      <c r="I2621" s="3">
        <f t="shared" si="121"/>
        <v>7.9749717174821388E-3</v>
      </c>
    </row>
    <row r="2622" spans="2:9" x14ac:dyDescent="0.25">
      <c r="B2622" s="1">
        <v>38989</v>
      </c>
      <c r="C2622" s="2">
        <v>3588.4</v>
      </c>
      <c r="D2622" s="2">
        <v>3572.15</v>
      </c>
      <c r="E2622" s="2">
        <v>3599.8</v>
      </c>
      <c r="F2622" s="2">
        <v>3564.7</v>
      </c>
      <c r="G2622" s="3">
        <f t="shared" si="122"/>
        <v>4.6615804577587738E-3</v>
      </c>
      <c r="H2622" s="2">
        <f t="shared" si="120"/>
        <v>35.100000000000364</v>
      </c>
      <c r="I2622" s="3">
        <f t="shared" si="121"/>
        <v>9.8260151449408237E-3</v>
      </c>
    </row>
    <row r="2623" spans="2:9" x14ac:dyDescent="0.25">
      <c r="B2623" s="1">
        <v>38993</v>
      </c>
      <c r="C2623" s="2">
        <v>3569.6</v>
      </c>
      <c r="D2623" s="2">
        <v>3588.95</v>
      </c>
      <c r="E2623" s="2">
        <v>3606.2</v>
      </c>
      <c r="F2623" s="2">
        <v>3561.7</v>
      </c>
      <c r="G2623" s="3">
        <f t="shared" si="122"/>
        <v>-5.2391037788429573E-3</v>
      </c>
      <c r="H2623" s="2">
        <f t="shared" si="120"/>
        <v>44.5</v>
      </c>
      <c r="I2623" s="3">
        <f t="shared" si="121"/>
        <v>1.2399169673581411E-2</v>
      </c>
    </row>
    <row r="2624" spans="2:9" x14ac:dyDescent="0.25">
      <c r="B2624" s="1">
        <v>38994</v>
      </c>
      <c r="C2624" s="2">
        <v>3515.35</v>
      </c>
      <c r="D2624" s="2">
        <v>3570.95</v>
      </c>
      <c r="E2624" s="2">
        <v>3580.05</v>
      </c>
      <c r="F2624" s="2">
        <v>3508.65</v>
      </c>
      <c r="G2624" s="3">
        <f t="shared" si="122"/>
        <v>-1.5197781264007171E-2</v>
      </c>
      <c r="H2624" s="2">
        <f t="shared" si="120"/>
        <v>71.400000000000091</v>
      </c>
      <c r="I2624" s="3">
        <f t="shared" si="121"/>
        <v>1.9994679287024489E-2</v>
      </c>
    </row>
    <row r="2625" spans="2:9" x14ac:dyDescent="0.25">
      <c r="B2625" s="1">
        <v>38995</v>
      </c>
      <c r="C2625" s="2">
        <v>3564.9</v>
      </c>
      <c r="D2625" s="2">
        <v>3515.6</v>
      </c>
      <c r="E2625" s="2">
        <v>3574.95</v>
      </c>
      <c r="F2625" s="2">
        <v>3515.6</v>
      </c>
      <c r="G2625" s="3">
        <f t="shared" si="122"/>
        <v>1.4095324789850316E-2</v>
      </c>
      <c r="H2625" s="2">
        <f t="shared" si="120"/>
        <v>59.349999999999909</v>
      </c>
      <c r="I2625" s="3">
        <f t="shared" si="121"/>
        <v>1.6881897826828966E-2</v>
      </c>
    </row>
    <row r="2626" spans="2:9" x14ac:dyDescent="0.25">
      <c r="B2626" s="1">
        <v>38996</v>
      </c>
      <c r="C2626" s="2">
        <v>3569.7</v>
      </c>
      <c r="D2626" s="2">
        <v>3565.45</v>
      </c>
      <c r="E2626" s="2">
        <v>3583.75</v>
      </c>
      <c r="F2626" s="2">
        <v>3560.9</v>
      </c>
      <c r="G2626" s="3">
        <f t="shared" si="122"/>
        <v>1.3464613313136642E-3</v>
      </c>
      <c r="H2626" s="2">
        <f t="shared" si="120"/>
        <v>22.849999999999909</v>
      </c>
      <c r="I2626" s="3">
        <f t="shared" si="121"/>
        <v>6.408728211025231E-3</v>
      </c>
    </row>
    <row r="2627" spans="2:9" x14ac:dyDescent="0.25">
      <c r="B2627" s="1">
        <v>38999</v>
      </c>
      <c r="C2627" s="2">
        <v>3567.15</v>
      </c>
      <c r="D2627" s="2">
        <v>3570.05</v>
      </c>
      <c r="E2627" s="2">
        <v>3585.35</v>
      </c>
      <c r="F2627" s="2">
        <v>3540.45</v>
      </c>
      <c r="G2627" s="3">
        <f t="shared" si="122"/>
        <v>-7.1434574333972822E-4</v>
      </c>
      <c r="H2627" s="2">
        <f t="shared" si="120"/>
        <v>44.900000000000091</v>
      </c>
      <c r="I2627" s="3">
        <f t="shared" si="121"/>
        <v>1.2576854665901062E-2</v>
      </c>
    </row>
    <row r="2628" spans="2:9" x14ac:dyDescent="0.25">
      <c r="B2628" s="1">
        <v>39000</v>
      </c>
      <c r="C2628" s="2">
        <v>3571.05</v>
      </c>
      <c r="D2628" s="2">
        <v>3567.45</v>
      </c>
      <c r="E2628" s="2">
        <v>3597.2</v>
      </c>
      <c r="F2628" s="2">
        <v>3563.1</v>
      </c>
      <c r="G2628" s="3">
        <f t="shared" si="122"/>
        <v>1.0933097851226758E-3</v>
      </c>
      <c r="H2628" s="2">
        <f t="shared" si="120"/>
        <v>34.099999999999909</v>
      </c>
      <c r="I2628" s="3">
        <f t="shared" si="121"/>
        <v>9.5586483342443226E-3</v>
      </c>
    </row>
    <row r="2629" spans="2:9" x14ac:dyDescent="0.25">
      <c r="B2629" s="1">
        <v>39001</v>
      </c>
      <c r="C2629" s="2">
        <v>3558.55</v>
      </c>
      <c r="D2629" s="2">
        <v>3581.55</v>
      </c>
      <c r="E2629" s="2">
        <v>3614.5</v>
      </c>
      <c r="F2629" s="2">
        <v>3544.25</v>
      </c>
      <c r="G2629" s="3">
        <f t="shared" si="122"/>
        <v>-3.5003710393302079E-3</v>
      </c>
      <c r="H2629" s="2">
        <f t="shared" ref="H2629:H2692" si="123">E2629-F2629</f>
        <v>70.25</v>
      </c>
      <c r="I2629" s="3">
        <f t="shared" si="121"/>
        <v>1.9614412754254441E-2</v>
      </c>
    </row>
    <row r="2630" spans="2:9" x14ac:dyDescent="0.25">
      <c r="B2630" s="1">
        <v>39002</v>
      </c>
      <c r="C2630" s="2">
        <v>3621.05</v>
      </c>
      <c r="D2630" s="2">
        <v>3562.55</v>
      </c>
      <c r="E2630" s="2">
        <v>3626.8</v>
      </c>
      <c r="F2630" s="2">
        <v>3545.95</v>
      </c>
      <c r="G2630" s="3">
        <f t="shared" si="122"/>
        <v>1.75633333801688E-2</v>
      </c>
      <c r="H2630" s="2">
        <f t="shared" si="123"/>
        <v>80.850000000000364</v>
      </c>
      <c r="I2630" s="3">
        <f t="shared" ref="I2630:I2693" si="124">H2630/D2630</f>
        <v>2.2694418323953448E-2</v>
      </c>
    </row>
    <row r="2631" spans="2:9" x14ac:dyDescent="0.25">
      <c r="B2631" s="1">
        <v>39003</v>
      </c>
      <c r="C2631" s="2">
        <v>3676.05</v>
      </c>
      <c r="D2631" s="2">
        <v>3621.65</v>
      </c>
      <c r="E2631" s="2">
        <v>3682.35</v>
      </c>
      <c r="F2631" s="2">
        <v>3621.65</v>
      </c>
      <c r="G2631" s="3">
        <f t="shared" ref="G2631:G2694" si="125">C2631/C2630-1</f>
        <v>1.5188964526863691E-2</v>
      </c>
      <c r="H2631" s="2">
        <f t="shared" si="123"/>
        <v>60.699999999999818</v>
      </c>
      <c r="I2631" s="3">
        <f t="shared" si="124"/>
        <v>1.6760316430356279E-2</v>
      </c>
    </row>
    <row r="2632" spans="2:9" x14ac:dyDescent="0.25">
      <c r="B2632" s="1">
        <v>39006</v>
      </c>
      <c r="C2632" s="2">
        <v>3723.95</v>
      </c>
      <c r="D2632" s="2">
        <v>3668.9</v>
      </c>
      <c r="E2632" s="2">
        <v>3729.7</v>
      </c>
      <c r="F2632" s="2">
        <v>3668.9</v>
      </c>
      <c r="G2632" s="3">
        <f t="shared" si="125"/>
        <v>1.3030290665251965E-2</v>
      </c>
      <c r="H2632" s="2">
        <f t="shared" si="123"/>
        <v>60.799999999999727</v>
      </c>
      <c r="I2632" s="3">
        <f t="shared" si="124"/>
        <v>1.6571724495080195E-2</v>
      </c>
    </row>
    <row r="2633" spans="2:9" x14ac:dyDescent="0.25">
      <c r="B2633" s="1">
        <v>39007</v>
      </c>
      <c r="C2633" s="2">
        <v>3715</v>
      </c>
      <c r="D2633" s="2">
        <v>3726.4</v>
      </c>
      <c r="E2633" s="2">
        <v>3742.5</v>
      </c>
      <c r="F2633" s="2">
        <v>3691.35</v>
      </c>
      <c r="G2633" s="3">
        <f t="shared" si="125"/>
        <v>-2.4033620215093698E-3</v>
      </c>
      <c r="H2633" s="2">
        <f t="shared" si="123"/>
        <v>51.150000000000091</v>
      </c>
      <c r="I2633" s="3">
        <f t="shared" si="124"/>
        <v>1.3726384714469754E-2</v>
      </c>
    </row>
    <row r="2634" spans="2:9" x14ac:dyDescent="0.25">
      <c r="B2634" s="1">
        <v>39008</v>
      </c>
      <c r="C2634" s="2">
        <v>3710.65</v>
      </c>
      <c r="D2634" s="2">
        <v>3715.2</v>
      </c>
      <c r="E2634" s="2">
        <v>3727</v>
      </c>
      <c r="F2634" s="2">
        <v>3701.3</v>
      </c>
      <c r="G2634" s="3">
        <f t="shared" si="125"/>
        <v>-1.1709286675638531E-3</v>
      </c>
      <c r="H2634" s="2">
        <f t="shared" si="123"/>
        <v>25.699999999999818</v>
      </c>
      <c r="I2634" s="3">
        <f t="shared" si="124"/>
        <v>6.9175279931093401E-3</v>
      </c>
    </row>
    <row r="2635" spans="2:9" x14ac:dyDescent="0.25">
      <c r="B2635" s="1">
        <v>39009</v>
      </c>
      <c r="C2635" s="2">
        <v>3677.8</v>
      </c>
      <c r="D2635" s="2">
        <v>3711.1</v>
      </c>
      <c r="E2635" s="2">
        <v>3726.95</v>
      </c>
      <c r="F2635" s="2">
        <v>3655.05</v>
      </c>
      <c r="G2635" s="3">
        <f t="shared" si="125"/>
        <v>-8.8528963928152793E-3</v>
      </c>
      <c r="H2635" s="2">
        <f t="shared" si="123"/>
        <v>71.899999999999636</v>
      </c>
      <c r="I2635" s="3">
        <f t="shared" si="124"/>
        <v>1.9374309503920571E-2</v>
      </c>
    </row>
    <row r="2636" spans="2:9" x14ac:dyDescent="0.25">
      <c r="B2636" s="1">
        <v>39010</v>
      </c>
      <c r="C2636" s="2">
        <v>3676.85</v>
      </c>
      <c r="D2636" s="2">
        <v>3678.75</v>
      </c>
      <c r="E2636" s="2">
        <v>3714.25</v>
      </c>
      <c r="F2636" s="2">
        <v>3665.5</v>
      </c>
      <c r="G2636" s="3">
        <f t="shared" si="125"/>
        <v>-2.5830659633485631E-4</v>
      </c>
      <c r="H2636" s="2">
        <f t="shared" si="123"/>
        <v>48.75</v>
      </c>
      <c r="I2636" s="3">
        <f t="shared" si="124"/>
        <v>1.3251783893985729E-2</v>
      </c>
    </row>
    <row r="2637" spans="2:9" x14ac:dyDescent="0.25">
      <c r="B2637" s="1">
        <v>39011</v>
      </c>
      <c r="C2637" s="2">
        <v>3683.5</v>
      </c>
      <c r="D2637" s="2">
        <v>3680.85</v>
      </c>
      <c r="E2637" s="2">
        <v>3708.4</v>
      </c>
      <c r="F2637" s="2">
        <v>3662.85</v>
      </c>
      <c r="G2637" s="3">
        <f t="shared" si="125"/>
        <v>1.8086133511021618E-3</v>
      </c>
      <c r="H2637" s="2">
        <f t="shared" si="123"/>
        <v>45.550000000000182</v>
      </c>
      <c r="I2637" s="3">
        <f t="shared" si="124"/>
        <v>1.2374859067878392E-2</v>
      </c>
    </row>
    <row r="2638" spans="2:9" x14ac:dyDescent="0.25">
      <c r="B2638" s="1">
        <v>39013</v>
      </c>
      <c r="C2638" s="2">
        <v>3657.3</v>
      </c>
      <c r="D2638" s="2">
        <v>3683.4</v>
      </c>
      <c r="E2638" s="2">
        <v>3690.85</v>
      </c>
      <c r="F2638" s="2">
        <v>3651.2</v>
      </c>
      <c r="G2638" s="3">
        <f t="shared" si="125"/>
        <v>-7.1128003257771022E-3</v>
      </c>
      <c r="H2638" s="2">
        <f t="shared" si="123"/>
        <v>39.650000000000091</v>
      </c>
      <c r="I2638" s="3">
        <f t="shared" si="124"/>
        <v>1.0764511049573787E-2</v>
      </c>
    </row>
    <row r="2639" spans="2:9" x14ac:dyDescent="0.25">
      <c r="B2639" s="1">
        <v>39016</v>
      </c>
      <c r="C2639" s="2">
        <v>3677.55</v>
      </c>
      <c r="D2639" s="2">
        <v>3656.2</v>
      </c>
      <c r="E2639" s="2">
        <v>3686.85</v>
      </c>
      <c r="F2639" s="2">
        <v>3651.2</v>
      </c>
      <c r="G2639" s="3">
        <f t="shared" si="125"/>
        <v>5.5368714625543269E-3</v>
      </c>
      <c r="H2639" s="2">
        <f t="shared" si="123"/>
        <v>35.650000000000091</v>
      </c>
      <c r="I2639" s="3">
        <f t="shared" si="124"/>
        <v>9.7505606914282845E-3</v>
      </c>
    </row>
    <row r="2640" spans="2:9" x14ac:dyDescent="0.25">
      <c r="B2640" s="1">
        <v>39017</v>
      </c>
      <c r="C2640" s="2">
        <v>3739.35</v>
      </c>
      <c r="D2640" s="2">
        <v>3676.85</v>
      </c>
      <c r="E2640" s="2">
        <v>3747.35</v>
      </c>
      <c r="F2640" s="2">
        <v>3674.8</v>
      </c>
      <c r="G2640" s="3">
        <f t="shared" si="125"/>
        <v>1.6804666150018299E-2</v>
      </c>
      <c r="H2640" s="2">
        <f t="shared" si="123"/>
        <v>72.549999999999727</v>
      </c>
      <c r="I2640" s="3">
        <f t="shared" si="124"/>
        <v>1.9731563702625816E-2</v>
      </c>
    </row>
    <row r="2641" spans="2:9" x14ac:dyDescent="0.25">
      <c r="B2641" s="1">
        <v>39020</v>
      </c>
      <c r="C2641" s="2">
        <v>3769.1</v>
      </c>
      <c r="D2641" s="2">
        <v>3739.35</v>
      </c>
      <c r="E2641" s="2">
        <v>3776.05</v>
      </c>
      <c r="F2641" s="2">
        <v>3719.45</v>
      </c>
      <c r="G2641" s="3">
        <f t="shared" si="125"/>
        <v>7.9559281693342143E-3</v>
      </c>
      <c r="H2641" s="2">
        <f t="shared" si="123"/>
        <v>56.600000000000364</v>
      </c>
      <c r="I2641" s="3">
        <f t="shared" si="124"/>
        <v>1.5136320483506589E-2</v>
      </c>
    </row>
    <row r="2642" spans="2:9" x14ac:dyDescent="0.25">
      <c r="B2642" s="1">
        <v>39021</v>
      </c>
      <c r="C2642" s="2">
        <v>3744.1</v>
      </c>
      <c r="D2642" s="2">
        <v>3770.5</v>
      </c>
      <c r="E2642" s="2">
        <v>3782.85</v>
      </c>
      <c r="F2642" s="2">
        <v>3726.75</v>
      </c>
      <c r="G2642" s="3">
        <f t="shared" si="125"/>
        <v>-6.632883181661442E-3</v>
      </c>
      <c r="H2642" s="2">
        <f t="shared" si="123"/>
        <v>56.099999999999909</v>
      </c>
      <c r="I2642" s="3">
        <f t="shared" si="124"/>
        <v>1.4878663307253655E-2</v>
      </c>
    </row>
    <row r="2643" spans="2:9" x14ac:dyDescent="0.25">
      <c r="B2643" s="1">
        <v>39022</v>
      </c>
      <c r="C2643" s="2">
        <v>3767.05</v>
      </c>
      <c r="D2643" s="2">
        <v>3744.1</v>
      </c>
      <c r="E2643" s="2">
        <v>3777.7</v>
      </c>
      <c r="F2643" s="2">
        <v>3737</v>
      </c>
      <c r="G2643" s="3">
        <f t="shared" si="125"/>
        <v>6.1296439731846064E-3</v>
      </c>
      <c r="H2643" s="2">
        <f t="shared" si="123"/>
        <v>40.699999999999818</v>
      </c>
      <c r="I2643" s="3">
        <f t="shared" si="124"/>
        <v>1.0870436152880483E-2</v>
      </c>
    </row>
    <row r="2644" spans="2:9" x14ac:dyDescent="0.25">
      <c r="B2644" s="1">
        <v>39023</v>
      </c>
      <c r="C2644" s="2">
        <v>3791.2</v>
      </c>
      <c r="D2644" s="2">
        <v>3769.4</v>
      </c>
      <c r="E2644" s="2">
        <v>3805.5</v>
      </c>
      <c r="F2644" s="2">
        <v>3761.9</v>
      </c>
      <c r="G2644" s="3">
        <f t="shared" si="125"/>
        <v>6.4108519929386709E-3</v>
      </c>
      <c r="H2644" s="2">
        <f t="shared" si="123"/>
        <v>43.599999999999909</v>
      </c>
      <c r="I2644" s="3">
        <f t="shared" si="124"/>
        <v>1.1566827611821486E-2</v>
      </c>
    </row>
    <row r="2645" spans="2:9" x14ac:dyDescent="0.25">
      <c r="B2645" s="1">
        <v>39024</v>
      </c>
      <c r="C2645" s="2">
        <v>3805.35</v>
      </c>
      <c r="D2645" s="2">
        <v>3793.05</v>
      </c>
      <c r="E2645" s="2">
        <v>3809.65</v>
      </c>
      <c r="F2645" s="2">
        <v>3771</v>
      </c>
      <c r="G2645" s="3">
        <f t="shared" si="125"/>
        <v>3.7323274952520968E-3</v>
      </c>
      <c r="H2645" s="2">
        <f t="shared" si="123"/>
        <v>38.650000000000091</v>
      </c>
      <c r="I2645" s="3">
        <f t="shared" si="124"/>
        <v>1.0189689036527356E-2</v>
      </c>
    </row>
    <row r="2646" spans="2:9" x14ac:dyDescent="0.25">
      <c r="B2646" s="1">
        <v>39027</v>
      </c>
      <c r="C2646" s="2">
        <v>3809.25</v>
      </c>
      <c r="D2646" s="2">
        <v>3804.75</v>
      </c>
      <c r="E2646" s="2">
        <v>3822.4</v>
      </c>
      <c r="F2646" s="2">
        <v>3798.25</v>
      </c>
      <c r="G2646" s="3">
        <f t="shared" si="125"/>
        <v>1.0248728763451176E-3</v>
      </c>
      <c r="H2646" s="2">
        <f t="shared" si="123"/>
        <v>24.150000000000091</v>
      </c>
      <c r="I2646" s="3">
        <f t="shared" si="124"/>
        <v>6.3473289966489493E-3</v>
      </c>
    </row>
    <row r="2647" spans="2:9" x14ac:dyDescent="0.25">
      <c r="B2647" s="1">
        <v>39028</v>
      </c>
      <c r="C2647" s="2">
        <v>3798.75</v>
      </c>
      <c r="D2647" s="2">
        <v>3812.15</v>
      </c>
      <c r="E2647" s="2">
        <v>3840.45</v>
      </c>
      <c r="F2647" s="2">
        <v>3789.4</v>
      </c>
      <c r="G2647" s="3">
        <f t="shared" si="125"/>
        <v>-2.7564481197086543E-3</v>
      </c>
      <c r="H2647" s="2">
        <f t="shared" si="123"/>
        <v>51.049999999999727</v>
      </c>
      <c r="I2647" s="3">
        <f t="shared" si="124"/>
        <v>1.3391393308238062E-2</v>
      </c>
    </row>
    <row r="2648" spans="2:9" x14ac:dyDescent="0.25">
      <c r="B2648" s="1">
        <v>39029</v>
      </c>
      <c r="C2648" s="2">
        <v>3777.3</v>
      </c>
      <c r="D2648" s="2">
        <v>3799.2</v>
      </c>
      <c r="E2648" s="2">
        <v>3809.95</v>
      </c>
      <c r="F2648" s="2">
        <v>3737.2</v>
      </c>
      <c r="G2648" s="3">
        <f t="shared" si="125"/>
        <v>-5.6465942744323705E-3</v>
      </c>
      <c r="H2648" s="2">
        <f t="shared" si="123"/>
        <v>72.75</v>
      </c>
      <c r="I2648" s="3">
        <f t="shared" si="124"/>
        <v>1.9148768161718257E-2</v>
      </c>
    </row>
    <row r="2649" spans="2:9" x14ac:dyDescent="0.25">
      <c r="B2649" s="1">
        <v>39030</v>
      </c>
      <c r="C2649" s="2">
        <v>3796.4</v>
      </c>
      <c r="D2649" s="2">
        <v>3777.8</v>
      </c>
      <c r="E2649" s="2">
        <v>3808.2</v>
      </c>
      <c r="F2649" s="2">
        <v>3769.8</v>
      </c>
      <c r="G2649" s="3">
        <f t="shared" si="125"/>
        <v>5.0565218542344414E-3</v>
      </c>
      <c r="H2649" s="2">
        <f t="shared" si="123"/>
        <v>38.399999999999636</v>
      </c>
      <c r="I2649" s="3">
        <f t="shared" si="124"/>
        <v>1.0164646090317019E-2</v>
      </c>
    </row>
    <row r="2650" spans="2:9" x14ac:dyDescent="0.25">
      <c r="B2650" s="1">
        <v>39031</v>
      </c>
      <c r="C2650" s="2">
        <v>3834.75</v>
      </c>
      <c r="D2650" s="2">
        <v>3796.05</v>
      </c>
      <c r="E2650" s="2">
        <v>3842.4</v>
      </c>
      <c r="F2650" s="2">
        <v>3785.4</v>
      </c>
      <c r="G2650" s="3">
        <f t="shared" si="125"/>
        <v>1.0101675271309674E-2</v>
      </c>
      <c r="H2650" s="2">
        <f t="shared" si="123"/>
        <v>57</v>
      </c>
      <c r="I2650" s="3">
        <f t="shared" si="124"/>
        <v>1.5015608329711147E-2</v>
      </c>
    </row>
    <row r="2651" spans="2:9" x14ac:dyDescent="0.25">
      <c r="B2651" s="1">
        <v>39034</v>
      </c>
      <c r="C2651" s="2">
        <v>3858.75</v>
      </c>
      <c r="D2651" s="2">
        <v>3834.8</v>
      </c>
      <c r="E2651" s="2">
        <v>3862.05</v>
      </c>
      <c r="F2651" s="2">
        <v>3834</v>
      </c>
      <c r="G2651" s="3">
        <f t="shared" si="125"/>
        <v>6.2585566203794407E-3</v>
      </c>
      <c r="H2651" s="2">
        <f t="shared" si="123"/>
        <v>28.050000000000182</v>
      </c>
      <c r="I2651" s="3">
        <f t="shared" si="124"/>
        <v>7.314592677584276E-3</v>
      </c>
    </row>
    <row r="2652" spans="2:9" x14ac:dyDescent="0.25">
      <c r="B2652" s="1">
        <v>39035</v>
      </c>
      <c r="C2652" s="2">
        <v>3865.9</v>
      </c>
      <c r="D2652" s="2">
        <v>3862</v>
      </c>
      <c r="E2652" s="2">
        <v>3883</v>
      </c>
      <c r="F2652" s="2">
        <v>3850.75</v>
      </c>
      <c r="G2652" s="3">
        <f t="shared" si="125"/>
        <v>1.8529316488500314E-3</v>
      </c>
      <c r="H2652" s="2">
        <f t="shared" si="123"/>
        <v>32.25</v>
      </c>
      <c r="I2652" s="3">
        <f t="shared" si="124"/>
        <v>8.3505955463490412E-3</v>
      </c>
    </row>
    <row r="2653" spans="2:9" x14ac:dyDescent="0.25">
      <c r="B2653" s="1">
        <v>39036</v>
      </c>
      <c r="C2653" s="2">
        <v>3876.3</v>
      </c>
      <c r="D2653" s="2">
        <v>3865.95</v>
      </c>
      <c r="E2653" s="2">
        <v>3888.8</v>
      </c>
      <c r="F2653" s="2">
        <v>3838.25</v>
      </c>
      <c r="G2653" s="3">
        <f t="shared" si="125"/>
        <v>2.6901885718719765E-3</v>
      </c>
      <c r="H2653" s="2">
        <f t="shared" si="123"/>
        <v>50.550000000000182</v>
      </c>
      <c r="I2653" s="3">
        <f t="shared" si="124"/>
        <v>1.3075699375315299E-2</v>
      </c>
    </row>
    <row r="2654" spans="2:9" x14ac:dyDescent="0.25">
      <c r="B2654" s="1">
        <v>39037</v>
      </c>
      <c r="C2654" s="2">
        <v>3876.85</v>
      </c>
      <c r="D2654" s="2">
        <v>3876.4</v>
      </c>
      <c r="E2654" s="2">
        <v>3900.4</v>
      </c>
      <c r="F2654" s="2">
        <v>3863.85</v>
      </c>
      <c r="G2654" s="3">
        <f t="shared" si="125"/>
        <v>1.4188788277480491E-4</v>
      </c>
      <c r="H2654" s="2">
        <f t="shared" si="123"/>
        <v>36.550000000000182</v>
      </c>
      <c r="I2654" s="3">
        <f t="shared" si="124"/>
        <v>9.4288515117119439E-3</v>
      </c>
    </row>
    <row r="2655" spans="2:9" x14ac:dyDescent="0.25">
      <c r="B2655" s="1">
        <v>39038</v>
      </c>
      <c r="C2655" s="2">
        <v>3852.8</v>
      </c>
      <c r="D2655" s="2">
        <v>3877</v>
      </c>
      <c r="E2655" s="2">
        <v>3891.85</v>
      </c>
      <c r="F2655" s="2">
        <v>3835.7</v>
      </c>
      <c r="G2655" s="3">
        <f t="shared" si="125"/>
        <v>-6.2034899467350302E-3</v>
      </c>
      <c r="H2655" s="2">
        <f t="shared" si="123"/>
        <v>56.150000000000091</v>
      </c>
      <c r="I2655" s="3">
        <f t="shared" si="124"/>
        <v>1.4482847562548386E-2</v>
      </c>
    </row>
    <row r="2656" spans="2:9" x14ac:dyDescent="0.25">
      <c r="B2656" s="1">
        <v>39041</v>
      </c>
      <c r="C2656" s="2">
        <v>3856.15</v>
      </c>
      <c r="D2656" s="2">
        <v>3852.65</v>
      </c>
      <c r="E2656" s="2">
        <v>3866.95</v>
      </c>
      <c r="F2656" s="2">
        <v>3794.3</v>
      </c>
      <c r="G2656" s="3">
        <f t="shared" si="125"/>
        <v>8.6949750830567218E-4</v>
      </c>
      <c r="H2656" s="2">
        <f t="shared" si="123"/>
        <v>72.649999999999636</v>
      </c>
      <c r="I2656" s="3">
        <f t="shared" si="124"/>
        <v>1.8857150273188489E-2</v>
      </c>
    </row>
    <row r="2657" spans="2:9" x14ac:dyDescent="0.25">
      <c r="B2657" s="1">
        <v>39042</v>
      </c>
      <c r="C2657" s="2">
        <v>3918.25</v>
      </c>
      <c r="D2657" s="2">
        <v>3859.5</v>
      </c>
      <c r="E2657" s="2">
        <v>3921.7</v>
      </c>
      <c r="F2657" s="2">
        <v>3856.75</v>
      </c>
      <c r="G2657" s="3">
        <f t="shared" si="125"/>
        <v>1.6104145326296893E-2</v>
      </c>
      <c r="H2657" s="2">
        <f t="shared" si="123"/>
        <v>64.949999999999818</v>
      </c>
      <c r="I2657" s="3">
        <f t="shared" si="124"/>
        <v>1.6828604741546786E-2</v>
      </c>
    </row>
    <row r="2658" spans="2:9" x14ac:dyDescent="0.25">
      <c r="B2658" s="1">
        <v>39043</v>
      </c>
      <c r="C2658" s="2">
        <v>3954.75</v>
      </c>
      <c r="D2658" s="2">
        <v>3918.3</v>
      </c>
      <c r="E2658" s="2">
        <v>3960</v>
      </c>
      <c r="F2658" s="2">
        <v>3909.6</v>
      </c>
      <c r="G2658" s="3">
        <f t="shared" si="125"/>
        <v>9.3153831429848566E-3</v>
      </c>
      <c r="H2658" s="2">
        <f t="shared" si="123"/>
        <v>50.400000000000091</v>
      </c>
      <c r="I2658" s="3">
        <f t="shared" si="124"/>
        <v>1.2862721078018551E-2</v>
      </c>
    </row>
    <row r="2659" spans="2:9" x14ac:dyDescent="0.25">
      <c r="B2659" s="1">
        <v>39044</v>
      </c>
      <c r="C2659" s="2">
        <v>3945.45</v>
      </c>
      <c r="D2659" s="2">
        <v>3955.3</v>
      </c>
      <c r="E2659" s="2">
        <v>3976.8</v>
      </c>
      <c r="F2659" s="2">
        <v>3933.7</v>
      </c>
      <c r="G2659" s="3">
        <f t="shared" si="125"/>
        <v>-2.3516025033188948E-3</v>
      </c>
      <c r="H2659" s="2">
        <f t="shared" si="123"/>
        <v>43.100000000000364</v>
      </c>
      <c r="I2659" s="3">
        <f t="shared" si="124"/>
        <v>1.0896771420625581E-2</v>
      </c>
    </row>
    <row r="2660" spans="2:9" x14ac:dyDescent="0.25">
      <c r="B2660" s="1">
        <v>39045</v>
      </c>
      <c r="C2660" s="2">
        <v>3950.85</v>
      </c>
      <c r="D2660" s="2">
        <v>3945.45</v>
      </c>
      <c r="E2660" s="2">
        <v>3965.8</v>
      </c>
      <c r="F2660" s="2">
        <v>3935.3</v>
      </c>
      <c r="G2660" s="3">
        <f t="shared" si="125"/>
        <v>1.368665171273209E-3</v>
      </c>
      <c r="H2660" s="2">
        <f t="shared" si="123"/>
        <v>30.5</v>
      </c>
      <c r="I2660" s="3">
        <f t="shared" si="124"/>
        <v>7.730423652561812E-3</v>
      </c>
    </row>
    <row r="2661" spans="2:9" x14ac:dyDescent="0.25">
      <c r="B2661" s="1">
        <v>39048</v>
      </c>
      <c r="C2661" s="2">
        <v>3968.9</v>
      </c>
      <c r="D2661" s="2">
        <v>3974.95</v>
      </c>
      <c r="E2661" s="2">
        <v>3974.95</v>
      </c>
      <c r="F2661" s="2">
        <v>3948.85</v>
      </c>
      <c r="G2661" s="3">
        <f t="shared" si="125"/>
        <v>4.568637128719244E-3</v>
      </c>
      <c r="H2661" s="2">
        <f t="shared" si="123"/>
        <v>26.099999999999909</v>
      </c>
      <c r="I2661" s="3">
        <f t="shared" si="124"/>
        <v>6.5661203285575691E-3</v>
      </c>
    </row>
    <row r="2662" spans="2:9" x14ac:dyDescent="0.25">
      <c r="B2662" s="1">
        <v>39049</v>
      </c>
      <c r="C2662" s="2">
        <v>3921.75</v>
      </c>
      <c r="D2662" s="2">
        <v>3966</v>
      </c>
      <c r="E2662" s="2">
        <v>3966</v>
      </c>
      <c r="F2662" s="2">
        <v>3911.55</v>
      </c>
      <c r="G2662" s="3">
        <f t="shared" si="125"/>
        <v>-1.1879865957822089E-2</v>
      </c>
      <c r="H2662" s="2">
        <f t="shared" si="123"/>
        <v>54.449999999999818</v>
      </c>
      <c r="I2662" s="3">
        <f t="shared" si="124"/>
        <v>1.3729198184568789E-2</v>
      </c>
    </row>
    <row r="2663" spans="2:9" x14ac:dyDescent="0.25">
      <c r="B2663" s="1">
        <v>39050</v>
      </c>
      <c r="C2663" s="2">
        <v>3928.2</v>
      </c>
      <c r="D2663" s="2">
        <v>3922.5</v>
      </c>
      <c r="E2663" s="2">
        <v>3952.4</v>
      </c>
      <c r="F2663" s="2">
        <v>3920</v>
      </c>
      <c r="G2663" s="3">
        <f t="shared" si="125"/>
        <v>1.6446739338304983E-3</v>
      </c>
      <c r="H2663" s="2">
        <f t="shared" si="123"/>
        <v>32.400000000000091</v>
      </c>
      <c r="I2663" s="3">
        <f t="shared" si="124"/>
        <v>8.2600382409178056E-3</v>
      </c>
    </row>
    <row r="2664" spans="2:9" x14ac:dyDescent="0.25">
      <c r="B2664" s="1">
        <v>39051</v>
      </c>
      <c r="C2664" s="2">
        <v>3954.5</v>
      </c>
      <c r="D2664" s="2">
        <v>3929.4</v>
      </c>
      <c r="E2664" s="2">
        <v>3973</v>
      </c>
      <c r="F2664" s="2">
        <v>3929.4</v>
      </c>
      <c r="G2664" s="3">
        <f t="shared" si="125"/>
        <v>6.6951784532356395E-3</v>
      </c>
      <c r="H2664" s="2">
        <f t="shared" si="123"/>
        <v>43.599999999999909</v>
      </c>
      <c r="I2664" s="3">
        <f t="shared" si="124"/>
        <v>1.1095841604316157E-2</v>
      </c>
    </row>
    <row r="2665" spans="2:9" x14ac:dyDescent="0.25">
      <c r="B2665" s="1">
        <v>39052</v>
      </c>
      <c r="C2665" s="2">
        <v>3997.6</v>
      </c>
      <c r="D2665" s="2">
        <v>3955.7</v>
      </c>
      <c r="E2665" s="2">
        <v>4001.3</v>
      </c>
      <c r="F2665" s="2">
        <v>3953.95</v>
      </c>
      <c r="G2665" s="3">
        <f t="shared" si="125"/>
        <v>1.0898975850297088E-2</v>
      </c>
      <c r="H2665" s="2">
        <f t="shared" si="123"/>
        <v>47.350000000000364</v>
      </c>
      <c r="I2665" s="3">
        <f t="shared" si="124"/>
        <v>1.1970068508734324E-2</v>
      </c>
    </row>
    <row r="2666" spans="2:9" x14ac:dyDescent="0.25">
      <c r="B2666" s="1">
        <v>39055</v>
      </c>
      <c r="C2666" s="2">
        <v>4001</v>
      </c>
      <c r="D2666" s="2">
        <v>4002.4</v>
      </c>
      <c r="E2666" s="2">
        <v>4015.25</v>
      </c>
      <c r="F2666" s="2">
        <v>3991.55</v>
      </c>
      <c r="G2666" s="3">
        <f t="shared" si="125"/>
        <v>8.5051030618377155E-4</v>
      </c>
      <c r="H2666" s="2">
        <f t="shared" si="123"/>
        <v>23.699999999999818</v>
      </c>
      <c r="I2666" s="3">
        <f t="shared" si="124"/>
        <v>5.9214471317209222E-3</v>
      </c>
    </row>
    <row r="2667" spans="2:9" x14ac:dyDescent="0.25">
      <c r="B2667" s="1">
        <v>39056</v>
      </c>
      <c r="C2667" s="2">
        <v>4015.75</v>
      </c>
      <c r="D2667" s="2">
        <v>4001.25</v>
      </c>
      <c r="E2667" s="2">
        <v>4033.2</v>
      </c>
      <c r="F2667" s="2">
        <v>4001.25</v>
      </c>
      <c r="G2667" s="3">
        <f t="shared" si="125"/>
        <v>3.6865783554111964E-3</v>
      </c>
      <c r="H2667" s="2">
        <f t="shared" si="123"/>
        <v>31.949999999999818</v>
      </c>
      <c r="I2667" s="3">
        <f t="shared" si="124"/>
        <v>7.985004686035569E-3</v>
      </c>
    </row>
    <row r="2668" spans="2:9" x14ac:dyDescent="0.25">
      <c r="B2668" s="1">
        <v>39057</v>
      </c>
      <c r="C2668" s="2">
        <v>4015.95</v>
      </c>
      <c r="D2668" s="2">
        <v>4016</v>
      </c>
      <c r="E2668" s="2">
        <v>4036.2</v>
      </c>
      <c r="F2668" s="2">
        <v>3982.5</v>
      </c>
      <c r="G2668" s="3">
        <f t="shared" si="125"/>
        <v>4.9803897154809817E-5</v>
      </c>
      <c r="H2668" s="2">
        <f t="shared" si="123"/>
        <v>53.699999999999818</v>
      </c>
      <c r="I2668" s="3">
        <f t="shared" si="124"/>
        <v>1.3371513944223062E-2</v>
      </c>
    </row>
    <row r="2669" spans="2:9" x14ac:dyDescent="0.25">
      <c r="B2669" s="1">
        <v>39058</v>
      </c>
      <c r="C2669" s="2">
        <v>4015.35</v>
      </c>
      <c r="D2669" s="2">
        <v>4015</v>
      </c>
      <c r="E2669" s="2">
        <v>4027.7</v>
      </c>
      <c r="F2669" s="2">
        <v>4001.4</v>
      </c>
      <c r="G2669" s="3">
        <f t="shared" si="125"/>
        <v>-1.4940425055087747E-4</v>
      </c>
      <c r="H2669" s="2">
        <f t="shared" si="123"/>
        <v>26.299999999999727</v>
      </c>
      <c r="I2669" s="3">
        <f t="shared" si="124"/>
        <v>6.5504358655042909E-3</v>
      </c>
    </row>
    <row r="2670" spans="2:9" x14ac:dyDescent="0.25">
      <c r="B2670" s="1">
        <v>39059</v>
      </c>
      <c r="C2670" s="2">
        <v>3962</v>
      </c>
      <c r="D2670" s="2">
        <v>4015.75</v>
      </c>
      <c r="E2670" s="2">
        <v>4046.85</v>
      </c>
      <c r="F2670" s="2">
        <v>3948.7</v>
      </c>
      <c r="G2670" s="3">
        <f t="shared" si="125"/>
        <v>-1.3286513006338208E-2</v>
      </c>
      <c r="H2670" s="2">
        <f t="shared" si="123"/>
        <v>98.150000000000091</v>
      </c>
      <c r="I2670" s="3">
        <f t="shared" si="124"/>
        <v>2.44412625287929E-2</v>
      </c>
    </row>
    <row r="2671" spans="2:9" x14ac:dyDescent="0.25">
      <c r="B2671" s="1">
        <v>39062</v>
      </c>
      <c r="C2671" s="2">
        <v>3849.5</v>
      </c>
      <c r="D2671" s="2">
        <v>3961.9</v>
      </c>
      <c r="E2671" s="2">
        <v>3965.05</v>
      </c>
      <c r="F2671" s="2">
        <v>3798.3</v>
      </c>
      <c r="G2671" s="3">
        <f t="shared" si="125"/>
        <v>-2.8394750126198853E-2</v>
      </c>
      <c r="H2671" s="2">
        <f t="shared" si="123"/>
        <v>166.75</v>
      </c>
      <c r="I2671" s="3">
        <f t="shared" si="124"/>
        <v>4.2088391933163383E-2</v>
      </c>
    </row>
    <row r="2672" spans="2:9" x14ac:dyDescent="0.25">
      <c r="B2672" s="1">
        <v>39063</v>
      </c>
      <c r="C2672" s="2">
        <v>3716.9</v>
      </c>
      <c r="D2672" s="2">
        <v>3849.1</v>
      </c>
      <c r="E2672" s="2">
        <v>3861.25</v>
      </c>
      <c r="F2672" s="2">
        <v>3661.6</v>
      </c>
      <c r="G2672" s="3">
        <f t="shared" si="125"/>
        <v>-3.4446031952201528E-2</v>
      </c>
      <c r="H2672" s="2">
        <f t="shared" si="123"/>
        <v>199.65000000000009</v>
      </c>
      <c r="I2672" s="3">
        <f t="shared" si="124"/>
        <v>5.1869268140604323E-2</v>
      </c>
    </row>
    <row r="2673" spans="2:9" x14ac:dyDescent="0.25">
      <c r="B2673" s="1">
        <v>39064</v>
      </c>
      <c r="C2673" s="2">
        <v>3765.2</v>
      </c>
      <c r="D2673" s="2">
        <v>3716.75</v>
      </c>
      <c r="E2673" s="2">
        <v>3777.6</v>
      </c>
      <c r="F2673" s="2">
        <v>3657.65</v>
      </c>
      <c r="G2673" s="3">
        <f t="shared" si="125"/>
        <v>1.2994699884312011E-2</v>
      </c>
      <c r="H2673" s="2">
        <f t="shared" si="123"/>
        <v>119.94999999999982</v>
      </c>
      <c r="I2673" s="3">
        <f t="shared" si="124"/>
        <v>3.2272818995089748E-2</v>
      </c>
    </row>
    <row r="2674" spans="2:9" x14ac:dyDescent="0.25">
      <c r="B2674" s="1">
        <v>39065</v>
      </c>
      <c r="C2674" s="2">
        <v>3843.05</v>
      </c>
      <c r="D2674" s="2">
        <v>3765.7</v>
      </c>
      <c r="E2674" s="2">
        <v>3855.05</v>
      </c>
      <c r="F2674" s="2">
        <v>3763.5</v>
      </c>
      <c r="G2674" s="3">
        <f t="shared" si="125"/>
        <v>2.0676192499734514E-2</v>
      </c>
      <c r="H2674" s="2">
        <f t="shared" si="123"/>
        <v>91.550000000000182</v>
      </c>
      <c r="I2674" s="3">
        <f t="shared" si="124"/>
        <v>2.4311548981597098E-2</v>
      </c>
    </row>
    <row r="2675" spans="2:9" x14ac:dyDescent="0.25">
      <c r="B2675" s="1">
        <v>39066</v>
      </c>
      <c r="C2675" s="2">
        <v>3888.65</v>
      </c>
      <c r="D2675" s="2">
        <v>3849.6</v>
      </c>
      <c r="E2675" s="2">
        <v>3908.45</v>
      </c>
      <c r="F2675" s="2">
        <v>3845.45</v>
      </c>
      <c r="G2675" s="3">
        <f t="shared" si="125"/>
        <v>1.1865575519444116E-2</v>
      </c>
      <c r="H2675" s="2">
        <f t="shared" si="123"/>
        <v>63</v>
      </c>
      <c r="I2675" s="3">
        <f t="shared" si="124"/>
        <v>1.6365336658354115E-2</v>
      </c>
    </row>
    <row r="2676" spans="2:9" x14ac:dyDescent="0.25">
      <c r="B2676" s="1">
        <v>39069</v>
      </c>
      <c r="C2676" s="2">
        <v>3928.75</v>
      </c>
      <c r="D2676" s="2">
        <v>3888.2</v>
      </c>
      <c r="E2676" s="2">
        <v>3934</v>
      </c>
      <c r="F2676" s="2">
        <v>3828.15</v>
      </c>
      <c r="G2676" s="3">
        <f t="shared" si="125"/>
        <v>1.0312062026667235E-2</v>
      </c>
      <c r="H2676" s="2">
        <f t="shared" si="123"/>
        <v>105.84999999999991</v>
      </c>
      <c r="I2676" s="3">
        <f t="shared" si="124"/>
        <v>2.7223393858340598E-2</v>
      </c>
    </row>
    <row r="2677" spans="2:9" x14ac:dyDescent="0.25">
      <c r="B2677" s="1">
        <v>39070</v>
      </c>
      <c r="C2677" s="2">
        <v>3832</v>
      </c>
      <c r="D2677" s="2">
        <v>3928.85</v>
      </c>
      <c r="E2677" s="2">
        <v>3931.9</v>
      </c>
      <c r="F2677" s="2">
        <v>3783.45</v>
      </c>
      <c r="G2677" s="3">
        <f t="shared" si="125"/>
        <v>-2.4626153356665625E-2</v>
      </c>
      <c r="H2677" s="2">
        <f t="shared" si="123"/>
        <v>148.45000000000027</v>
      </c>
      <c r="I2677" s="3">
        <f t="shared" si="124"/>
        <v>3.7784593456100454E-2</v>
      </c>
    </row>
    <row r="2678" spans="2:9" x14ac:dyDescent="0.25">
      <c r="B2678" s="1">
        <v>39071</v>
      </c>
      <c r="C2678" s="2">
        <v>3815.55</v>
      </c>
      <c r="D2678" s="2">
        <v>3832.15</v>
      </c>
      <c r="E2678" s="2">
        <v>3886.1</v>
      </c>
      <c r="F2678" s="2">
        <v>3787.55</v>
      </c>
      <c r="G2678" s="3">
        <f t="shared" si="125"/>
        <v>-4.2927974947807312E-3</v>
      </c>
      <c r="H2678" s="2">
        <f t="shared" si="123"/>
        <v>98.549999999999727</v>
      </c>
      <c r="I2678" s="3">
        <f t="shared" si="124"/>
        <v>2.5716634265360104E-2</v>
      </c>
    </row>
    <row r="2679" spans="2:9" x14ac:dyDescent="0.25">
      <c r="B2679" s="1">
        <v>39072</v>
      </c>
      <c r="C2679" s="2">
        <v>3833.5</v>
      </c>
      <c r="D2679" s="2">
        <v>3814.75</v>
      </c>
      <c r="E2679" s="2">
        <v>3851.2</v>
      </c>
      <c r="F2679" s="2">
        <v>3768.8</v>
      </c>
      <c r="G2679" s="3">
        <f t="shared" si="125"/>
        <v>4.7044331747716495E-3</v>
      </c>
      <c r="H2679" s="2">
        <f t="shared" si="123"/>
        <v>82.399999999999636</v>
      </c>
      <c r="I2679" s="3">
        <f t="shared" si="124"/>
        <v>2.1600366996526545E-2</v>
      </c>
    </row>
    <row r="2680" spans="2:9" x14ac:dyDescent="0.25">
      <c r="B2680" s="1">
        <v>39073</v>
      </c>
      <c r="C2680" s="2">
        <v>3871.15</v>
      </c>
      <c r="D2680" s="2">
        <v>3834.9</v>
      </c>
      <c r="E2680" s="2">
        <v>3880.15</v>
      </c>
      <c r="F2680" s="2">
        <v>3823.4</v>
      </c>
      <c r="G2680" s="3">
        <f t="shared" si="125"/>
        <v>9.8213121168644335E-3</v>
      </c>
      <c r="H2680" s="2">
        <f t="shared" si="123"/>
        <v>56.75</v>
      </c>
      <c r="I2680" s="3">
        <f t="shared" si="124"/>
        <v>1.4798299825288795E-2</v>
      </c>
    </row>
    <row r="2681" spans="2:9" x14ac:dyDescent="0.25">
      <c r="B2681" s="1">
        <v>39077</v>
      </c>
      <c r="C2681" s="2">
        <v>3940.5</v>
      </c>
      <c r="D2681" s="2">
        <v>3871.3</v>
      </c>
      <c r="E2681" s="2">
        <v>3946.1</v>
      </c>
      <c r="F2681" s="2">
        <v>3870.45</v>
      </c>
      <c r="G2681" s="3">
        <f t="shared" si="125"/>
        <v>1.7914573188845706E-2</v>
      </c>
      <c r="H2681" s="2">
        <f t="shared" si="123"/>
        <v>75.650000000000091</v>
      </c>
      <c r="I2681" s="3">
        <f t="shared" si="124"/>
        <v>1.9541239376953502E-2</v>
      </c>
    </row>
    <row r="2682" spans="2:9" x14ac:dyDescent="0.25">
      <c r="B2682" s="1">
        <v>39078</v>
      </c>
      <c r="C2682" s="2">
        <v>3974.25</v>
      </c>
      <c r="D2682" s="2">
        <v>3942.75</v>
      </c>
      <c r="E2682" s="2">
        <v>3986.75</v>
      </c>
      <c r="F2682" s="2">
        <v>3937.7</v>
      </c>
      <c r="G2682" s="3">
        <f t="shared" si="125"/>
        <v>8.5649029311001268E-3</v>
      </c>
      <c r="H2682" s="2">
        <f t="shared" si="123"/>
        <v>49.050000000000182</v>
      </c>
      <c r="I2682" s="3">
        <f t="shared" si="124"/>
        <v>1.2440555449876401E-2</v>
      </c>
    </row>
    <row r="2683" spans="2:9" x14ac:dyDescent="0.25">
      <c r="B2683" s="1">
        <v>39079</v>
      </c>
      <c r="C2683" s="2">
        <v>3970.55</v>
      </c>
      <c r="D2683" s="2">
        <v>3974.2</v>
      </c>
      <c r="E2683" s="2">
        <v>3997.35</v>
      </c>
      <c r="F2683" s="2">
        <v>3961.95</v>
      </c>
      <c r="G2683" s="3">
        <f t="shared" si="125"/>
        <v>-9.3099326917023273E-4</v>
      </c>
      <c r="H2683" s="2">
        <f t="shared" si="123"/>
        <v>35.400000000000091</v>
      </c>
      <c r="I2683" s="3">
        <f t="shared" si="124"/>
        <v>8.9074530723164645E-3</v>
      </c>
    </row>
    <row r="2684" spans="2:9" x14ac:dyDescent="0.25">
      <c r="B2684" s="1">
        <v>39080</v>
      </c>
      <c r="C2684" s="2">
        <v>3966.4</v>
      </c>
      <c r="D2684" s="2">
        <v>3971.65</v>
      </c>
      <c r="E2684" s="2">
        <v>3991.6</v>
      </c>
      <c r="F2684" s="2">
        <v>3960.45</v>
      </c>
      <c r="G2684" s="3">
        <f t="shared" si="125"/>
        <v>-1.0451952500283301E-3</v>
      </c>
      <c r="H2684" s="2">
        <f t="shared" si="123"/>
        <v>31.150000000000091</v>
      </c>
      <c r="I2684" s="3">
        <f t="shared" si="124"/>
        <v>7.8430878853877079E-3</v>
      </c>
    </row>
    <row r="2685" spans="2:9" x14ac:dyDescent="0.25">
      <c r="B2685" s="1">
        <v>39084</v>
      </c>
      <c r="C2685" s="2">
        <v>4007.4</v>
      </c>
      <c r="D2685" s="2">
        <v>3966.25</v>
      </c>
      <c r="E2685" s="2">
        <v>4016.65</v>
      </c>
      <c r="F2685" s="2">
        <v>3964.95</v>
      </c>
      <c r="G2685" s="3">
        <f t="shared" si="125"/>
        <v>1.0336829366680123E-2</v>
      </c>
      <c r="H2685" s="2">
        <f t="shared" si="123"/>
        <v>51.700000000000273</v>
      </c>
      <c r="I2685" s="3">
        <f t="shared" si="124"/>
        <v>1.3034982666246524E-2</v>
      </c>
    </row>
    <row r="2686" spans="2:9" x14ac:dyDescent="0.25">
      <c r="B2686" s="1">
        <v>39085</v>
      </c>
      <c r="C2686" s="2">
        <v>4024.05</v>
      </c>
      <c r="D2686" s="2">
        <v>4007.7</v>
      </c>
      <c r="E2686" s="2">
        <v>4029.8</v>
      </c>
      <c r="F2686" s="2">
        <v>3985</v>
      </c>
      <c r="G2686" s="3">
        <f t="shared" si="125"/>
        <v>4.1548135948494824E-3</v>
      </c>
      <c r="H2686" s="2">
        <f t="shared" si="123"/>
        <v>44.800000000000182</v>
      </c>
      <c r="I2686" s="3">
        <f t="shared" si="124"/>
        <v>1.1178481423260269E-2</v>
      </c>
    </row>
    <row r="2687" spans="2:9" x14ac:dyDescent="0.25">
      <c r="B2687" s="1">
        <v>39086</v>
      </c>
      <c r="C2687" s="2">
        <v>3988.8</v>
      </c>
      <c r="D2687" s="2">
        <v>4027.3</v>
      </c>
      <c r="E2687" s="2">
        <v>4041</v>
      </c>
      <c r="F2687" s="2">
        <v>3979.8</v>
      </c>
      <c r="G2687" s="3">
        <f t="shared" si="125"/>
        <v>-8.7598315130279492E-3</v>
      </c>
      <c r="H2687" s="2">
        <f t="shared" si="123"/>
        <v>61.199999999999818</v>
      </c>
      <c r="I2687" s="3">
        <f t="shared" si="124"/>
        <v>1.5196285352469351E-2</v>
      </c>
    </row>
    <row r="2688" spans="2:9" x14ac:dyDescent="0.25">
      <c r="B2688" s="1">
        <v>39087</v>
      </c>
      <c r="C2688" s="2">
        <v>3983.4</v>
      </c>
      <c r="D2688" s="2">
        <v>3990.15</v>
      </c>
      <c r="E2688" s="2">
        <v>4011.45</v>
      </c>
      <c r="F2688" s="2">
        <v>3969.65</v>
      </c>
      <c r="G2688" s="3">
        <f t="shared" si="125"/>
        <v>-1.3537906137184308E-3</v>
      </c>
      <c r="H2688" s="2">
        <f t="shared" si="123"/>
        <v>41.799999999999727</v>
      </c>
      <c r="I2688" s="3">
        <f t="shared" si="124"/>
        <v>1.0475796649248706E-2</v>
      </c>
    </row>
    <row r="2689" spans="2:9" x14ac:dyDescent="0.25">
      <c r="B2689" s="1">
        <v>39090</v>
      </c>
      <c r="C2689" s="2">
        <v>3933.4</v>
      </c>
      <c r="D2689" s="2">
        <v>3983.3</v>
      </c>
      <c r="E2689" s="2">
        <v>3987.45</v>
      </c>
      <c r="F2689" s="2">
        <v>3913</v>
      </c>
      <c r="G2689" s="3">
        <f t="shared" si="125"/>
        <v>-1.255209117839029E-2</v>
      </c>
      <c r="H2689" s="2">
        <f t="shared" si="123"/>
        <v>74.449999999999818</v>
      </c>
      <c r="I2689" s="3">
        <f t="shared" si="124"/>
        <v>1.8690532975171294E-2</v>
      </c>
    </row>
    <row r="2690" spans="2:9" x14ac:dyDescent="0.25">
      <c r="B2690" s="1">
        <v>39091</v>
      </c>
      <c r="C2690" s="2">
        <v>3911.4</v>
      </c>
      <c r="D2690" s="2">
        <v>3933.3</v>
      </c>
      <c r="E2690" s="2">
        <v>3963.75</v>
      </c>
      <c r="F2690" s="2">
        <v>3890.75</v>
      </c>
      <c r="G2690" s="3">
        <f t="shared" si="125"/>
        <v>-5.5931255402450475E-3</v>
      </c>
      <c r="H2690" s="2">
        <f t="shared" si="123"/>
        <v>73</v>
      </c>
      <c r="I2690" s="3">
        <f t="shared" si="124"/>
        <v>1.8559479317621336E-2</v>
      </c>
    </row>
    <row r="2691" spans="2:9" x14ac:dyDescent="0.25">
      <c r="B2691" s="1">
        <v>39092</v>
      </c>
      <c r="C2691" s="2">
        <v>3850.3</v>
      </c>
      <c r="D2691" s="2">
        <v>3910.95</v>
      </c>
      <c r="E2691" s="2">
        <v>3911.95</v>
      </c>
      <c r="F2691" s="2">
        <v>3841.7</v>
      </c>
      <c r="G2691" s="3">
        <f t="shared" si="125"/>
        <v>-1.562100526665644E-2</v>
      </c>
      <c r="H2691" s="2">
        <f t="shared" si="123"/>
        <v>70.25</v>
      </c>
      <c r="I2691" s="3">
        <f t="shared" si="124"/>
        <v>1.7962387655173297E-2</v>
      </c>
    </row>
    <row r="2692" spans="2:9" x14ac:dyDescent="0.25">
      <c r="B2692" s="1">
        <v>39093</v>
      </c>
      <c r="C2692" s="2">
        <v>3942.25</v>
      </c>
      <c r="D2692" s="2">
        <v>3852.15</v>
      </c>
      <c r="E2692" s="2">
        <v>3953.1</v>
      </c>
      <c r="F2692" s="2">
        <v>3833.6</v>
      </c>
      <c r="G2692" s="3">
        <f t="shared" si="125"/>
        <v>2.3881256006025531E-2</v>
      </c>
      <c r="H2692" s="2">
        <f t="shared" si="123"/>
        <v>119.5</v>
      </c>
      <c r="I2692" s="3">
        <f t="shared" si="124"/>
        <v>3.1021637267499968E-2</v>
      </c>
    </row>
    <row r="2693" spans="2:9" x14ac:dyDescent="0.25">
      <c r="B2693" s="1">
        <v>39094</v>
      </c>
      <c r="C2693" s="2">
        <v>4052.45</v>
      </c>
      <c r="D2693" s="2">
        <v>3944.55</v>
      </c>
      <c r="E2693" s="2">
        <v>4059.15</v>
      </c>
      <c r="F2693" s="2">
        <v>3944.55</v>
      </c>
      <c r="G2693" s="3">
        <f t="shared" si="125"/>
        <v>2.7953579808484896E-2</v>
      </c>
      <c r="H2693" s="2">
        <f t="shared" ref="H2693:H2756" si="126">E2693-F2693</f>
        <v>114.59999999999991</v>
      </c>
      <c r="I2693" s="3">
        <f t="shared" si="124"/>
        <v>2.9052743658972483E-2</v>
      </c>
    </row>
    <row r="2694" spans="2:9" x14ac:dyDescent="0.25">
      <c r="B2694" s="1">
        <v>39097</v>
      </c>
      <c r="C2694" s="2">
        <v>4078.4</v>
      </c>
      <c r="D2694" s="2">
        <v>4052.85</v>
      </c>
      <c r="E2694" s="2">
        <v>4099.6499999999996</v>
      </c>
      <c r="F2694" s="2">
        <v>4052.4</v>
      </c>
      <c r="G2694" s="3">
        <f t="shared" si="125"/>
        <v>6.4035336648200492E-3</v>
      </c>
      <c r="H2694" s="2">
        <f t="shared" si="126"/>
        <v>47.249999999999545</v>
      </c>
      <c r="I2694" s="3">
        <f t="shared" ref="I2694:I2757" si="127">H2694/D2694</f>
        <v>1.1658462563381213E-2</v>
      </c>
    </row>
    <row r="2695" spans="2:9" x14ac:dyDescent="0.25">
      <c r="B2695" s="1">
        <v>39098</v>
      </c>
      <c r="C2695" s="2">
        <v>4080.5</v>
      </c>
      <c r="D2695" s="2">
        <v>4090.7</v>
      </c>
      <c r="E2695" s="2">
        <v>4107.45</v>
      </c>
      <c r="F2695" s="2">
        <v>4067.9</v>
      </c>
      <c r="G2695" s="3">
        <f t="shared" ref="G2695:G2758" si="128">C2695/C2694-1</f>
        <v>5.1490780698304484E-4</v>
      </c>
      <c r="H2695" s="2">
        <f t="shared" si="126"/>
        <v>39.549999999999727</v>
      </c>
      <c r="I2695" s="3">
        <f t="shared" si="127"/>
        <v>9.6682719338987769E-3</v>
      </c>
    </row>
    <row r="2696" spans="2:9" x14ac:dyDescent="0.25">
      <c r="B2696" s="1">
        <v>39099</v>
      </c>
      <c r="C2696" s="2">
        <v>4076.45</v>
      </c>
      <c r="D2696" s="2">
        <v>4084.9</v>
      </c>
      <c r="E2696" s="2">
        <v>4096.75</v>
      </c>
      <c r="F2696" s="2">
        <v>4071.55</v>
      </c>
      <c r="G2696" s="3">
        <f t="shared" si="128"/>
        <v>-9.9252542580574588E-4</v>
      </c>
      <c r="H2696" s="2">
        <f t="shared" si="126"/>
        <v>25.199999999999818</v>
      </c>
      <c r="I2696" s="3">
        <f t="shared" si="127"/>
        <v>6.169061666136213E-3</v>
      </c>
    </row>
    <row r="2697" spans="2:9" x14ac:dyDescent="0.25">
      <c r="B2697" s="1">
        <v>39100</v>
      </c>
      <c r="C2697" s="2">
        <v>4109.05</v>
      </c>
      <c r="D2697" s="2">
        <v>4075.2</v>
      </c>
      <c r="E2697" s="2">
        <v>4140.25</v>
      </c>
      <c r="F2697" s="2">
        <v>4075.2</v>
      </c>
      <c r="G2697" s="3">
        <f t="shared" si="128"/>
        <v>7.9971543867827233E-3</v>
      </c>
      <c r="H2697" s="2">
        <f t="shared" si="126"/>
        <v>65.050000000000182</v>
      </c>
      <c r="I2697" s="3">
        <f t="shared" si="127"/>
        <v>1.5962406753042842E-2</v>
      </c>
    </row>
    <row r="2698" spans="2:9" x14ac:dyDescent="0.25">
      <c r="B2698" s="1">
        <v>39101</v>
      </c>
      <c r="C2698" s="2">
        <v>4090.15</v>
      </c>
      <c r="D2698" s="2">
        <v>4126</v>
      </c>
      <c r="E2698" s="2">
        <v>4137.1499999999996</v>
      </c>
      <c r="F2698" s="2">
        <v>4058.35</v>
      </c>
      <c r="G2698" s="3">
        <f t="shared" si="128"/>
        <v>-4.5996033146348259E-3</v>
      </c>
      <c r="H2698" s="2">
        <f t="shared" si="126"/>
        <v>78.799999999999727</v>
      </c>
      <c r="I2698" s="3">
        <f t="shared" si="127"/>
        <v>1.9098400387784712E-2</v>
      </c>
    </row>
    <row r="2699" spans="2:9" x14ac:dyDescent="0.25">
      <c r="B2699" s="1">
        <v>39104</v>
      </c>
      <c r="C2699" s="2">
        <v>4102.45</v>
      </c>
      <c r="D2699" s="2">
        <v>4089.6</v>
      </c>
      <c r="E2699" s="2">
        <v>4114.5</v>
      </c>
      <c r="F2699" s="2">
        <v>4069.95</v>
      </c>
      <c r="G2699" s="3">
        <f t="shared" si="128"/>
        <v>3.0072246739116792E-3</v>
      </c>
      <c r="H2699" s="2">
        <f t="shared" si="126"/>
        <v>44.550000000000182</v>
      </c>
      <c r="I2699" s="3">
        <f t="shared" si="127"/>
        <v>1.0893485915493002E-2</v>
      </c>
    </row>
    <row r="2700" spans="2:9" x14ac:dyDescent="0.25">
      <c r="B2700" s="1">
        <v>39105</v>
      </c>
      <c r="C2700" s="2">
        <v>4066.1</v>
      </c>
      <c r="D2700" s="2">
        <v>4102.6499999999996</v>
      </c>
      <c r="E2700" s="2">
        <v>4105.1000000000004</v>
      </c>
      <c r="F2700" s="2">
        <v>4056.45</v>
      </c>
      <c r="G2700" s="3">
        <f t="shared" si="128"/>
        <v>-8.8605589342953817E-3</v>
      </c>
      <c r="H2700" s="2">
        <f t="shared" si="126"/>
        <v>48.650000000000546</v>
      </c>
      <c r="I2700" s="3">
        <f t="shared" si="127"/>
        <v>1.1858189219163357E-2</v>
      </c>
    </row>
    <row r="2701" spans="2:9" x14ac:dyDescent="0.25">
      <c r="B2701" s="1">
        <v>39106</v>
      </c>
      <c r="C2701" s="2">
        <v>4089.9</v>
      </c>
      <c r="D2701" s="2">
        <v>4066.6</v>
      </c>
      <c r="E2701" s="2">
        <v>4098.25</v>
      </c>
      <c r="F2701" s="2">
        <v>4065.75</v>
      </c>
      <c r="G2701" s="3">
        <f t="shared" si="128"/>
        <v>5.8532746366297683E-3</v>
      </c>
      <c r="H2701" s="2">
        <f t="shared" si="126"/>
        <v>32.5</v>
      </c>
      <c r="I2701" s="3">
        <f t="shared" si="127"/>
        <v>7.9919342940048196E-3</v>
      </c>
    </row>
    <row r="2702" spans="2:9" x14ac:dyDescent="0.25">
      <c r="B2702" s="1">
        <v>39107</v>
      </c>
      <c r="C2702" s="2">
        <v>4147.7</v>
      </c>
      <c r="D2702" s="2">
        <v>4092.05</v>
      </c>
      <c r="E2702" s="2">
        <v>4157.95</v>
      </c>
      <c r="F2702" s="2">
        <v>4090.1</v>
      </c>
      <c r="G2702" s="3">
        <f t="shared" si="128"/>
        <v>1.4132374874691322E-2</v>
      </c>
      <c r="H2702" s="2">
        <f t="shared" si="126"/>
        <v>67.849999999999909</v>
      </c>
      <c r="I2702" s="3">
        <f t="shared" si="127"/>
        <v>1.6580931318043501E-2</v>
      </c>
    </row>
    <row r="2703" spans="2:9" x14ac:dyDescent="0.25">
      <c r="B2703" s="1">
        <v>39111</v>
      </c>
      <c r="C2703" s="2">
        <v>4124.45</v>
      </c>
      <c r="D2703" s="2">
        <v>4148.3999999999996</v>
      </c>
      <c r="E2703" s="2">
        <v>4167.1499999999996</v>
      </c>
      <c r="F2703" s="2">
        <v>4115.75</v>
      </c>
      <c r="G2703" s="3">
        <f t="shared" si="128"/>
        <v>-5.6055163102441963E-3</v>
      </c>
      <c r="H2703" s="2">
        <f t="shared" si="126"/>
        <v>51.399999999999636</v>
      </c>
      <c r="I2703" s="3">
        <f t="shared" si="127"/>
        <v>1.239031915919382E-2</v>
      </c>
    </row>
    <row r="2704" spans="2:9" x14ac:dyDescent="0.25">
      <c r="B2704" s="1">
        <v>39113</v>
      </c>
      <c r="C2704" s="2">
        <v>4082.7</v>
      </c>
      <c r="D2704" s="2">
        <v>4123.8500000000004</v>
      </c>
      <c r="E2704" s="2">
        <v>4137.8500000000004</v>
      </c>
      <c r="F2704" s="2">
        <v>4068.55</v>
      </c>
      <c r="G2704" s="3">
        <f t="shared" si="128"/>
        <v>-1.0122561796118257E-2</v>
      </c>
      <c r="H2704" s="2">
        <f t="shared" si="126"/>
        <v>69.300000000000182</v>
      </c>
      <c r="I2704" s="3">
        <f t="shared" si="127"/>
        <v>1.6804684942468853E-2</v>
      </c>
    </row>
    <row r="2705" spans="2:9" x14ac:dyDescent="0.25">
      <c r="B2705" s="1">
        <v>39114</v>
      </c>
      <c r="C2705" s="2">
        <v>4137.2</v>
      </c>
      <c r="D2705" s="2">
        <v>4083.4</v>
      </c>
      <c r="E2705" s="2">
        <v>4141.6000000000004</v>
      </c>
      <c r="F2705" s="2">
        <v>4081.1</v>
      </c>
      <c r="G2705" s="3">
        <f t="shared" si="128"/>
        <v>1.3349009234085329E-2</v>
      </c>
      <c r="H2705" s="2">
        <f t="shared" si="126"/>
        <v>60.500000000000455</v>
      </c>
      <c r="I2705" s="3">
        <f t="shared" si="127"/>
        <v>1.4816084635353003E-2</v>
      </c>
    </row>
    <row r="2706" spans="2:9" x14ac:dyDescent="0.25">
      <c r="B2706" s="1">
        <v>39115</v>
      </c>
      <c r="C2706" s="2">
        <v>4183.5</v>
      </c>
      <c r="D2706" s="2">
        <v>4140.2</v>
      </c>
      <c r="E2706" s="2">
        <v>4198.7</v>
      </c>
      <c r="F2706" s="2">
        <v>4132.95</v>
      </c>
      <c r="G2706" s="3">
        <f t="shared" si="128"/>
        <v>1.1191143768732426E-2</v>
      </c>
      <c r="H2706" s="2">
        <f t="shared" si="126"/>
        <v>65.75</v>
      </c>
      <c r="I2706" s="3">
        <f t="shared" si="127"/>
        <v>1.588087532003285E-2</v>
      </c>
    </row>
    <row r="2707" spans="2:9" x14ac:dyDescent="0.25">
      <c r="B2707" s="1">
        <v>39118</v>
      </c>
      <c r="C2707" s="2">
        <v>4215.3500000000004</v>
      </c>
      <c r="D2707" s="2">
        <v>4193.1499999999996</v>
      </c>
      <c r="E2707" s="2">
        <v>4219</v>
      </c>
      <c r="F2707" s="2">
        <v>4170</v>
      </c>
      <c r="G2707" s="3">
        <f t="shared" si="128"/>
        <v>7.6132425002988224E-3</v>
      </c>
      <c r="H2707" s="2">
        <f t="shared" si="126"/>
        <v>49</v>
      </c>
      <c r="I2707" s="3">
        <f t="shared" si="127"/>
        <v>1.1685725528540598E-2</v>
      </c>
    </row>
    <row r="2708" spans="2:9" x14ac:dyDescent="0.25">
      <c r="B2708" s="1">
        <v>39119</v>
      </c>
      <c r="C2708" s="2">
        <v>4195.8999999999996</v>
      </c>
      <c r="D2708" s="2">
        <v>4216.55</v>
      </c>
      <c r="E2708" s="2">
        <v>4228.1499999999996</v>
      </c>
      <c r="F2708" s="2">
        <v>4186.1499999999996</v>
      </c>
      <c r="G2708" s="3">
        <f t="shared" si="128"/>
        <v>-4.614088984307485E-3</v>
      </c>
      <c r="H2708" s="2">
        <f t="shared" si="126"/>
        <v>42</v>
      </c>
      <c r="I2708" s="3">
        <f t="shared" si="127"/>
        <v>9.9607499021712054E-3</v>
      </c>
    </row>
    <row r="2709" spans="2:9" x14ac:dyDescent="0.25">
      <c r="B2709" s="1">
        <v>39120</v>
      </c>
      <c r="C2709" s="2">
        <v>4224.25</v>
      </c>
      <c r="D2709" s="2">
        <v>4198.2</v>
      </c>
      <c r="E2709" s="2">
        <v>4232.3</v>
      </c>
      <c r="F2709" s="2">
        <v>4192.8500000000004</v>
      </c>
      <c r="G2709" s="3">
        <f t="shared" si="128"/>
        <v>6.7565957243977959E-3</v>
      </c>
      <c r="H2709" s="2">
        <f t="shared" si="126"/>
        <v>39.449999999999818</v>
      </c>
      <c r="I2709" s="3">
        <f t="shared" si="127"/>
        <v>9.3968843790195374E-3</v>
      </c>
    </row>
    <row r="2710" spans="2:9" x14ac:dyDescent="0.25">
      <c r="B2710" s="1">
        <v>39121</v>
      </c>
      <c r="C2710" s="2">
        <v>4223.3999999999996</v>
      </c>
      <c r="D2710" s="2">
        <v>4232</v>
      </c>
      <c r="E2710" s="2">
        <v>4245.3</v>
      </c>
      <c r="F2710" s="2">
        <v>4188.45</v>
      </c>
      <c r="G2710" s="3">
        <f t="shared" si="128"/>
        <v>-2.0121915132875756E-4</v>
      </c>
      <c r="H2710" s="2">
        <f t="shared" si="126"/>
        <v>56.850000000000364</v>
      </c>
      <c r="I2710" s="3">
        <f t="shared" si="127"/>
        <v>1.3433364839319556E-2</v>
      </c>
    </row>
    <row r="2711" spans="2:9" x14ac:dyDescent="0.25">
      <c r="B2711" s="1">
        <v>39122</v>
      </c>
      <c r="C2711" s="2">
        <v>4187.3999999999996</v>
      </c>
      <c r="D2711" s="2">
        <v>4223.5</v>
      </c>
      <c r="E2711" s="2">
        <v>4239.2</v>
      </c>
      <c r="F2711" s="2">
        <v>4171.8</v>
      </c>
      <c r="G2711" s="3">
        <f t="shared" si="128"/>
        <v>-8.5239380593834513E-3</v>
      </c>
      <c r="H2711" s="2">
        <f t="shared" si="126"/>
        <v>67.399999999999636</v>
      </c>
      <c r="I2711" s="3">
        <f t="shared" si="127"/>
        <v>1.5958328400615517E-2</v>
      </c>
    </row>
    <row r="2712" spans="2:9" x14ac:dyDescent="0.25">
      <c r="B2712" s="1">
        <v>39125</v>
      </c>
      <c r="C2712" s="2">
        <v>4058.3</v>
      </c>
      <c r="D2712" s="2">
        <v>4187.2</v>
      </c>
      <c r="E2712" s="2">
        <v>4187.2</v>
      </c>
      <c r="F2712" s="2">
        <v>4044.35</v>
      </c>
      <c r="G2712" s="3">
        <f t="shared" si="128"/>
        <v>-3.0830586999092358E-2</v>
      </c>
      <c r="H2712" s="2">
        <f t="shared" si="126"/>
        <v>142.84999999999991</v>
      </c>
      <c r="I2712" s="3">
        <f t="shared" si="127"/>
        <v>3.4115876958349237E-2</v>
      </c>
    </row>
    <row r="2713" spans="2:9" x14ac:dyDescent="0.25">
      <c r="B2713" s="1">
        <v>39126</v>
      </c>
      <c r="C2713" s="2">
        <v>4044.55</v>
      </c>
      <c r="D2713" s="2">
        <v>4069.1</v>
      </c>
      <c r="E2713" s="2">
        <v>4132.7</v>
      </c>
      <c r="F2713" s="2">
        <v>3998.3</v>
      </c>
      <c r="G2713" s="3">
        <f t="shared" si="128"/>
        <v>-3.3881181775620162E-3</v>
      </c>
      <c r="H2713" s="2">
        <f t="shared" si="126"/>
        <v>134.39999999999964</v>
      </c>
      <c r="I2713" s="3">
        <f t="shared" si="127"/>
        <v>3.3029416824359108E-2</v>
      </c>
    </row>
    <row r="2714" spans="2:9" x14ac:dyDescent="0.25">
      <c r="B2714" s="1">
        <v>39127</v>
      </c>
      <c r="C2714" s="2">
        <v>4047.1</v>
      </c>
      <c r="D2714" s="2">
        <v>4044.9</v>
      </c>
      <c r="E2714" s="2">
        <v>4057.35</v>
      </c>
      <c r="F2714" s="2">
        <v>3965.2</v>
      </c>
      <c r="G2714" s="3">
        <f t="shared" si="128"/>
        <v>6.3047805071003715E-4</v>
      </c>
      <c r="H2714" s="2">
        <f t="shared" si="126"/>
        <v>92.150000000000091</v>
      </c>
      <c r="I2714" s="3">
        <f t="shared" si="127"/>
        <v>2.2781774580335753E-2</v>
      </c>
    </row>
    <row r="2715" spans="2:9" x14ac:dyDescent="0.25">
      <c r="B2715" s="1">
        <v>39128</v>
      </c>
      <c r="C2715" s="2">
        <v>4146.2</v>
      </c>
      <c r="D2715" s="2">
        <v>4046.8</v>
      </c>
      <c r="E2715" s="2">
        <v>4155.7</v>
      </c>
      <c r="F2715" s="2">
        <v>4046.8</v>
      </c>
      <c r="G2715" s="3">
        <f t="shared" si="128"/>
        <v>2.4486669467025823E-2</v>
      </c>
      <c r="H2715" s="2">
        <f t="shared" si="126"/>
        <v>108.89999999999964</v>
      </c>
      <c r="I2715" s="3">
        <f t="shared" si="127"/>
        <v>2.6910151230601868E-2</v>
      </c>
    </row>
    <row r="2716" spans="2:9" x14ac:dyDescent="0.25">
      <c r="B2716" s="1">
        <v>39132</v>
      </c>
      <c r="C2716" s="2">
        <v>4164.55</v>
      </c>
      <c r="D2716" s="2">
        <v>4149.25</v>
      </c>
      <c r="E2716" s="2">
        <v>4177.7</v>
      </c>
      <c r="F2716" s="2">
        <v>4149.25</v>
      </c>
      <c r="G2716" s="3">
        <f t="shared" si="128"/>
        <v>4.4257392311033428E-3</v>
      </c>
      <c r="H2716" s="2">
        <f t="shared" si="126"/>
        <v>28.449999999999818</v>
      </c>
      <c r="I2716" s="3">
        <f t="shared" si="127"/>
        <v>6.8566608423208577E-3</v>
      </c>
    </row>
    <row r="2717" spans="2:9" x14ac:dyDescent="0.25">
      <c r="B2717" s="1">
        <v>39133</v>
      </c>
      <c r="C2717" s="2">
        <v>4106.95</v>
      </c>
      <c r="D2717" s="2">
        <v>4164.8500000000004</v>
      </c>
      <c r="E2717" s="2">
        <v>4175.45</v>
      </c>
      <c r="F2717" s="2">
        <v>4099.55</v>
      </c>
      <c r="G2717" s="3">
        <f t="shared" si="128"/>
        <v>-1.3831026161290061E-2</v>
      </c>
      <c r="H2717" s="2">
        <f t="shared" si="126"/>
        <v>75.899999999999636</v>
      </c>
      <c r="I2717" s="3">
        <f t="shared" si="127"/>
        <v>1.8223945640299083E-2</v>
      </c>
    </row>
    <row r="2718" spans="2:9" x14ac:dyDescent="0.25">
      <c r="B2718" s="1">
        <v>39134</v>
      </c>
      <c r="C2718" s="2">
        <v>4096.2</v>
      </c>
      <c r="D2718" s="2">
        <v>4107.1499999999996</v>
      </c>
      <c r="E2718" s="2">
        <v>4132.8</v>
      </c>
      <c r="F2718" s="2">
        <v>4080.9</v>
      </c>
      <c r="G2718" s="3">
        <f t="shared" si="128"/>
        <v>-2.6175142137109253E-3</v>
      </c>
      <c r="H2718" s="2">
        <f t="shared" si="126"/>
        <v>51.900000000000091</v>
      </c>
      <c r="I2718" s="3">
        <f t="shared" si="127"/>
        <v>1.2636499762609131E-2</v>
      </c>
    </row>
    <row r="2719" spans="2:9" x14ac:dyDescent="0.25">
      <c r="B2719" s="1">
        <v>39135</v>
      </c>
      <c r="C2719" s="2">
        <v>4040</v>
      </c>
      <c r="D2719" s="2">
        <v>4096.6499999999996</v>
      </c>
      <c r="E2719" s="2">
        <v>4126.8999999999996</v>
      </c>
      <c r="F2719" s="2">
        <v>4023.15</v>
      </c>
      <c r="G2719" s="3">
        <f t="shared" si="128"/>
        <v>-1.3720033201503834E-2</v>
      </c>
      <c r="H2719" s="2">
        <f t="shared" si="126"/>
        <v>103.74999999999955</v>
      </c>
      <c r="I2719" s="3">
        <f t="shared" si="127"/>
        <v>2.5325570893290753E-2</v>
      </c>
    </row>
    <row r="2720" spans="2:9" x14ac:dyDescent="0.25">
      <c r="B2720" s="1">
        <v>39136</v>
      </c>
      <c r="C2720" s="2">
        <v>3938.95</v>
      </c>
      <c r="D2720" s="2">
        <v>4046</v>
      </c>
      <c r="E2720" s="2">
        <v>4065.45</v>
      </c>
      <c r="F2720" s="2">
        <v>3918.2</v>
      </c>
      <c r="G2720" s="3">
        <f t="shared" si="128"/>
        <v>-2.5012376237623757E-2</v>
      </c>
      <c r="H2720" s="2">
        <f t="shared" si="126"/>
        <v>147.25</v>
      </c>
      <c r="I2720" s="3">
        <f t="shared" si="127"/>
        <v>3.6393969352446862E-2</v>
      </c>
    </row>
    <row r="2721" spans="2:9" x14ac:dyDescent="0.25">
      <c r="B2721" s="1">
        <v>39139</v>
      </c>
      <c r="C2721" s="2">
        <v>3942</v>
      </c>
      <c r="D2721" s="2">
        <v>3939.1</v>
      </c>
      <c r="E2721" s="2">
        <v>3958.9</v>
      </c>
      <c r="F2721" s="2">
        <v>3856.7</v>
      </c>
      <c r="G2721" s="3">
        <f t="shared" si="128"/>
        <v>7.7431802891636536E-4</v>
      </c>
      <c r="H2721" s="2">
        <f t="shared" si="126"/>
        <v>102.20000000000027</v>
      </c>
      <c r="I2721" s="3">
        <f t="shared" si="127"/>
        <v>2.5945012820187421E-2</v>
      </c>
    </row>
    <row r="2722" spans="2:9" x14ac:dyDescent="0.25">
      <c r="B2722" s="1">
        <v>39140</v>
      </c>
      <c r="C2722" s="2">
        <v>3893.9</v>
      </c>
      <c r="D2722" s="2">
        <v>3948.05</v>
      </c>
      <c r="E2722" s="2">
        <v>3958</v>
      </c>
      <c r="F2722" s="2">
        <v>3873.85</v>
      </c>
      <c r="G2722" s="3">
        <f t="shared" si="128"/>
        <v>-1.2201927955352576E-2</v>
      </c>
      <c r="H2722" s="2">
        <f t="shared" si="126"/>
        <v>84.150000000000091</v>
      </c>
      <c r="I2722" s="3">
        <f t="shared" si="127"/>
        <v>2.1314319727460413E-2</v>
      </c>
    </row>
    <row r="2723" spans="2:9" x14ac:dyDescent="0.25">
      <c r="B2723" s="1">
        <v>39141</v>
      </c>
      <c r="C2723" s="2">
        <v>3745.3</v>
      </c>
      <c r="D2723" s="2">
        <v>3893.4</v>
      </c>
      <c r="E2723" s="2">
        <v>3893.4</v>
      </c>
      <c r="F2723" s="2">
        <v>3674.85</v>
      </c>
      <c r="G2723" s="3">
        <f t="shared" si="128"/>
        <v>-3.8162253781555688E-2</v>
      </c>
      <c r="H2723" s="2">
        <f t="shared" si="126"/>
        <v>218.55000000000018</v>
      </c>
      <c r="I2723" s="3">
        <f t="shared" si="127"/>
        <v>5.613345661889356E-2</v>
      </c>
    </row>
    <row r="2724" spans="2:9" x14ac:dyDescent="0.25">
      <c r="B2724" s="1">
        <v>39142</v>
      </c>
      <c r="C2724" s="2">
        <v>3811.2</v>
      </c>
      <c r="D2724" s="2">
        <v>3745.4</v>
      </c>
      <c r="E2724" s="2">
        <v>3818.75</v>
      </c>
      <c r="F2724" s="2">
        <v>3718.15</v>
      </c>
      <c r="G2724" s="3">
        <f t="shared" si="128"/>
        <v>1.7595386217392317E-2</v>
      </c>
      <c r="H2724" s="2">
        <f t="shared" si="126"/>
        <v>100.59999999999991</v>
      </c>
      <c r="I2724" s="3">
        <f t="shared" si="127"/>
        <v>2.6859614460404739E-2</v>
      </c>
    </row>
    <row r="2725" spans="2:9" x14ac:dyDescent="0.25">
      <c r="B2725" s="1">
        <v>39143</v>
      </c>
      <c r="C2725" s="2">
        <v>3726.75</v>
      </c>
      <c r="D2725" s="2">
        <v>3811.65</v>
      </c>
      <c r="E2725" s="2">
        <v>3842.05</v>
      </c>
      <c r="F2725" s="2">
        <v>3711.05</v>
      </c>
      <c r="G2725" s="3">
        <f t="shared" si="128"/>
        <v>-2.2158375314861423E-2</v>
      </c>
      <c r="H2725" s="2">
        <f t="shared" si="126"/>
        <v>131</v>
      </c>
      <c r="I2725" s="3">
        <f t="shared" si="127"/>
        <v>3.436831818241444E-2</v>
      </c>
    </row>
    <row r="2726" spans="2:9" x14ac:dyDescent="0.25">
      <c r="B2726" s="1">
        <v>39146</v>
      </c>
      <c r="C2726" s="2">
        <v>3576.5</v>
      </c>
      <c r="D2726" s="2">
        <v>3726.5</v>
      </c>
      <c r="E2726" s="2">
        <v>3726.65</v>
      </c>
      <c r="F2726" s="2">
        <v>3554.5</v>
      </c>
      <c r="G2726" s="3">
        <f t="shared" si="128"/>
        <v>-4.0316629771248391E-2</v>
      </c>
      <c r="H2726" s="2">
        <f t="shared" si="126"/>
        <v>172.15000000000009</v>
      </c>
      <c r="I2726" s="3">
        <f t="shared" si="127"/>
        <v>4.6196162619079592E-2</v>
      </c>
    </row>
    <row r="2727" spans="2:9" x14ac:dyDescent="0.25">
      <c r="B2727" s="1">
        <v>39147</v>
      </c>
      <c r="C2727" s="2">
        <v>3655.65</v>
      </c>
      <c r="D2727" s="2">
        <v>3577.15</v>
      </c>
      <c r="E2727" s="2">
        <v>3679.15</v>
      </c>
      <c r="F2727" s="2">
        <v>3576.65</v>
      </c>
      <c r="G2727" s="3">
        <f t="shared" si="128"/>
        <v>2.2130574584090512E-2</v>
      </c>
      <c r="H2727" s="2">
        <f t="shared" si="126"/>
        <v>102.5</v>
      </c>
      <c r="I2727" s="3">
        <f t="shared" si="127"/>
        <v>2.8654096137986945E-2</v>
      </c>
    </row>
    <row r="2728" spans="2:9" x14ac:dyDescent="0.25">
      <c r="B2728" s="1">
        <v>39148</v>
      </c>
      <c r="C2728" s="2">
        <v>3626.85</v>
      </c>
      <c r="D2728" s="2">
        <v>3661.55</v>
      </c>
      <c r="E2728" s="2">
        <v>3714.15</v>
      </c>
      <c r="F2728" s="2">
        <v>3568.55</v>
      </c>
      <c r="G2728" s="3">
        <f t="shared" si="128"/>
        <v>-7.8782159123549356E-3</v>
      </c>
      <c r="H2728" s="2">
        <f t="shared" si="126"/>
        <v>145.59999999999991</v>
      </c>
      <c r="I2728" s="3">
        <f t="shared" si="127"/>
        <v>3.9764580573800688E-2</v>
      </c>
    </row>
    <row r="2729" spans="2:9" x14ac:dyDescent="0.25">
      <c r="B2729" s="1">
        <v>39149</v>
      </c>
      <c r="C2729" s="2">
        <v>3761.65</v>
      </c>
      <c r="D2729" s="2">
        <v>3627.25</v>
      </c>
      <c r="E2729" s="2">
        <v>3779.5</v>
      </c>
      <c r="F2729" s="2">
        <v>3626.8</v>
      </c>
      <c r="G2729" s="3">
        <f t="shared" si="128"/>
        <v>3.7167238788480494E-2</v>
      </c>
      <c r="H2729" s="2">
        <f t="shared" si="126"/>
        <v>152.69999999999982</v>
      </c>
      <c r="I2729" s="3">
        <f t="shared" si="127"/>
        <v>4.2098008132882989E-2</v>
      </c>
    </row>
    <row r="2730" spans="2:9" x14ac:dyDescent="0.25">
      <c r="B2730" s="1">
        <v>39150</v>
      </c>
      <c r="C2730" s="2">
        <v>3718</v>
      </c>
      <c r="D2730" s="2">
        <v>3761.85</v>
      </c>
      <c r="E2730" s="2">
        <v>3795.7</v>
      </c>
      <c r="F2730" s="2">
        <v>3684.25</v>
      </c>
      <c r="G2730" s="3">
        <f t="shared" si="128"/>
        <v>-1.1603950394108997E-2</v>
      </c>
      <c r="H2730" s="2">
        <f t="shared" si="126"/>
        <v>111.44999999999982</v>
      </c>
      <c r="I2730" s="3">
        <f t="shared" si="127"/>
        <v>2.9626380637186443E-2</v>
      </c>
    </row>
    <row r="2731" spans="2:9" x14ac:dyDescent="0.25">
      <c r="B2731" s="1">
        <v>39153</v>
      </c>
      <c r="C2731" s="2">
        <v>3734.6</v>
      </c>
      <c r="D2731" s="2">
        <v>3717.45</v>
      </c>
      <c r="E2731" s="2">
        <v>3781.45</v>
      </c>
      <c r="F2731" s="2">
        <v>3713.9</v>
      </c>
      <c r="G2731" s="3">
        <f t="shared" si="128"/>
        <v>4.4647660032275382E-3</v>
      </c>
      <c r="H2731" s="2">
        <f t="shared" si="126"/>
        <v>67.549999999999727</v>
      </c>
      <c r="I2731" s="3">
        <f t="shared" si="127"/>
        <v>1.8171058117795728E-2</v>
      </c>
    </row>
    <row r="2732" spans="2:9" x14ac:dyDescent="0.25">
      <c r="B2732" s="1">
        <v>39154</v>
      </c>
      <c r="C2732" s="2">
        <v>3770.55</v>
      </c>
      <c r="D2732" s="2">
        <v>3735.25</v>
      </c>
      <c r="E2732" s="2">
        <v>3775.85</v>
      </c>
      <c r="F2732" s="2">
        <v>3717.15</v>
      </c>
      <c r="G2732" s="3">
        <f t="shared" si="128"/>
        <v>9.6261982541638869E-3</v>
      </c>
      <c r="H2732" s="2">
        <f t="shared" si="126"/>
        <v>58.699999999999818</v>
      </c>
      <c r="I2732" s="3">
        <f t="shared" si="127"/>
        <v>1.5715146241884699E-2</v>
      </c>
    </row>
    <row r="2733" spans="2:9" x14ac:dyDescent="0.25">
      <c r="B2733" s="1">
        <v>39155</v>
      </c>
      <c r="C2733" s="2">
        <v>3641.1</v>
      </c>
      <c r="D2733" s="2">
        <v>3768.4</v>
      </c>
      <c r="E2733" s="2">
        <v>3768.4</v>
      </c>
      <c r="F2733" s="2">
        <v>3623</v>
      </c>
      <c r="G2733" s="3">
        <f t="shared" si="128"/>
        <v>-3.4331861399530594E-2</v>
      </c>
      <c r="H2733" s="2">
        <f t="shared" si="126"/>
        <v>145.40000000000009</v>
      </c>
      <c r="I2733" s="3">
        <f t="shared" si="127"/>
        <v>3.8584014435834861E-2</v>
      </c>
    </row>
    <row r="2734" spans="2:9" x14ac:dyDescent="0.25">
      <c r="B2734" s="1">
        <v>39156</v>
      </c>
      <c r="C2734" s="2">
        <v>3643.6</v>
      </c>
      <c r="D2734" s="2">
        <v>3644.9</v>
      </c>
      <c r="E2734" s="2">
        <v>3711.05</v>
      </c>
      <c r="F2734" s="2">
        <v>3630.55</v>
      </c>
      <c r="G2734" s="3">
        <f t="shared" si="128"/>
        <v>6.866056960808109E-4</v>
      </c>
      <c r="H2734" s="2">
        <f t="shared" si="126"/>
        <v>80.5</v>
      </c>
      <c r="I2734" s="3">
        <f t="shared" si="127"/>
        <v>2.2085653927405417E-2</v>
      </c>
    </row>
    <row r="2735" spans="2:9" x14ac:dyDescent="0.25">
      <c r="B2735" s="1">
        <v>39157</v>
      </c>
      <c r="C2735" s="2">
        <v>3608.55</v>
      </c>
      <c r="D2735" s="2">
        <v>3639.35</v>
      </c>
      <c r="E2735" s="2">
        <v>3683.6</v>
      </c>
      <c r="F2735" s="2">
        <v>3573.85</v>
      </c>
      <c r="G2735" s="3">
        <f t="shared" si="128"/>
        <v>-9.6196069821055108E-3</v>
      </c>
      <c r="H2735" s="2">
        <f t="shared" si="126"/>
        <v>109.75</v>
      </c>
      <c r="I2735" s="3">
        <f t="shared" si="127"/>
        <v>3.0156483987525247E-2</v>
      </c>
    </row>
    <row r="2736" spans="2:9" x14ac:dyDescent="0.25">
      <c r="B2736" s="1">
        <v>39160</v>
      </c>
      <c r="C2736" s="2">
        <v>3678.9</v>
      </c>
      <c r="D2736" s="2">
        <v>3611.3</v>
      </c>
      <c r="E2736" s="2">
        <v>3683.35</v>
      </c>
      <c r="F2736" s="2">
        <v>3602.85</v>
      </c>
      <c r="G2736" s="3">
        <f t="shared" si="128"/>
        <v>1.9495365174377444E-2</v>
      </c>
      <c r="H2736" s="2">
        <f t="shared" si="126"/>
        <v>80.5</v>
      </c>
      <c r="I2736" s="3">
        <f t="shared" si="127"/>
        <v>2.2291141694126767E-2</v>
      </c>
    </row>
    <row r="2737" spans="2:9" x14ac:dyDescent="0.25">
      <c r="B2737" s="1">
        <v>39161</v>
      </c>
      <c r="C2737" s="2">
        <v>3697.6</v>
      </c>
      <c r="D2737" s="2">
        <v>3680.35</v>
      </c>
      <c r="E2737" s="2">
        <v>3725</v>
      </c>
      <c r="F2737" s="2">
        <v>3676.65</v>
      </c>
      <c r="G2737" s="3">
        <f t="shared" si="128"/>
        <v>5.0830411264235487E-3</v>
      </c>
      <c r="H2737" s="2">
        <f t="shared" si="126"/>
        <v>48.349999999999909</v>
      </c>
      <c r="I2737" s="3">
        <f t="shared" si="127"/>
        <v>1.3137337481489509E-2</v>
      </c>
    </row>
    <row r="2738" spans="2:9" x14ac:dyDescent="0.25">
      <c r="B2738" s="1">
        <v>39162</v>
      </c>
      <c r="C2738" s="2">
        <v>3764.55</v>
      </c>
      <c r="D2738" s="2">
        <v>3697.7</v>
      </c>
      <c r="E2738" s="2">
        <v>3771.2</v>
      </c>
      <c r="F2738" s="2">
        <v>3680.6</v>
      </c>
      <c r="G2738" s="3">
        <f t="shared" si="128"/>
        <v>1.8106339247079273E-2</v>
      </c>
      <c r="H2738" s="2">
        <f t="shared" si="126"/>
        <v>90.599999999999909</v>
      </c>
      <c r="I2738" s="3">
        <f t="shared" si="127"/>
        <v>2.4501717283716883E-2</v>
      </c>
    </row>
    <row r="2739" spans="2:9" x14ac:dyDescent="0.25">
      <c r="B2739" s="1">
        <v>39163</v>
      </c>
      <c r="C2739" s="2">
        <v>3875.9</v>
      </c>
      <c r="D2739" s="2">
        <v>3764.5</v>
      </c>
      <c r="E2739" s="2">
        <v>3881</v>
      </c>
      <c r="F2739" s="2">
        <v>3764.5</v>
      </c>
      <c r="G2739" s="3">
        <f t="shared" si="128"/>
        <v>2.957856848760132E-2</v>
      </c>
      <c r="H2739" s="2">
        <f t="shared" si="126"/>
        <v>116.5</v>
      </c>
      <c r="I2739" s="3">
        <f t="shared" si="127"/>
        <v>3.0947004914331253E-2</v>
      </c>
    </row>
    <row r="2740" spans="2:9" x14ac:dyDescent="0.25">
      <c r="B2740" s="1">
        <v>39164</v>
      </c>
      <c r="C2740" s="2">
        <v>3861.05</v>
      </c>
      <c r="D2740" s="2">
        <v>3876.75</v>
      </c>
      <c r="E2740" s="2">
        <v>3901.75</v>
      </c>
      <c r="F2740" s="2">
        <v>3850.8</v>
      </c>
      <c r="G2740" s="3">
        <f t="shared" si="128"/>
        <v>-3.831368198353946E-3</v>
      </c>
      <c r="H2740" s="2">
        <f t="shared" si="126"/>
        <v>50.949999999999818</v>
      </c>
      <c r="I2740" s="3">
        <f t="shared" si="127"/>
        <v>1.3142451795963066E-2</v>
      </c>
    </row>
    <row r="2741" spans="2:9" x14ac:dyDescent="0.25">
      <c r="B2741" s="1">
        <v>39167</v>
      </c>
      <c r="C2741" s="2">
        <v>3819.95</v>
      </c>
      <c r="D2741" s="2">
        <v>3863.45</v>
      </c>
      <c r="E2741" s="2">
        <v>3885.45</v>
      </c>
      <c r="F2741" s="2">
        <v>3768.25</v>
      </c>
      <c r="G2741" s="3">
        <f t="shared" si="128"/>
        <v>-1.0644772794965229E-2</v>
      </c>
      <c r="H2741" s="2">
        <f t="shared" si="126"/>
        <v>117.19999999999982</v>
      </c>
      <c r="I2741" s="3">
        <f t="shared" si="127"/>
        <v>3.0335580892725367E-2</v>
      </c>
    </row>
    <row r="2742" spans="2:9" x14ac:dyDescent="0.25">
      <c r="B2742" s="1">
        <v>39169</v>
      </c>
      <c r="C2742" s="2">
        <v>3761.1</v>
      </c>
      <c r="D2742" s="2">
        <v>3818.75</v>
      </c>
      <c r="E2742" s="2">
        <v>3830.3</v>
      </c>
      <c r="F2742" s="2">
        <v>3752.95</v>
      </c>
      <c r="G2742" s="3">
        <f t="shared" si="128"/>
        <v>-1.5405960811005315E-2</v>
      </c>
      <c r="H2742" s="2">
        <f t="shared" si="126"/>
        <v>77.350000000000364</v>
      </c>
      <c r="I2742" s="3">
        <f t="shared" si="127"/>
        <v>2.0255319148936267E-2</v>
      </c>
    </row>
    <row r="2743" spans="2:9" x14ac:dyDescent="0.25">
      <c r="B2743" s="1">
        <v>39170</v>
      </c>
      <c r="C2743" s="2">
        <v>3798.1</v>
      </c>
      <c r="D2743" s="2">
        <v>3759.15</v>
      </c>
      <c r="E2743" s="2">
        <v>3805.85</v>
      </c>
      <c r="F2743" s="2">
        <v>3750.35</v>
      </c>
      <c r="G2743" s="3">
        <f t="shared" si="128"/>
        <v>9.8375475259897538E-3</v>
      </c>
      <c r="H2743" s="2">
        <f t="shared" si="126"/>
        <v>55.5</v>
      </c>
      <c r="I2743" s="3">
        <f t="shared" si="127"/>
        <v>1.4763975898806911E-2</v>
      </c>
    </row>
    <row r="2744" spans="2:9" x14ac:dyDescent="0.25">
      <c r="B2744" s="1">
        <v>39171</v>
      </c>
      <c r="C2744" s="2">
        <v>3821.55</v>
      </c>
      <c r="D2744" s="2">
        <v>3788.85</v>
      </c>
      <c r="E2744" s="2">
        <v>3832.2</v>
      </c>
      <c r="F2744" s="2">
        <v>3785.3</v>
      </c>
      <c r="G2744" s="3">
        <f t="shared" si="128"/>
        <v>6.1741397014296595E-3</v>
      </c>
      <c r="H2744" s="2">
        <f t="shared" si="126"/>
        <v>46.899999999999636</v>
      </c>
      <c r="I2744" s="3">
        <f t="shared" si="127"/>
        <v>1.2378426171529525E-2</v>
      </c>
    </row>
    <row r="2745" spans="2:9" x14ac:dyDescent="0.25">
      <c r="B2745" s="1">
        <v>39174</v>
      </c>
      <c r="C2745" s="2">
        <v>3633.6</v>
      </c>
      <c r="D2745" s="2">
        <v>3820</v>
      </c>
      <c r="E2745" s="2">
        <v>3820</v>
      </c>
      <c r="F2745" s="2">
        <v>3617</v>
      </c>
      <c r="G2745" s="3">
        <f t="shared" si="128"/>
        <v>-4.9181614789810535E-2</v>
      </c>
      <c r="H2745" s="2">
        <f t="shared" si="126"/>
        <v>203</v>
      </c>
      <c r="I2745" s="3">
        <f t="shared" si="127"/>
        <v>5.3141361256544506E-2</v>
      </c>
    </row>
    <row r="2746" spans="2:9" x14ac:dyDescent="0.25">
      <c r="B2746" s="1">
        <v>39175</v>
      </c>
      <c r="C2746" s="2">
        <v>3690.65</v>
      </c>
      <c r="D2746" s="2">
        <v>3633.85</v>
      </c>
      <c r="E2746" s="2">
        <v>3703.05</v>
      </c>
      <c r="F2746" s="2">
        <v>3632.2</v>
      </c>
      <c r="G2746" s="3">
        <f t="shared" si="128"/>
        <v>1.570068251871426E-2</v>
      </c>
      <c r="H2746" s="2">
        <f t="shared" si="126"/>
        <v>70.850000000000364</v>
      </c>
      <c r="I2746" s="3">
        <f t="shared" si="127"/>
        <v>1.9497227458480777E-2</v>
      </c>
    </row>
    <row r="2747" spans="2:9" x14ac:dyDescent="0.25">
      <c r="B2747" s="1">
        <v>39176</v>
      </c>
      <c r="C2747" s="2">
        <v>3733.25</v>
      </c>
      <c r="D2747" s="2">
        <v>3689.75</v>
      </c>
      <c r="E2747" s="2">
        <v>3751.4</v>
      </c>
      <c r="F2747" s="2">
        <v>3689.75</v>
      </c>
      <c r="G2747" s="3">
        <f t="shared" si="128"/>
        <v>1.1542682183355302E-2</v>
      </c>
      <c r="H2747" s="2">
        <f t="shared" si="126"/>
        <v>61.650000000000091</v>
      </c>
      <c r="I2747" s="3">
        <f t="shared" si="127"/>
        <v>1.6708449081916144E-2</v>
      </c>
    </row>
    <row r="2748" spans="2:9" x14ac:dyDescent="0.25">
      <c r="B2748" s="1">
        <v>39177</v>
      </c>
      <c r="C2748" s="2">
        <v>3752</v>
      </c>
      <c r="D2748" s="2">
        <v>3735.2</v>
      </c>
      <c r="E2748" s="2">
        <v>3771.45</v>
      </c>
      <c r="F2748" s="2">
        <v>3709.15</v>
      </c>
      <c r="G2748" s="3">
        <f t="shared" si="128"/>
        <v>5.0224335364628114E-3</v>
      </c>
      <c r="H2748" s="2">
        <f t="shared" si="126"/>
        <v>62.299999999999727</v>
      </c>
      <c r="I2748" s="3">
        <f t="shared" si="127"/>
        <v>1.6679160419790031E-2</v>
      </c>
    </row>
    <row r="2749" spans="2:9" x14ac:dyDescent="0.25">
      <c r="B2749" s="1">
        <v>39181</v>
      </c>
      <c r="C2749" s="2">
        <v>3843.5</v>
      </c>
      <c r="D2749" s="2">
        <v>3752.9</v>
      </c>
      <c r="E2749" s="2">
        <v>3850.9</v>
      </c>
      <c r="F2749" s="2">
        <v>3747.25</v>
      </c>
      <c r="G2749" s="3">
        <f t="shared" si="128"/>
        <v>2.4386993603411566E-2</v>
      </c>
      <c r="H2749" s="2">
        <f t="shared" si="126"/>
        <v>103.65000000000009</v>
      </c>
      <c r="I2749" s="3">
        <f t="shared" si="127"/>
        <v>2.7618641583841853E-2</v>
      </c>
    </row>
    <row r="2750" spans="2:9" x14ac:dyDescent="0.25">
      <c r="B2750" s="1">
        <v>39182</v>
      </c>
      <c r="C2750" s="2">
        <v>3848.15</v>
      </c>
      <c r="D2750" s="2">
        <v>3844.15</v>
      </c>
      <c r="E2750" s="2">
        <v>3858.35</v>
      </c>
      <c r="F2750" s="2">
        <v>3819.3</v>
      </c>
      <c r="G2750" s="3">
        <f t="shared" si="128"/>
        <v>1.2098347860023395E-3</v>
      </c>
      <c r="H2750" s="2">
        <f t="shared" si="126"/>
        <v>39.049999999999727</v>
      </c>
      <c r="I2750" s="3">
        <f t="shared" si="127"/>
        <v>1.0158292470376995E-2</v>
      </c>
    </row>
    <row r="2751" spans="2:9" x14ac:dyDescent="0.25">
      <c r="B2751" s="1">
        <v>39183</v>
      </c>
      <c r="C2751" s="2">
        <v>3862.65</v>
      </c>
      <c r="D2751" s="2">
        <v>3848.35</v>
      </c>
      <c r="E2751" s="2">
        <v>3876.35</v>
      </c>
      <c r="F2751" s="2">
        <v>3844.75</v>
      </c>
      <c r="G2751" s="3">
        <f t="shared" si="128"/>
        <v>3.7680443849641421E-3</v>
      </c>
      <c r="H2751" s="2">
        <f t="shared" si="126"/>
        <v>31.599999999999909</v>
      </c>
      <c r="I2751" s="3">
        <f t="shared" si="127"/>
        <v>8.2113113412241381E-3</v>
      </c>
    </row>
    <row r="2752" spans="2:9" x14ac:dyDescent="0.25">
      <c r="B2752" s="1">
        <v>39184</v>
      </c>
      <c r="C2752" s="2">
        <v>3829.85</v>
      </c>
      <c r="D2752" s="2">
        <v>3861.85</v>
      </c>
      <c r="E2752" s="2">
        <v>3861.85</v>
      </c>
      <c r="F2752" s="2">
        <v>3811.25</v>
      </c>
      <c r="G2752" s="3">
        <f t="shared" si="128"/>
        <v>-8.4915796150312195E-3</v>
      </c>
      <c r="H2752" s="2">
        <f t="shared" si="126"/>
        <v>50.599999999999909</v>
      </c>
      <c r="I2752" s="3">
        <f t="shared" si="127"/>
        <v>1.3102528580861481E-2</v>
      </c>
    </row>
    <row r="2753" spans="2:9" x14ac:dyDescent="0.25">
      <c r="B2753" s="1">
        <v>39185</v>
      </c>
      <c r="C2753" s="2">
        <v>3917.35</v>
      </c>
      <c r="D2753" s="2">
        <v>3830.35</v>
      </c>
      <c r="E2753" s="2">
        <v>3924.55</v>
      </c>
      <c r="F2753" s="2">
        <v>3828.45</v>
      </c>
      <c r="G2753" s="3">
        <f t="shared" si="128"/>
        <v>2.2846847787772351E-2</v>
      </c>
      <c r="H2753" s="2">
        <f t="shared" si="126"/>
        <v>96.100000000000364</v>
      </c>
      <c r="I2753" s="3">
        <f t="shared" si="127"/>
        <v>2.5089091075228206E-2</v>
      </c>
    </row>
    <row r="2754" spans="2:9" x14ac:dyDescent="0.25">
      <c r="B2754" s="1">
        <v>39188</v>
      </c>
      <c r="C2754" s="2">
        <v>4013.35</v>
      </c>
      <c r="D2754" s="2">
        <v>3920.5</v>
      </c>
      <c r="E2754" s="2">
        <v>4016.8</v>
      </c>
      <c r="F2754" s="2">
        <v>3920.5</v>
      </c>
      <c r="G2754" s="3">
        <f t="shared" si="128"/>
        <v>2.4506362719695751E-2</v>
      </c>
      <c r="H2754" s="2">
        <f t="shared" si="126"/>
        <v>96.300000000000182</v>
      </c>
      <c r="I2754" s="3">
        <f t="shared" si="127"/>
        <v>2.4563193470220682E-2</v>
      </c>
    </row>
    <row r="2755" spans="2:9" x14ac:dyDescent="0.25">
      <c r="B2755" s="1">
        <v>39189</v>
      </c>
      <c r="C2755" s="2">
        <v>3984.95</v>
      </c>
      <c r="D2755" s="2">
        <v>4014.4</v>
      </c>
      <c r="E2755" s="2">
        <v>4030</v>
      </c>
      <c r="F2755" s="2">
        <v>3976.25</v>
      </c>
      <c r="G2755" s="3">
        <f t="shared" si="128"/>
        <v>-7.076382573162121E-3</v>
      </c>
      <c r="H2755" s="2">
        <f t="shared" si="126"/>
        <v>53.75</v>
      </c>
      <c r="I2755" s="3">
        <f t="shared" si="127"/>
        <v>1.3389298525308888E-2</v>
      </c>
    </row>
    <row r="2756" spans="2:9" x14ac:dyDescent="0.25">
      <c r="B2756" s="1">
        <v>39190</v>
      </c>
      <c r="C2756" s="2">
        <v>4011.6</v>
      </c>
      <c r="D2756" s="2">
        <v>3989.6</v>
      </c>
      <c r="E2756" s="2">
        <v>4039.25</v>
      </c>
      <c r="F2756" s="2">
        <v>3981.75</v>
      </c>
      <c r="G2756" s="3">
        <f t="shared" si="128"/>
        <v>6.6876623295148985E-3</v>
      </c>
      <c r="H2756" s="2">
        <f t="shared" si="126"/>
        <v>57.5</v>
      </c>
      <c r="I2756" s="3">
        <f t="shared" si="127"/>
        <v>1.4412472428313616E-2</v>
      </c>
    </row>
    <row r="2757" spans="2:9" x14ac:dyDescent="0.25">
      <c r="B2757" s="1">
        <v>39191</v>
      </c>
      <c r="C2757" s="2">
        <v>3997.65</v>
      </c>
      <c r="D2757" s="2">
        <v>3998.5</v>
      </c>
      <c r="E2757" s="2">
        <v>4011</v>
      </c>
      <c r="F2757" s="2">
        <v>3933.35</v>
      </c>
      <c r="G2757" s="3">
        <f t="shared" si="128"/>
        <v>-3.4774154950643066E-3</v>
      </c>
      <c r="H2757" s="2">
        <f t="shared" ref="H2757:H2820" si="129">E2757-F2757</f>
        <v>77.650000000000091</v>
      </c>
      <c r="I2757" s="3">
        <f t="shared" si="127"/>
        <v>1.9419782418406924E-2</v>
      </c>
    </row>
    <row r="2758" spans="2:9" x14ac:dyDescent="0.25">
      <c r="B2758" s="1">
        <v>39192</v>
      </c>
      <c r="C2758" s="2">
        <v>4083.55</v>
      </c>
      <c r="D2758" s="2">
        <v>4000.25</v>
      </c>
      <c r="E2758" s="2">
        <v>4090.05</v>
      </c>
      <c r="F2758" s="2">
        <v>3995.5</v>
      </c>
      <c r="G2758" s="3">
        <f t="shared" si="128"/>
        <v>2.1487623979087767E-2</v>
      </c>
      <c r="H2758" s="2">
        <f t="shared" si="129"/>
        <v>94.550000000000182</v>
      </c>
      <c r="I2758" s="3">
        <f t="shared" ref="I2758:I2821" si="130">H2758/D2758</f>
        <v>2.3636022748578258E-2</v>
      </c>
    </row>
    <row r="2759" spans="2:9" x14ac:dyDescent="0.25">
      <c r="B2759" s="1">
        <v>39195</v>
      </c>
      <c r="C2759" s="2">
        <v>4085.1</v>
      </c>
      <c r="D2759" s="2">
        <v>4083.55</v>
      </c>
      <c r="E2759" s="2">
        <v>4122.3500000000004</v>
      </c>
      <c r="F2759" s="2">
        <v>4075.2</v>
      </c>
      <c r="G2759" s="3">
        <f t="shared" ref="G2759:G2822" si="131">C2759/C2758-1</f>
        <v>3.7957169619562414E-4</v>
      </c>
      <c r="H2759" s="2">
        <f t="shared" si="129"/>
        <v>47.150000000000546</v>
      </c>
      <c r="I2759" s="3">
        <f t="shared" si="130"/>
        <v>1.1546326113308407E-2</v>
      </c>
    </row>
    <row r="2760" spans="2:9" x14ac:dyDescent="0.25">
      <c r="B2760" s="1">
        <v>39196</v>
      </c>
      <c r="C2760" s="2">
        <v>4141.8</v>
      </c>
      <c r="D2760" s="2">
        <v>4085.1</v>
      </c>
      <c r="E2760" s="2">
        <v>4162.1499999999996</v>
      </c>
      <c r="F2760" s="2">
        <v>4057.7</v>
      </c>
      <c r="G2760" s="3">
        <f t="shared" si="131"/>
        <v>1.387970918704573E-2</v>
      </c>
      <c r="H2760" s="2">
        <f t="shared" si="129"/>
        <v>104.44999999999982</v>
      </c>
      <c r="I2760" s="3">
        <f t="shared" si="130"/>
        <v>2.5568529534160687E-2</v>
      </c>
    </row>
    <row r="2761" spans="2:9" x14ac:dyDescent="0.25">
      <c r="B2761" s="1">
        <v>39197</v>
      </c>
      <c r="C2761" s="2">
        <v>4167.3</v>
      </c>
      <c r="D2761" s="2">
        <v>4134.25</v>
      </c>
      <c r="E2761" s="2">
        <v>4173.3</v>
      </c>
      <c r="F2761" s="2">
        <v>4114.3500000000004</v>
      </c>
      <c r="G2761" s="3">
        <f t="shared" si="131"/>
        <v>6.1567434448790426E-3</v>
      </c>
      <c r="H2761" s="2">
        <f t="shared" si="129"/>
        <v>58.949999999999818</v>
      </c>
      <c r="I2761" s="3">
        <f t="shared" si="130"/>
        <v>1.425893451049158E-2</v>
      </c>
    </row>
    <row r="2762" spans="2:9" x14ac:dyDescent="0.25">
      <c r="B2762" s="1">
        <v>39198</v>
      </c>
      <c r="C2762" s="2">
        <v>4177.8500000000004</v>
      </c>
      <c r="D2762" s="2">
        <v>4170.05</v>
      </c>
      <c r="E2762" s="2">
        <v>4217.8999999999996</v>
      </c>
      <c r="F2762" s="2">
        <v>4143.25</v>
      </c>
      <c r="G2762" s="3">
        <f t="shared" si="131"/>
        <v>2.5316151944905219E-3</v>
      </c>
      <c r="H2762" s="2">
        <f t="shared" si="129"/>
        <v>74.649999999999636</v>
      </c>
      <c r="I2762" s="3">
        <f t="shared" si="130"/>
        <v>1.7901464011222799E-2</v>
      </c>
    </row>
    <row r="2763" spans="2:9" x14ac:dyDescent="0.25">
      <c r="B2763" s="1">
        <v>39199</v>
      </c>
      <c r="C2763" s="2">
        <v>4083.5</v>
      </c>
      <c r="D2763" s="2">
        <v>4182</v>
      </c>
      <c r="E2763" s="2">
        <v>4182</v>
      </c>
      <c r="F2763" s="2">
        <v>4074.3</v>
      </c>
      <c r="G2763" s="3">
        <f t="shared" si="131"/>
        <v>-2.2583386191462163E-2</v>
      </c>
      <c r="H2763" s="2">
        <f t="shared" si="129"/>
        <v>107.69999999999982</v>
      </c>
      <c r="I2763" s="3">
        <f t="shared" si="130"/>
        <v>2.5753228120516457E-2</v>
      </c>
    </row>
    <row r="2764" spans="2:9" x14ac:dyDescent="0.25">
      <c r="B2764" s="1">
        <v>39202</v>
      </c>
      <c r="C2764" s="2">
        <v>4087.9</v>
      </c>
      <c r="D2764" s="2">
        <v>4081.6</v>
      </c>
      <c r="E2764" s="2">
        <v>4096.8999999999996</v>
      </c>
      <c r="F2764" s="2">
        <v>4028.9</v>
      </c>
      <c r="G2764" s="3">
        <f t="shared" si="131"/>
        <v>1.0775070405288911E-3</v>
      </c>
      <c r="H2764" s="2">
        <f t="shared" si="129"/>
        <v>67.999999999999545</v>
      </c>
      <c r="I2764" s="3">
        <f t="shared" si="130"/>
        <v>1.6660133281066136E-2</v>
      </c>
    </row>
    <row r="2765" spans="2:9" x14ac:dyDescent="0.25">
      <c r="B2765" s="1">
        <v>39205</v>
      </c>
      <c r="C2765" s="2">
        <v>4150.8500000000004</v>
      </c>
      <c r="D2765" s="2">
        <v>4089.45</v>
      </c>
      <c r="E2765" s="2">
        <v>4161.2</v>
      </c>
      <c r="F2765" s="2">
        <v>4080.75</v>
      </c>
      <c r="G2765" s="3">
        <f t="shared" si="131"/>
        <v>1.5399104674771902E-2</v>
      </c>
      <c r="H2765" s="2">
        <f t="shared" si="129"/>
        <v>80.449999999999818</v>
      </c>
      <c r="I2765" s="3">
        <f t="shared" si="130"/>
        <v>1.9672572106273416E-2</v>
      </c>
    </row>
    <row r="2766" spans="2:9" x14ac:dyDescent="0.25">
      <c r="B2766" s="1">
        <v>39206</v>
      </c>
      <c r="C2766" s="2">
        <v>4117.3500000000004</v>
      </c>
      <c r="D2766" s="2">
        <v>4168.8999999999996</v>
      </c>
      <c r="E2766" s="2">
        <v>4180.8999999999996</v>
      </c>
      <c r="F2766" s="2">
        <v>4109.7</v>
      </c>
      <c r="G2766" s="3">
        <f t="shared" si="131"/>
        <v>-8.0706361347675504E-3</v>
      </c>
      <c r="H2766" s="2">
        <f t="shared" si="129"/>
        <v>71.199999999999818</v>
      </c>
      <c r="I2766" s="3">
        <f t="shared" si="130"/>
        <v>1.7078845738684022E-2</v>
      </c>
    </row>
    <row r="2767" spans="2:9" x14ac:dyDescent="0.25">
      <c r="B2767" s="1">
        <v>39209</v>
      </c>
      <c r="C2767" s="2">
        <v>4111.1499999999996</v>
      </c>
      <c r="D2767" s="2">
        <v>4117.5</v>
      </c>
      <c r="E2767" s="2">
        <v>4157.6499999999996</v>
      </c>
      <c r="F2767" s="2">
        <v>4103.6000000000004</v>
      </c>
      <c r="G2767" s="3">
        <f t="shared" si="131"/>
        <v>-1.5058229200822781E-3</v>
      </c>
      <c r="H2767" s="2">
        <f t="shared" si="129"/>
        <v>54.049999999999272</v>
      </c>
      <c r="I2767" s="3">
        <f t="shared" si="130"/>
        <v>1.3126897389192295E-2</v>
      </c>
    </row>
    <row r="2768" spans="2:9" x14ac:dyDescent="0.25">
      <c r="B2768" s="1">
        <v>39210</v>
      </c>
      <c r="C2768" s="2">
        <v>4077</v>
      </c>
      <c r="D2768" s="2">
        <v>4111.25</v>
      </c>
      <c r="E2768" s="2">
        <v>4136.05</v>
      </c>
      <c r="F2768" s="2">
        <v>4066.4</v>
      </c>
      <c r="G2768" s="3">
        <f t="shared" si="131"/>
        <v>-8.3066781800711365E-3</v>
      </c>
      <c r="H2768" s="2">
        <f t="shared" si="129"/>
        <v>69.650000000000091</v>
      </c>
      <c r="I2768" s="3">
        <f t="shared" si="130"/>
        <v>1.6941319550015224E-2</v>
      </c>
    </row>
    <row r="2769" spans="2:9" x14ac:dyDescent="0.25">
      <c r="B2769" s="1">
        <v>39211</v>
      </c>
      <c r="C2769" s="2">
        <v>4079.3</v>
      </c>
      <c r="D2769" s="2">
        <v>4077.25</v>
      </c>
      <c r="E2769" s="2">
        <v>4087.8</v>
      </c>
      <c r="F2769" s="2">
        <v>4030.55</v>
      </c>
      <c r="G2769" s="3">
        <f t="shared" si="131"/>
        <v>5.6414029923979037E-4</v>
      </c>
      <c r="H2769" s="2">
        <f t="shared" si="129"/>
        <v>57.25</v>
      </c>
      <c r="I2769" s="3">
        <f t="shared" si="130"/>
        <v>1.4041326874731743E-2</v>
      </c>
    </row>
    <row r="2770" spans="2:9" x14ac:dyDescent="0.25">
      <c r="B2770" s="1">
        <v>39212</v>
      </c>
      <c r="C2770" s="2">
        <v>4066.8</v>
      </c>
      <c r="D2770" s="2">
        <v>4079.6</v>
      </c>
      <c r="E2770" s="2">
        <v>4134.2</v>
      </c>
      <c r="F2770" s="2">
        <v>4057.55</v>
      </c>
      <c r="G2770" s="3">
        <f t="shared" si="131"/>
        <v>-3.0642512195719895E-3</v>
      </c>
      <c r="H2770" s="2">
        <f t="shared" si="129"/>
        <v>76.649999999999636</v>
      </c>
      <c r="I2770" s="3">
        <f t="shared" si="130"/>
        <v>1.8788606726149532E-2</v>
      </c>
    </row>
    <row r="2771" spans="2:9" x14ac:dyDescent="0.25">
      <c r="B2771" s="1">
        <v>39213</v>
      </c>
      <c r="C2771" s="2">
        <v>4076.65</v>
      </c>
      <c r="D2771" s="2">
        <v>4070.2</v>
      </c>
      <c r="E2771" s="2">
        <v>4094.65</v>
      </c>
      <c r="F2771" s="2">
        <v>3981.15</v>
      </c>
      <c r="G2771" s="3">
        <f t="shared" si="131"/>
        <v>2.4220517360087346E-3</v>
      </c>
      <c r="H2771" s="2">
        <f t="shared" si="129"/>
        <v>113.5</v>
      </c>
      <c r="I2771" s="3">
        <f t="shared" si="130"/>
        <v>2.7885607586850769E-2</v>
      </c>
    </row>
    <row r="2772" spans="2:9" x14ac:dyDescent="0.25">
      <c r="B2772" s="1">
        <v>39216</v>
      </c>
      <c r="C2772" s="2">
        <v>4134.3</v>
      </c>
      <c r="D2772" s="2">
        <v>4078.8</v>
      </c>
      <c r="E2772" s="2">
        <v>4151.3</v>
      </c>
      <c r="F2772" s="2">
        <v>4072.45</v>
      </c>
      <c r="G2772" s="3">
        <f t="shared" si="131"/>
        <v>1.414151325230284E-2</v>
      </c>
      <c r="H2772" s="2">
        <f t="shared" si="129"/>
        <v>78.850000000000364</v>
      </c>
      <c r="I2772" s="3">
        <f t="shared" si="130"/>
        <v>1.9331666176326458E-2</v>
      </c>
    </row>
    <row r="2773" spans="2:9" x14ac:dyDescent="0.25">
      <c r="B2773" s="1">
        <v>39217</v>
      </c>
      <c r="C2773" s="2">
        <v>4120.3</v>
      </c>
      <c r="D2773" s="2">
        <v>4134.3</v>
      </c>
      <c r="E2773" s="2">
        <v>4150.45</v>
      </c>
      <c r="F2773" s="2">
        <v>4102.45</v>
      </c>
      <c r="G2773" s="3">
        <f t="shared" si="131"/>
        <v>-3.3863048158092601E-3</v>
      </c>
      <c r="H2773" s="2">
        <f t="shared" si="129"/>
        <v>48</v>
      </c>
      <c r="I2773" s="3">
        <f t="shared" si="130"/>
        <v>1.1610187939917277E-2</v>
      </c>
    </row>
    <row r="2774" spans="2:9" x14ac:dyDescent="0.25">
      <c r="B2774" s="1">
        <v>39218</v>
      </c>
      <c r="C2774" s="2">
        <v>4170.95</v>
      </c>
      <c r="D2774" s="2">
        <v>4125.3999999999996</v>
      </c>
      <c r="E2774" s="2">
        <v>4181</v>
      </c>
      <c r="F2774" s="2">
        <v>4113.05</v>
      </c>
      <c r="G2774" s="3">
        <f t="shared" si="131"/>
        <v>1.2292794214013414E-2</v>
      </c>
      <c r="H2774" s="2">
        <f t="shared" si="129"/>
        <v>67.949999999999818</v>
      </c>
      <c r="I2774" s="3">
        <f t="shared" si="130"/>
        <v>1.6471130072235378E-2</v>
      </c>
    </row>
    <row r="2775" spans="2:9" x14ac:dyDescent="0.25">
      <c r="B2775" s="1">
        <v>39219</v>
      </c>
      <c r="C2775" s="2">
        <v>4219.55</v>
      </c>
      <c r="D2775" s="2">
        <v>4172.1000000000004</v>
      </c>
      <c r="E2775" s="2">
        <v>4232.45</v>
      </c>
      <c r="F2775" s="2">
        <v>4172.1000000000004</v>
      </c>
      <c r="G2775" s="3">
        <f t="shared" si="131"/>
        <v>1.1652021721670236E-2</v>
      </c>
      <c r="H2775" s="2">
        <f t="shared" si="129"/>
        <v>60.349999999999454</v>
      </c>
      <c r="I2775" s="3">
        <f t="shared" si="130"/>
        <v>1.4465137460751048E-2</v>
      </c>
    </row>
    <row r="2776" spans="2:9" x14ac:dyDescent="0.25">
      <c r="B2776" s="1">
        <v>39220</v>
      </c>
      <c r="C2776" s="2">
        <v>4214.5</v>
      </c>
      <c r="D2776" s="2">
        <v>4216.5</v>
      </c>
      <c r="E2776" s="2">
        <v>4228.45</v>
      </c>
      <c r="F2776" s="2">
        <v>4177</v>
      </c>
      <c r="G2776" s="3">
        <f t="shared" si="131"/>
        <v>-1.1968100863836151E-3</v>
      </c>
      <c r="H2776" s="2">
        <f t="shared" si="129"/>
        <v>51.449999999999818</v>
      </c>
      <c r="I2776" s="3">
        <f t="shared" si="130"/>
        <v>1.2202063322660932E-2</v>
      </c>
    </row>
    <row r="2777" spans="2:9" x14ac:dyDescent="0.25">
      <c r="B2777" s="1">
        <v>39223</v>
      </c>
      <c r="C2777" s="2">
        <v>4260.8999999999996</v>
      </c>
      <c r="D2777" s="2">
        <v>4217.6499999999996</v>
      </c>
      <c r="E2777" s="2">
        <v>4269.3500000000004</v>
      </c>
      <c r="F2777" s="2">
        <v>4217.55</v>
      </c>
      <c r="G2777" s="3">
        <f t="shared" si="131"/>
        <v>1.1009609680863619E-2</v>
      </c>
      <c r="H2777" s="2">
        <f t="shared" si="129"/>
        <v>51.800000000000182</v>
      </c>
      <c r="I2777" s="3">
        <f t="shared" si="130"/>
        <v>1.2281720863514086E-2</v>
      </c>
    </row>
    <row r="2778" spans="2:9" x14ac:dyDescent="0.25">
      <c r="B2778" s="1">
        <v>39224</v>
      </c>
      <c r="C2778" s="2">
        <v>4278.1000000000004</v>
      </c>
      <c r="D2778" s="2">
        <v>4263.1000000000004</v>
      </c>
      <c r="E2778" s="2">
        <v>4281.6000000000004</v>
      </c>
      <c r="F2778" s="2">
        <v>4234.1000000000004</v>
      </c>
      <c r="G2778" s="3">
        <f t="shared" si="131"/>
        <v>4.036705860264389E-3</v>
      </c>
      <c r="H2778" s="2">
        <f t="shared" si="129"/>
        <v>47.5</v>
      </c>
      <c r="I2778" s="3">
        <f t="shared" si="130"/>
        <v>1.1142126621472636E-2</v>
      </c>
    </row>
    <row r="2779" spans="2:9" x14ac:dyDescent="0.25">
      <c r="B2779" s="1">
        <v>39225</v>
      </c>
      <c r="C2779" s="2">
        <v>4246.2</v>
      </c>
      <c r="D2779" s="2">
        <v>4279.6000000000004</v>
      </c>
      <c r="E2779" s="2">
        <v>4291.3999999999996</v>
      </c>
      <c r="F2779" s="2">
        <v>4231.05</v>
      </c>
      <c r="G2779" s="3">
        <f t="shared" si="131"/>
        <v>-7.4565811925856318E-3</v>
      </c>
      <c r="H2779" s="2">
        <f t="shared" si="129"/>
        <v>60.349999999999454</v>
      </c>
      <c r="I2779" s="3">
        <f t="shared" si="130"/>
        <v>1.4101785213571232E-2</v>
      </c>
    </row>
    <row r="2780" spans="2:9" x14ac:dyDescent="0.25">
      <c r="B2780" s="1">
        <v>39226</v>
      </c>
      <c r="C2780" s="2">
        <v>4204.8999999999996</v>
      </c>
      <c r="D2780" s="2">
        <v>4246.2</v>
      </c>
      <c r="E2780" s="2">
        <v>4250.8500000000004</v>
      </c>
      <c r="F2780" s="2">
        <v>4189.05</v>
      </c>
      <c r="G2780" s="3">
        <f t="shared" si="131"/>
        <v>-9.7263435542367382E-3</v>
      </c>
      <c r="H2780" s="2">
        <f t="shared" si="129"/>
        <v>61.800000000000182</v>
      </c>
      <c r="I2780" s="3">
        <f t="shared" si="130"/>
        <v>1.4554189628373649E-2</v>
      </c>
    </row>
    <row r="2781" spans="2:9" x14ac:dyDescent="0.25">
      <c r="B2781" s="1">
        <v>39227</v>
      </c>
      <c r="C2781" s="2">
        <v>4248.1499999999996</v>
      </c>
      <c r="D2781" s="2">
        <v>4197.8500000000004</v>
      </c>
      <c r="E2781" s="2">
        <v>4256.3999999999996</v>
      </c>
      <c r="F2781" s="2">
        <v>4141.3500000000004</v>
      </c>
      <c r="G2781" s="3">
        <f t="shared" si="131"/>
        <v>1.0285619158600712E-2</v>
      </c>
      <c r="H2781" s="2">
        <f t="shared" si="129"/>
        <v>115.04999999999927</v>
      </c>
      <c r="I2781" s="3">
        <f t="shared" si="130"/>
        <v>2.7406886858748945E-2</v>
      </c>
    </row>
    <row r="2782" spans="2:9" x14ac:dyDescent="0.25">
      <c r="B2782" s="1">
        <v>39230</v>
      </c>
      <c r="C2782" s="2">
        <v>4256.55</v>
      </c>
      <c r="D2782" s="2">
        <v>4248.3500000000004</v>
      </c>
      <c r="E2782" s="2">
        <v>4295.6000000000004</v>
      </c>
      <c r="F2782" s="2">
        <v>4242.8</v>
      </c>
      <c r="G2782" s="3">
        <f t="shared" si="131"/>
        <v>1.9773313089228584E-3</v>
      </c>
      <c r="H2782" s="2">
        <f t="shared" si="129"/>
        <v>52.800000000000182</v>
      </c>
      <c r="I2782" s="3">
        <f t="shared" si="130"/>
        <v>1.2428354537644069E-2</v>
      </c>
    </row>
    <row r="2783" spans="2:9" x14ac:dyDescent="0.25">
      <c r="B2783" s="1">
        <v>39231</v>
      </c>
      <c r="C2783" s="2">
        <v>4293.25</v>
      </c>
      <c r="D2783" s="2">
        <v>4257.6000000000004</v>
      </c>
      <c r="E2783" s="2">
        <v>4298.8500000000004</v>
      </c>
      <c r="F2783" s="2">
        <v>4248.8999999999996</v>
      </c>
      <c r="G2783" s="3">
        <f t="shared" si="131"/>
        <v>8.6220060847399527E-3</v>
      </c>
      <c r="H2783" s="2">
        <f t="shared" si="129"/>
        <v>49.950000000000728</v>
      </c>
      <c r="I2783" s="3">
        <f t="shared" si="130"/>
        <v>1.1731961668545829E-2</v>
      </c>
    </row>
    <row r="2784" spans="2:9" x14ac:dyDescent="0.25">
      <c r="B2784" s="1">
        <v>39232</v>
      </c>
      <c r="C2784" s="2">
        <v>4249.6499999999996</v>
      </c>
      <c r="D2784" s="2">
        <v>4292.7</v>
      </c>
      <c r="E2784" s="2">
        <v>4301.6000000000004</v>
      </c>
      <c r="F2784" s="2">
        <v>4241.3500000000004</v>
      </c>
      <c r="G2784" s="3">
        <f t="shared" si="131"/>
        <v>-1.0155476620276049E-2</v>
      </c>
      <c r="H2784" s="2">
        <f t="shared" si="129"/>
        <v>60.25</v>
      </c>
      <c r="I2784" s="3">
        <f t="shared" si="130"/>
        <v>1.4035455540801827E-2</v>
      </c>
    </row>
    <row r="2785" spans="2:9" x14ac:dyDescent="0.25">
      <c r="B2785" s="1">
        <v>39233</v>
      </c>
      <c r="C2785" s="2">
        <v>4295.8</v>
      </c>
      <c r="D2785" s="2">
        <v>4250.25</v>
      </c>
      <c r="E2785" s="2">
        <v>4306.75</v>
      </c>
      <c r="F2785" s="2">
        <v>4250.25</v>
      </c>
      <c r="G2785" s="3">
        <f t="shared" si="131"/>
        <v>1.0859717859117879E-2</v>
      </c>
      <c r="H2785" s="2">
        <f t="shared" si="129"/>
        <v>56.5</v>
      </c>
      <c r="I2785" s="3">
        <f t="shared" si="130"/>
        <v>1.329333568613611E-2</v>
      </c>
    </row>
    <row r="2786" spans="2:9" x14ac:dyDescent="0.25">
      <c r="B2786" s="1">
        <v>39234</v>
      </c>
      <c r="C2786" s="2">
        <v>4297.05</v>
      </c>
      <c r="D2786" s="2">
        <v>4296.05</v>
      </c>
      <c r="E2786" s="2">
        <v>4325.8</v>
      </c>
      <c r="F2786" s="2">
        <v>4288.55</v>
      </c>
      <c r="G2786" s="3">
        <f t="shared" si="131"/>
        <v>2.9098188928711188E-4</v>
      </c>
      <c r="H2786" s="2">
        <f t="shared" si="129"/>
        <v>37.25</v>
      </c>
      <c r="I2786" s="3">
        <f t="shared" si="130"/>
        <v>8.6707556941841915E-3</v>
      </c>
    </row>
    <row r="2787" spans="2:9" x14ac:dyDescent="0.25">
      <c r="B2787" s="1">
        <v>39237</v>
      </c>
      <c r="C2787" s="2">
        <v>4267.05</v>
      </c>
      <c r="D2787" s="2">
        <v>4300.7</v>
      </c>
      <c r="E2787" s="2">
        <v>4362.95</v>
      </c>
      <c r="F2787" s="2">
        <v>4256.45</v>
      </c>
      <c r="G2787" s="3">
        <f t="shared" si="131"/>
        <v>-6.9815338429852769E-3</v>
      </c>
      <c r="H2787" s="2">
        <f t="shared" si="129"/>
        <v>106.5</v>
      </c>
      <c r="I2787" s="3">
        <f t="shared" si="130"/>
        <v>2.476341060757551E-2</v>
      </c>
    </row>
    <row r="2788" spans="2:9" x14ac:dyDescent="0.25">
      <c r="B2788" s="1">
        <v>39238</v>
      </c>
      <c r="C2788" s="2">
        <v>4284.6499999999996</v>
      </c>
      <c r="D2788" s="2">
        <v>4268.8999999999996</v>
      </c>
      <c r="E2788" s="2">
        <v>4292.5</v>
      </c>
      <c r="F2788" s="2">
        <v>4249.1000000000004</v>
      </c>
      <c r="G2788" s="3">
        <f t="shared" si="131"/>
        <v>4.1246294278247664E-3</v>
      </c>
      <c r="H2788" s="2">
        <f t="shared" si="129"/>
        <v>43.399999999999636</v>
      </c>
      <c r="I2788" s="3">
        <f t="shared" si="130"/>
        <v>1.0166553444681216E-2</v>
      </c>
    </row>
    <row r="2789" spans="2:9" x14ac:dyDescent="0.25">
      <c r="B2789" s="1">
        <v>39239</v>
      </c>
      <c r="C2789" s="2">
        <v>4198.25</v>
      </c>
      <c r="D2789" s="2">
        <v>4285.75</v>
      </c>
      <c r="E2789" s="2">
        <v>4324.1000000000004</v>
      </c>
      <c r="F2789" s="2">
        <v>4190.95</v>
      </c>
      <c r="G2789" s="3">
        <f t="shared" si="131"/>
        <v>-2.016500764356477E-2</v>
      </c>
      <c r="H2789" s="2">
        <f t="shared" si="129"/>
        <v>133.15000000000055</v>
      </c>
      <c r="I2789" s="3">
        <f t="shared" si="130"/>
        <v>3.1068074432713189E-2</v>
      </c>
    </row>
    <row r="2790" spans="2:9" x14ac:dyDescent="0.25">
      <c r="B2790" s="1">
        <v>39240</v>
      </c>
      <c r="C2790" s="2">
        <v>4179.5</v>
      </c>
      <c r="D2790" s="2">
        <v>4197.6000000000004</v>
      </c>
      <c r="E2790" s="2">
        <v>4230.05</v>
      </c>
      <c r="F2790" s="2">
        <v>4130.5</v>
      </c>
      <c r="G2790" s="3">
        <f t="shared" si="131"/>
        <v>-4.4661466087060342E-3</v>
      </c>
      <c r="H2790" s="2">
        <f t="shared" si="129"/>
        <v>99.550000000000182</v>
      </c>
      <c r="I2790" s="3">
        <f t="shared" si="130"/>
        <v>2.3715932914046164E-2</v>
      </c>
    </row>
    <row r="2791" spans="2:9" x14ac:dyDescent="0.25">
      <c r="B2791" s="1">
        <v>39241</v>
      </c>
      <c r="C2791" s="2">
        <v>4145</v>
      </c>
      <c r="D2791" s="2">
        <v>4179.5</v>
      </c>
      <c r="E2791" s="2">
        <v>4195.1499999999996</v>
      </c>
      <c r="F2791" s="2">
        <v>4126.1000000000004</v>
      </c>
      <c r="G2791" s="3">
        <f t="shared" si="131"/>
        <v>-8.2545759062089274E-3</v>
      </c>
      <c r="H2791" s="2">
        <f t="shared" si="129"/>
        <v>69.049999999999272</v>
      </c>
      <c r="I2791" s="3">
        <f t="shared" si="130"/>
        <v>1.6521114965904839E-2</v>
      </c>
    </row>
    <row r="2792" spans="2:9" x14ac:dyDescent="0.25">
      <c r="B2792" s="1">
        <v>39244</v>
      </c>
      <c r="C2792" s="2">
        <v>4145.6000000000004</v>
      </c>
      <c r="D2792" s="2">
        <v>4183.75</v>
      </c>
      <c r="E2792" s="2">
        <v>4205.2</v>
      </c>
      <c r="F2792" s="2">
        <v>4134.95</v>
      </c>
      <c r="G2792" s="3">
        <f t="shared" si="131"/>
        <v>1.4475271411340529E-4</v>
      </c>
      <c r="H2792" s="2">
        <f t="shared" si="129"/>
        <v>70.25</v>
      </c>
      <c r="I2792" s="3">
        <f t="shared" si="130"/>
        <v>1.679115625933672E-2</v>
      </c>
    </row>
    <row r="2793" spans="2:9" x14ac:dyDescent="0.25">
      <c r="B2793" s="1">
        <v>39245</v>
      </c>
      <c r="C2793" s="2">
        <v>4155.2</v>
      </c>
      <c r="D2793" s="2">
        <v>4139.7</v>
      </c>
      <c r="E2793" s="2">
        <v>4166.8500000000004</v>
      </c>
      <c r="F2793" s="2">
        <v>4100.8</v>
      </c>
      <c r="G2793" s="3">
        <f t="shared" si="131"/>
        <v>2.3157082207641011E-3</v>
      </c>
      <c r="H2793" s="2">
        <f t="shared" si="129"/>
        <v>66.050000000000182</v>
      </c>
      <c r="I2793" s="3">
        <f t="shared" si="130"/>
        <v>1.5955262458632314E-2</v>
      </c>
    </row>
    <row r="2794" spans="2:9" x14ac:dyDescent="0.25">
      <c r="B2794" s="1">
        <v>39246</v>
      </c>
      <c r="C2794" s="2">
        <v>4113.05</v>
      </c>
      <c r="D2794" s="2">
        <v>4155.2</v>
      </c>
      <c r="E2794" s="2">
        <v>4161.8</v>
      </c>
      <c r="F2794" s="2">
        <v>4102.95</v>
      </c>
      <c r="G2794" s="3">
        <f t="shared" si="131"/>
        <v>-1.0143916056988722E-2</v>
      </c>
      <c r="H2794" s="2">
        <f t="shared" si="129"/>
        <v>58.850000000000364</v>
      </c>
      <c r="I2794" s="3">
        <f t="shared" si="130"/>
        <v>1.416297651135935E-2</v>
      </c>
    </row>
    <row r="2795" spans="2:9" x14ac:dyDescent="0.25">
      <c r="B2795" s="1">
        <v>39247</v>
      </c>
      <c r="C2795" s="2">
        <v>4170</v>
      </c>
      <c r="D2795" s="2">
        <v>4113.2</v>
      </c>
      <c r="E2795" s="2">
        <v>4174.05</v>
      </c>
      <c r="F2795" s="2">
        <v>4112.8500000000004</v>
      </c>
      <c r="G2795" s="3">
        <f t="shared" si="131"/>
        <v>1.3846172548352076E-2</v>
      </c>
      <c r="H2795" s="2">
        <f t="shared" si="129"/>
        <v>61.199999999999818</v>
      </c>
      <c r="I2795" s="3">
        <f t="shared" si="130"/>
        <v>1.4878926383351119E-2</v>
      </c>
    </row>
    <row r="2796" spans="2:9" x14ac:dyDescent="0.25">
      <c r="B2796" s="1">
        <v>39248</v>
      </c>
      <c r="C2796" s="2">
        <v>4171.45</v>
      </c>
      <c r="D2796" s="2">
        <v>4186.3999999999996</v>
      </c>
      <c r="E2796" s="2">
        <v>4209.45</v>
      </c>
      <c r="F2796" s="2">
        <v>4153.7</v>
      </c>
      <c r="G2796" s="3">
        <f t="shared" si="131"/>
        <v>3.4772182254183548E-4</v>
      </c>
      <c r="H2796" s="2">
        <f t="shared" si="129"/>
        <v>55.75</v>
      </c>
      <c r="I2796" s="3">
        <f t="shared" si="130"/>
        <v>1.3316931014714314E-2</v>
      </c>
    </row>
    <row r="2797" spans="2:9" x14ac:dyDescent="0.25">
      <c r="B2797" s="1">
        <v>39251</v>
      </c>
      <c r="C2797" s="2">
        <v>4147.1000000000004</v>
      </c>
      <c r="D2797" s="2">
        <v>4177</v>
      </c>
      <c r="E2797" s="2">
        <v>4208.1499999999996</v>
      </c>
      <c r="F2797" s="2">
        <v>4140.25</v>
      </c>
      <c r="G2797" s="3">
        <f t="shared" si="131"/>
        <v>-5.837298780999256E-3</v>
      </c>
      <c r="H2797" s="2">
        <f t="shared" si="129"/>
        <v>67.899999999999636</v>
      </c>
      <c r="I2797" s="3">
        <f t="shared" si="130"/>
        <v>1.6255685898970466E-2</v>
      </c>
    </row>
    <row r="2798" spans="2:9" x14ac:dyDescent="0.25">
      <c r="B2798" s="1">
        <v>39252</v>
      </c>
      <c r="C2798" s="2">
        <v>4214.3</v>
      </c>
      <c r="D2798" s="2">
        <v>4143.8500000000004</v>
      </c>
      <c r="E2798" s="2">
        <v>4222.3999999999996</v>
      </c>
      <c r="F2798" s="2">
        <v>4136.1499999999996</v>
      </c>
      <c r="G2798" s="3">
        <f t="shared" si="131"/>
        <v>1.6204094427431093E-2</v>
      </c>
      <c r="H2798" s="2">
        <f t="shared" si="129"/>
        <v>86.25</v>
      </c>
      <c r="I2798" s="3">
        <f t="shared" si="130"/>
        <v>2.0813977339913362E-2</v>
      </c>
    </row>
    <row r="2799" spans="2:9" x14ac:dyDescent="0.25">
      <c r="B2799" s="1">
        <v>39253</v>
      </c>
      <c r="C2799" s="2">
        <v>4248.6499999999996</v>
      </c>
      <c r="D2799" s="2">
        <v>4214.3</v>
      </c>
      <c r="E2799" s="2">
        <v>4257</v>
      </c>
      <c r="F2799" s="2">
        <v>4214.3</v>
      </c>
      <c r="G2799" s="3">
        <f t="shared" si="131"/>
        <v>8.1508198277293609E-3</v>
      </c>
      <c r="H2799" s="2">
        <f t="shared" si="129"/>
        <v>42.699999999999818</v>
      </c>
      <c r="I2799" s="3">
        <f t="shared" si="130"/>
        <v>1.0132169043494725E-2</v>
      </c>
    </row>
    <row r="2800" spans="2:9" x14ac:dyDescent="0.25">
      <c r="B2800" s="1">
        <v>39254</v>
      </c>
      <c r="C2800" s="2">
        <v>4267.3999999999996</v>
      </c>
      <c r="D2800" s="2">
        <v>4248.6499999999996</v>
      </c>
      <c r="E2800" s="2">
        <v>4275.3500000000004</v>
      </c>
      <c r="F2800" s="2">
        <v>4220.1000000000004</v>
      </c>
      <c r="G2800" s="3">
        <f t="shared" si="131"/>
        <v>4.4131665352524774E-3</v>
      </c>
      <c r="H2800" s="2">
        <f t="shared" si="129"/>
        <v>55.25</v>
      </c>
      <c r="I2800" s="3">
        <f t="shared" si="130"/>
        <v>1.3004130723876997E-2</v>
      </c>
    </row>
    <row r="2801" spans="2:9" x14ac:dyDescent="0.25">
      <c r="B2801" s="1">
        <v>39255</v>
      </c>
      <c r="C2801" s="2">
        <v>4252.05</v>
      </c>
      <c r="D2801" s="2">
        <v>4267.55</v>
      </c>
      <c r="E2801" s="2">
        <v>4278.8500000000004</v>
      </c>
      <c r="F2801" s="2">
        <v>4242.5</v>
      </c>
      <c r="G2801" s="3">
        <f t="shared" si="131"/>
        <v>-3.5970380090920573E-3</v>
      </c>
      <c r="H2801" s="2">
        <f t="shared" si="129"/>
        <v>36.350000000000364</v>
      </c>
      <c r="I2801" s="3">
        <f t="shared" si="130"/>
        <v>8.5177678058840234E-3</v>
      </c>
    </row>
    <row r="2802" spans="2:9" x14ac:dyDescent="0.25">
      <c r="B2802" s="1">
        <v>39258</v>
      </c>
      <c r="C2802" s="2">
        <v>4259.3999999999996</v>
      </c>
      <c r="D2802" s="2">
        <v>4251.3999999999996</v>
      </c>
      <c r="E2802" s="2">
        <v>4264.25</v>
      </c>
      <c r="F2802" s="2">
        <v>4236.3</v>
      </c>
      <c r="G2802" s="3">
        <f t="shared" si="131"/>
        <v>1.7285779800331191E-3</v>
      </c>
      <c r="H2802" s="2">
        <f t="shared" si="129"/>
        <v>27.949999999999818</v>
      </c>
      <c r="I2802" s="3">
        <f t="shared" si="130"/>
        <v>6.5743049348449501E-3</v>
      </c>
    </row>
    <row r="2803" spans="2:9" x14ac:dyDescent="0.25">
      <c r="B2803" s="1">
        <v>39259</v>
      </c>
      <c r="C2803" s="2">
        <v>4285.7</v>
      </c>
      <c r="D2803" s="2">
        <v>4259.3999999999996</v>
      </c>
      <c r="E2803" s="2">
        <v>4296.1499999999996</v>
      </c>
      <c r="F2803" s="2">
        <v>4250.1000000000004</v>
      </c>
      <c r="G2803" s="3">
        <f t="shared" si="131"/>
        <v>6.1745785791427199E-3</v>
      </c>
      <c r="H2803" s="2">
        <f t="shared" si="129"/>
        <v>46.049999999999272</v>
      </c>
      <c r="I2803" s="3">
        <f t="shared" si="130"/>
        <v>1.0811381884772334E-2</v>
      </c>
    </row>
    <row r="2804" spans="2:9" x14ac:dyDescent="0.25">
      <c r="B2804" s="1">
        <v>39260</v>
      </c>
      <c r="C2804" s="2">
        <v>4263.95</v>
      </c>
      <c r="D2804" s="2">
        <v>4286.2</v>
      </c>
      <c r="E2804" s="2">
        <v>4294.2</v>
      </c>
      <c r="F2804" s="2">
        <v>4255.25</v>
      </c>
      <c r="G2804" s="3">
        <f t="shared" si="131"/>
        <v>-5.0750169167230741E-3</v>
      </c>
      <c r="H2804" s="2">
        <f t="shared" si="129"/>
        <v>38.949999999999818</v>
      </c>
      <c r="I2804" s="3">
        <f t="shared" si="130"/>
        <v>9.0873034389435444E-3</v>
      </c>
    </row>
    <row r="2805" spans="2:9" x14ac:dyDescent="0.25">
      <c r="B2805" s="1">
        <v>39261</v>
      </c>
      <c r="C2805" s="2">
        <v>4282</v>
      </c>
      <c r="D2805" s="2">
        <v>4263.8999999999996</v>
      </c>
      <c r="E2805" s="2">
        <v>4291.3999999999996</v>
      </c>
      <c r="F2805" s="2">
        <v>4256.8999999999996</v>
      </c>
      <c r="G2805" s="3">
        <f t="shared" si="131"/>
        <v>4.2331640849446739E-3</v>
      </c>
      <c r="H2805" s="2">
        <f t="shared" si="129"/>
        <v>34.5</v>
      </c>
      <c r="I2805" s="3">
        <f t="shared" si="130"/>
        <v>8.0911841272074871E-3</v>
      </c>
    </row>
    <row r="2806" spans="2:9" x14ac:dyDescent="0.25">
      <c r="B2806" s="1">
        <v>39262</v>
      </c>
      <c r="C2806" s="2">
        <v>4318.3</v>
      </c>
      <c r="D2806" s="2">
        <v>4282.3999999999996</v>
      </c>
      <c r="E2806" s="2">
        <v>4321.3500000000004</v>
      </c>
      <c r="F2806" s="2">
        <v>4280.95</v>
      </c>
      <c r="G2806" s="3">
        <f t="shared" si="131"/>
        <v>8.4773470340961943E-3</v>
      </c>
      <c r="H2806" s="2">
        <f t="shared" si="129"/>
        <v>40.400000000000546</v>
      </c>
      <c r="I2806" s="3">
        <f t="shared" si="130"/>
        <v>9.4339622641510714E-3</v>
      </c>
    </row>
    <row r="2807" spans="2:9" x14ac:dyDescent="0.25">
      <c r="B2807" s="1">
        <v>39265</v>
      </c>
      <c r="C2807" s="2">
        <v>4313.75</v>
      </c>
      <c r="D2807" s="2">
        <v>4318.3999999999996</v>
      </c>
      <c r="E2807" s="2">
        <v>4346.75</v>
      </c>
      <c r="F2807" s="2">
        <v>4305.45</v>
      </c>
      <c r="G2807" s="3">
        <f t="shared" si="131"/>
        <v>-1.053655373642437E-3</v>
      </c>
      <c r="H2807" s="2">
        <f t="shared" si="129"/>
        <v>41.300000000000182</v>
      </c>
      <c r="I2807" s="3">
        <f t="shared" si="130"/>
        <v>9.5637273064098239E-3</v>
      </c>
    </row>
    <row r="2808" spans="2:9" x14ac:dyDescent="0.25">
      <c r="B2808" s="1">
        <v>39266</v>
      </c>
      <c r="C2808" s="2">
        <v>4357.55</v>
      </c>
      <c r="D2808" s="2">
        <v>4315.05</v>
      </c>
      <c r="E2808" s="2">
        <v>4363.3500000000004</v>
      </c>
      <c r="F2808" s="2">
        <v>4313.55</v>
      </c>
      <c r="G2808" s="3">
        <f t="shared" si="131"/>
        <v>1.0153578672848385E-2</v>
      </c>
      <c r="H2808" s="2">
        <f t="shared" si="129"/>
        <v>49.800000000000182</v>
      </c>
      <c r="I2808" s="3">
        <f t="shared" si="130"/>
        <v>1.154100184238889E-2</v>
      </c>
    </row>
    <row r="2809" spans="2:9" x14ac:dyDescent="0.25">
      <c r="B2809" s="1">
        <v>39267</v>
      </c>
      <c r="C2809" s="2">
        <v>4359.3</v>
      </c>
      <c r="D2809" s="2">
        <v>4358.25</v>
      </c>
      <c r="E2809" s="2">
        <v>4386.45</v>
      </c>
      <c r="F2809" s="2">
        <v>4342</v>
      </c>
      <c r="G2809" s="3">
        <f t="shared" si="131"/>
        <v>4.0160181753501334E-4</v>
      </c>
      <c r="H2809" s="2">
        <f t="shared" si="129"/>
        <v>44.449999999999818</v>
      </c>
      <c r="I2809" s="3">
        <f t="shared" si="130"/>
        <v>1.0199047782940359E-2</v>
      </c>
    </row>
    <row r="2810" spans="2:9" x14ac:dyDescent="0.25">
      <c r="B2810" s="1">
        <v>39268</v>
      </c>
      <c r="C2810" s="2">
        <v>4353.95</v>
      </c>
      <c r="D2810" s="2">
        <v>4359.2</v>
      </c>
      <c r="E2810" s="2">
        <v>4378.55</v>
      </c>
      <c r="F2810" s="2">
        <v>4311.8</v>
      </c>
      <c r="G2810" s="3">
        <f t="shared" si="131"/>
        <v>-1.2272612575414676E-3</v>
      </c>
      <c r="H2810" s="2">
        <f t="shared" si="129"/>
        <v>66.75</v>
      </c>
      <c r="I2810" s="3">
        <f t="shared" si="130"/>
        <v>1.5312442650027529E-2</v>
      </c>
    </row>
    <row r="2811" spans="2:9" x14ac:dyDescent="0.25">
      <c r="B2811" s="1">
        <v>39269</v>
      </c>
      <c r="C2811" s="2">
        <v>4384.8500000000004</v>
      </c>
      <c r="D2811" s="2">
        <v>4353.1000000000004</v>
      </c>
      <c r="E2811" s="2">
        <v>4411</v>
      </c>
      <c r="F2811" s="2">
        <v>4304</v>
      </c>
      <c r="G2811" s="3">
        <f t="shared" si="131"/>
        <v>7.097003870049079E-3</v>
      </c>
      <c r="H2811" s="2">
        <f t="shared" si="129"/>
        <v>107</v>
      </c>
      <c r="I2811" s="3">
        <f t="shared" si="130"/>
        <v>2.4580184236521099E-2</v>
      </c>
    </row>
    <row r="2812" spans="2:9" x14ac:dyDescent="0.25">
      <c r="B2812" s="1">
        <v>39272</v>
      </c>
      <c r="C2812" s="2">
        <v>4419.3999999999996</v>
      </c>
      <c r="D2812" s="2">
        <v>4385.45</v>
      </c>
      <c r="E2812" s="2">
        <v>4427.55</v>
      </c>
      <c r="F2812" s="2">
        <v>4385.45</v>
      </c>
      <c r="G2812" s="3">
        <f t="shared" si="131"/>
        <v>7.8794029442281754E-3</v>
      </c>
      <c r="H2812" s="2">
        <f t="shared" si="129"/>
        <v>42.100000000000364</v>
      </c>
      <c r="I2812" s="3">
        <f t="shared" si="130"/>
        <v>9.5999270314335739E-3</v>
      </c>
    </row>
    <row r="2813" spans="2:9" x14ac:dyDescent="0.25">
      <c r="B2813" s="1">
        <v>39273</v>
      </c>
      <c r="C2813" s="2">
        <v>4406.05</v>
      </c>
      <c r="D2813" s="2">
        <v>4419.1000000000004</v>
      </c>
      <c r="E2813" s="2">
        <v>4434.45</v>
      </c>
      <c r="F2813" s="2">
        <v>4393</v>
      </c>
      <c r="G2813" s="3">
        <f t="shared" si="131"/>
        <v>-3.0207720505044389E-3</v>
      </c>
      <c r="H2813" s="2">
        <f t="shared" si="129"/>
        <v>41.449999999999818</v>
      </c>
      <c r="I2813" s="3">
        <f t="shared" si="130"/>
        <v>9.3797379556922935E-3</v>
      </c>
    </row>
    <row r="2814" spans="2:9" x14ac:dyDescent="0.25">
      <c r="B2814" s="1">
        <v>39274</v>
      </c>
      <c r="C2814" s="2">
        <v>4387.1499999999996</v>
      </c>
      <c r="D2814" s="2">
        <v>4403.8</v>
      </c>
      <c r="E2814" s="2">
        <v>4411.45</v>
      </c>
      <c r="F2814" s="2">
        <v>4344.7</v>
      </c>
      <c r="G2814" s="3">
        <f t="shared" si="131"/>
        <v>-4.289556405397299E-3</v>
      </c>
      <c r="H2814" s="2">
        <f t="shared" si="129"/>
        <v>66.75</v>
      </c>
      <c r="I2814" s="3">
        <f t="shared" si="130"/>
        <v>1.5157364094645532E-2</v>
      </c>
    </row>
    <row r="2815" spans="2:9" x14ac:dyDescent="0.25">
      <c r="B2815" s="1">
        <v>39275</v>
      </c>
      <c r="C2815" s="2">
        <v>4446.1499999999996</v>
      </c>
      <c r="D2815" s="2">
        <v>4388.05</v>
      </c>
      <c r="E2815" s="2">
        <v>4451.95</v>
      </c>
      <c r="F2815" s="2">
        <v>4387.05</v>
      </c>
      <c r="G2815" s="3">
        <f t="shared" si="131"/>
        <v>1.3448366251438859E-2</v>
      </c>
      <c r="H2815" s="2">
        <f t="shared" si="129"/>
        <v>64.899999999999636</v>
      </c>
      <c r="I2815" s="3">
        <f t="shared" si="130"/>
        <v>1.4790168753774372E-2</v>
      </c>
    </row>
    <row r="2816" spans="2:9" x14ac:dyDescent="0.25">
      <c r="B2816" s="1">
        <v>39276</v>
      </c>
      <c r="C2816" s="2">
        <v>4504.55</v>
      </c>
      <c r="D2816" s="2">
        <v>4446.3999999999996</v>
      </c>
      <c r="E2816" s="2">
        <v>4513.8999999999996</v>
      </c>
      <c r="F2816" s="2">
        <v>4446.05</v>
      </c>
      <c r="G2816" s="3">
        <f t="shared" si="131"/>
        <v>1.3134959459307538E-2</v>
      </c>
      <c r="H2816" s="2">
        <f t="shared" si="129"/>
        <v>67.849999999999454</v>
      </c>
      <c r="I2816" s="3">
        <f t="shared" si="130"/>
        <v>1.5259535804246009E-2</v>
      </c>
    </row>
    <row r="2817" spans="2:9" x14ac:dyDescent="0.25">
      <c r="B2817" s="1">
        <v>39279</v>
      </c>
      <c r="C2817" s="2">
        <v>4512.1499999999996</v>
      </c>
      <c r="D2817" s="2">
        <v>4505.95</v>
      </c>
      <c r="E2817" s="2">
        <v>4521.8500000000004</v>
      </c>
      <c r="F2817" s="2">
        <v>4495.95</v>
      </c>
      <c r="G2817" s="3">
        <f t="shared" si="131"/>
        <v>1.6871829594520271E-3</v>
      </c>
      <c r="H2817" s="2">
        <f t="shared" si="129"/>
        <v>25.900000000000546</v>
      </c>
      <c r="I2817" s="3">
        <f t="shared" si="130"/>
        <v>5.7479554810862411E-3</v>
      </c>
    </row>
    <row r="2818" spans="2:9" x14ac:dyDescent="0.25">
      <c r="B2818" s="1">
        <v>39280</v>
      </c>
      <c r="C2818" s="2">
        <v>4496.75</v>
      </c>
      <c r="D2818" s="2">
        <v>4497.1000000000004</v>
      </c>
      <c r="E2818" s="2">
        <v>4550.25</v>
      </c>
      <c r="F2818" s="2">
        <v>4488.25</v>
      </c>
      <c r="G2818" s="3">
        <f t="shared" si="131"/>
        <v>-3.4130071030439302E-3</v>
      </c>
      <c r="H2818" s="2">
        <f t="shared" si="129"/>
        <v>62</v>
      </c>
      <c r="I2818" s="3">
        <f t="shared" si="130"/>
        <v>1.3786662515843543E-2</v>
      </c>
    </row>
    <row r="2819" spans="2:9" x14ac:dyDescent="0.25">
      <c r="B2819" s="1">
        <v>39281</v>
      </c>
      <c r="C2819" s="2">
        <v>4499.55</v>
      </c>
      <c r="D2819" s="2">
        <v>4498.6499999999996</v>
      </c>
      <c r="E2819" s="2">
        <v>4510.8</v>
      </c>
      <c r="F2819" s="2">
        <v>4452.8500000000004</v>
      </c>
      <c r="G2819" s="3">
        <f t="shared" si="131"/>
        <v>6.2267192972709218E-4</v>
      </c>
      <c r="H2819" s="2">
        <f t="shared" si="129"/>
        <v>57.949999999999818</v>
      </c>
      <c r="I2819" s="3">
        <f t="shared" si="130"/>
        <v>1.2881642270458876E-2</v>
      </c>
    </row>
    <row r="2820" spans="2:9" x14ac:dyDescent="0.25">
      <c r="B2820" s="1">
        <v>39282</v>
      </c>
      <c r="C2820" s="2">
        <v>4562.1000000000004</v>
      </c>
      <c r="D2820" s="2">
        <v>4500.3500000000004</v>
      </c>
      <c r="E2820" s="2">
        <v>4573</v>
      </c>
      <c r="F2820" s="2">
        <v>4496.2</v>
      </c>
      <c r="G2820" s="3">
        <f t="shared" si="131"/>
        <v>1.3901390139013925E-2</v>
      </c>
      <c r="H2820" s="2">
        <f t="shared" si="129"/>
        <v>76.800000000000182</v>
      </c>
      <c r="I2820" s="3">
        <f t="shared" si="130"/>
        <v>1.7065339362494068E-2</v>
      </c>
    </row>
    <row r="2821" spans="2:9" x14ac:dyDescent="0.25">
      <c r="B2821" s="1">
        <v>39283</v>
      </c>
      <c r="C2821" s="2">
        <v>4566.05</v>
      </c>
      <c r="D2821" s="2">
        <v>4563.75</v>
      </c>
      <c r="E2821" s="2">
        <v>4600.8</v>
      </c>
      <c r="F2821" s="2">
        <v>4553.8</v>
      </c>
      <c r="G2821" s="3">
        <f t="shared" si="131"/>
        <v>8.658293329826261E-4</v>
      </c>
      <c r="H2821" s="2">
        <f t="shared" ref="H2821:H2884" si="132">E2821-F2821</f>
        <v>47</v>
      </c>
      <c r="I2821" s="3">
        <f t="shared" si="130"/>
        <v>1.0298548342919748E-2</v>
      </c>
    </row>
    <row r="2822" spans="2:9" x14ac:dyDescent="0.25">
      <c r="B2822" s="1">
        <v>39286</v>
      </c>
      <c r="C2822" s="2">
        <v>4619.3500000000004</v>
      </c>
      <c r="D2822" s="2">
        <v>4564.25</v>
      </c>
      <c r="E2822" s="2">
        <v>4628.45</v>
      </c>
      <c r="F2822" s="2">
        <v>4547.2</v>
      </c>
      <c r="G2822" s="3">
        <f t="shared" si="131"/>
        <v>1.1673109142475546E-2</v>
      </c>
      <c r="H2822" s="2">
        <f t="shared" si="132"/>
        <v>81.25</v>
      </c>
      <c r="I2822" s="3">
        <f t="shared" ref="I2822:I2885" si="133">H2822/D2822</f>
        <v>1.7801391247192856E-2</v>
      </c>
    </row>
    <row r="2823" spans="2:9" x14ac:dyDescent="0.25">
      <c r="B2823" s="1">
        <v>39287</v>
      </c>
      <c r="C2823" s="2">
        <v>4620.75</v>
      </c>
      <c r="D2823" s="2">
        <v>4620.05</v>
      </c>
      <c r="E2823" s="2">
        <v>4647.95</v>
      </c>
      <c r="F2823" s="2">
        <v>4609.75</v>
      </c>
      <c r="G2823" s="3">
        <f t="shared" ref="G2823:G2886" si="134">C2823/C2822-1</f>
        <v>3.0307294316300748E-4</v>
      </c>
      <c r="H2823" s="2">
        <f t="shared" si="132"/>
        <v>38.199999999999818</v>
      </c>
      <c r="I2823" s="3">
        <f t="shared" si="133"/>
        <v>8.2683087845369235E-3</v>
      </c>
    </row>
    <row r="2824" spans="2:9" x14ac:dyDescent="0.25">
      <c r="B2824" s="1">
        <v>39288</v>
      </c>
      <c r="C2824" s="2">
        <v>4588.7</v>
      </c>
      <c r="D2824" s="2">
        <v>4620.5</v>
      </c>
      <c r="E2824" s="2">
        <v>4620.5</v>
      </c>
      <c r="F2824" s="2">
        <v>4555.8</v>
      </c>
      <c r="G2824" s="3">
        <f t="shared" si="134"/>
        <v>-6.9361034464102689E-3</v>
      </c>
      <c r="H2824" s="2">
        <f t="shared" si="132"/>
        <v>64.699999999999818</v>
      </c>
      <c r="I2824" s="3">
        <f t="shared" si="133"/>
        <v>1.4002813548317242E-2</v>
      </c>
    </row>
    <row r="2825" spans="2:9" x14ac:dyDescent="0.25">
      <c r="B2825" s="1">
        <v>39289</v>
      </c>
      <c r="C2825" s="2">
        <v>4619.8</v>
      </c>
      <c r="D2825" s="2">
        <v>4593.1000000000004</v>
      </c>
      <c r="E2825" s="2">
        <v>4624.3</v>
      </c>
      <c r="F2825" s="2">
        <v>4570.8</v>
      </c>
      <c r="G2825" s="3">
        <f t="shared" si="134"/>
        <v>6.7775186872098825E-3</v>
      </c>
      <c r="H2825" s="2">
        <f t="shared" si="132"/>
        <v>53.5</v>
      </c>
      <c r="I2825" s="3">
        <f t="shared" si="133"/>
        <v>1.1647906642572554E-2</v>
      </c>
    </row>
    <row r="2826" spans="2:9" x14ac:dyDescent="0.25">
      <c r="B2826" s="1">
        <v>39290</v>
      </c>
      <c r="C2826" s="2">
        <v>4445.2</v>
      </c>
      <c r="D2826" s="2">
        <v>4618.6499999999996</v>
      </c>
      <c r="E2826" s="2">
        <v>4618.8999999999996</v>
      </c>
      <c r="F2826" s="2">
        <v>4424.25</v>
      </c>
      <c r="G2826" s="3">
        <f t="shared" si="134"/>
        <v>-3.7793843889345924E-2</v>
      </c>
      <c r="H2826" s="2">
        <f t="shared" si="132"/>
        <v>194.64999999999964</v>
      </c>
      <c r="I2826" s="3">
        <f t="shared" si="133"/>
        <v>4.2144349539367486E-2</v>
      </c>
    </row>
    <row r="2827" spans="2:9" x14ac:dyDescent="0.25">
      <c r="B2827" s="1">
        <v>39293</v>
      </c>
      <c r="C2827" s="2">
        <v>4440.05</v>
      </c>
      <c r="D2827" s="2">
        <v>4442.3500000000004</v>
      </c>
      <c r="E2827" s="2">
        <v>4493.05</v>
      </c>
      <c r="F2827" s="2">
        <v>4403.7</v>
      </c>
      <c r="G2827" s="3">
        <f t="shared" si="134"/>
        <v>-1.1585530459821136E-3</v>
      </c>
      <c r="H2827" s="2">
        <f t="shared" si="132"/>
        <v>89.350000000000364</v>
      </c>
      <c r="I2827" s="3">
        <f t="shared" si="133"/>
        <v>2.0113228358864196E-2</v>
      </c>
    </row>
    <row r="2828" spans="2:9" x14ac:dyDescent="0.25">
      <c r="B2828" s="1">
        <v>39294</v>
      </c>
      <c r="C2828" s="2">
        <v>4528.8500000000004</v>
      </c>
      <c r="D2828" s="2">
        <v>4444.25</v>
      </c>
      <c r="E2828" s="2">
        <v>4534.2</v>
      </c>
      <c r="F2828" s="2">
        <v>4432.8500000000004</v>
      </c>
      <c r="G2828" s="3">
        <f t="shared" si="134"/>
        <v>1.9999774777311075E-2</v>
      </c>
      <c r="H2828" s="2">
        <f t="shared" si="132"/>
        <v>101.34999999999945</v>
      </c>
      <c r="I2828" s="3">
        <f t="shared" si="133"/>
        <v>2.2804747707712091E-2</v>
      </c>
    </row>
    <row r="2829" spans="2:9" x14ac:dyDescent="0.25">
      <c r="B2829" s="1">
        <v>39295</v>
      </c>
      <c r="C2829" s="2">
        <v>4345.8500000000004</v>
      </c>
      <c r="D2829" s="2">
        <v>4528.8500000000004</v>
      </c>
      <c r="E2829" s="2">
        <v>4532.8999999999996</v>
      </c>
      <c r="F2829" s="2">
        <v>4339.75</v>
      </c>
      <c r="G2829" s="3">
        <f t="shared" si="134"/>
        <v>-4.0407608995661093E-2</v>
      </c>
      <c r="H2829" s="2">
        <f t="shared" si="132"/>
        <v>193.14999999999964</v>
      </c>
      <c r="I2829" s="3">
        <f t="shared" si="133"/>
        <v>4.2648796051977793E-2</v>
      </c>
    </row>
    <row r="2830" spans="2:9" x14ac:dyDescent="0.25">
      <c r="B2830" s="1">
        <v>39296</v>
      </c>
      <c r="C2830" s="2">
        <v>4356.3500000000004</v>
      </c>
      <c r="D2830" s="2">
        <v>4356.3500000000004</v>
      </c>
      <c r="E2830" s="2">
        <v>4399.75</v>
      </c>
      <c r="F2830" s="2">
        <v>4327</v>
      </c>
      <c r="G2830" s="3">
        <f t="shared" si="134"/>
        <v>2.4160981165939344E-3</v>
      </c>
      <c r="H2830" s="2">
        <f t="shared" si="132"/>
        <v>72.75</v>
      </c>
      <c r="I2830" s="3">
        <f t="shared" si="133"/>
        <v>1.6699760120284183E-2</v>
      </c>
    </row>
    <row r="2831" spans="2:9" x14ac:dyDescent="0.25">
      <c r="B2831" s="1">
        <v>39297</v>
      </c>
      <c r="C2831" s="2">
        <v>4401.55</v>
      </c>
      <c r="D2831" s="2">
        <v>4355.75</v>
      </c>
      <c r="E2831" s="2">
        <v>4428.1000000000004</v>
      </c>
      <c r="F2831" s="2">
        <v>4355.75</v>
      </c>
      <c r="G2831" s="3">
        <f t="shared" si="134"/>
        <v>1.0375658521468711E-2</v>
      </c>
      <c r="H2831" s="2">
        <f t="shared" si="132"/>
        <v>72.350000000000364</v>
      </c>
      <c r="I2831" s="3">
        <f t="shared" si="133"/>
        <v>1.6610227859725733E-2</v>
      </c>
    </row>
    <row r="2832" spans="2:9" x14ac:dyDescent="0.25">
      <c r="B2832" s="1">
        <v>39300</v>
      </c>
      <c r="C2832" s="2">
        <v>4339.5</v>
      </c>
      <c r="D2832" s="2">
        <v>4404.05</v>
      </c>
      <c r="E2832" s="2">
        <v>4404.05</v>
      </c>
      <c r="F2832" s="2">
        <v>4267.1499999999996</v>
      </c>
      <c r="G2832" s="3">
        <f t="shared" si="134"/>
        <v>-1.4097306630618811E-2</v>
      </c>
      <c r="H2832" s="2">
        <f t="shared" si="132"/>
        <v>136.90000000000055</v>
      </c>
      <c r="I2832" s="3">
        <f t="shared" si="133"/>
        <v>3.1085024011989086E-2</v>
      </c>
    </row>
    <row r="2833" spans="2:9" x14ac:dyDescent="0.25">
      <c r="B2833" s="1">
        <v>39301</v>
      </c>
      <c r="C2833" s="2">
        <v>4356.3500000000004</v>
      </c>
      <c r="D2833" s="2">
        <v>4341.5</v>
      </c>
      <c r="E2833" s="2">
        <v>4406.3999999999996</v>
      </c>
      <c r="F2833" s="2">
        <v>4341.5</v>
      </c>
      <c r="G2833" s="3">
        <f t="shared" si="134"/>
        <v>3.8829358220993093E-3</v>
      </c>
      <c r="H2833" s="2">
        <f t="shared" si="132"/>
        <v>64.899999999999636</v>
      </c>
      <c r="I2833" s="3">
        <f t="shared" si="133"/>
        <v>1.4948750431878299E-2</v>
      </c>
    </row>
    <row r="2834" spans="2:9" x14ac:dyDescent="0.25">
      <c r="B2834" s="1">
        <v>39302</v>
      </c>
      <c r="C2834" s="2">
        <v>4462.1000000000004</v>
      </c>
      <c r="D2834" s="2">
        <v>4357</v>
      </c>
      <c r="E2834" s="2">
        <v>4472.1499999999996</v>
      </c>
      <c r="F2834" s="2">
        <v>4356.75</v>
      </c>
      <c r="G2834" s="3">
        <f t="shared" si="134"/>
        <v>2.427490904082541E-2</v>
      </c>
      <c r="H2834" s="2">
        <f t="shared" si="132"/>
        <v>115.39999999999964</v>
      </c>
      <c r="I2834" s="3">
        <f t="shared" si="133"/>
        <v>2.6486114298829386E-2</v>
      </c>
    </row>
    <row r="2835" spans="2:9" x14ac:dyDescent="0.25">
      <c r="B2835" s="1">
        <v>39303</v>
      </c>
      <c r="C2835" s="2">
        <v>4403.2</v>
      </c>
      <c r="D2835" s="2">
        <v>4462.25</v>
      </c>
      <c r="E2835" s="2">
        <v>4530.05</v>
      </c>
      <c r="F2835" s="2">
        <v>4390.8</v>
      </c>
      <c r="G2835" s="3">
        <f t="shared" si="134"/>
        <v>-1.320006275072283E-2</v>
      </c>
      <c r="H2835" s="2">
        <f t="shared" si="132"/>
        <v>139.25</v>
      </c>
      <c r="I2835" s="3">
        <f t="shared" si="133"/>
        <v>3.1206230040898651E-2</v>
      </c>
    </row>
    <row r="2836" spans="2:9" x14ac:dyDescent="0.25">
      <c r="B2836" s="1">
        <v>39304</v>
      </c>
      <c r="C2836" s="2">
        <v>4333.3500000000004</v>
      </c>
      <c r="D2836" s="2">
        <v>4393.6000000000004</v>
      </c>
      <c r="E2836" s="2">
        <v>4395.5</v>
      </c>
      <c r="F2836" s="2">
        <v>4239.2</v>
      </c>
      <c r="G2836" s="3">
        <f t="shared" si="134"/>
        <v>-1.5863462936046346E-2</v>
      </c>
      <c r="H2836" s="2">
        <f t="shared" si="132"/>
        <v>156.30000000000018</v>
      </c>
      <c r="I2836" s="3">
        <f t="shared" si="133"/>
        <v>3.5574471959213441E-2</v>
      </c>
    </row>
    <row r="2837" spans="2:9" x14ac:dyDescent="0.25">
      <c r="B2837" s="1">
        <v>39307</v>
      </c>
      <c r="C2837" s="2">
        <v>4373.6499999999996</v>
      </c>
      <c r="D2837" s="2">
        <v>4324.6499999999996</v>
      </c>
      <c r="E2837" s="2">
        <v>4383.8</v>
      </c>
      <c r="F2837" s="2">
        <v>4324.6499999999996</v>
      </c>
      <c r="G2837" s="3">
        <f t="shared" si="134"/>
        <v>9.2999642309066211E-3</v>
      </c>
      <c r="H2837" s="2">
        <f t="shared" si="132"/>
        <v>59.150000000000546</v>
      </c>
      <c r="I2837" s="3">
        <f t="shared" si="133"/>
        <v>1.3677407420253789E-2</v>
      </c>
    </row>
    <row r="2838" spans="2:9" x14ac:dyDescent="0.25">
      <c r="B2838" s="1">
        <v>39308</v>
      </c>
      <c r="C2838" s="2">
        <v>4370.2</v>
      </c>
      <c r="D2838" s="2">
        <v>4373.8999999999996</v>
      </c>
      <c r="E2838" s="2">
        <v>4394.3</v>
      </c>
      <c r="F2838" s="2">
        <v>4354.3500000000004</v>
      </c>
      <c r="G2838" s="3">
        <f t="shared" si="134"/>
        <v>-7.8881483429171784E-4</v>
      </c>
      <c r="H2838" s="2">
        <f t="shared" si="132"/>
        <v>39.949999999999818</v>
      </c>
      <c r="I2838" s="3">
        <f t="shared" si="133"/>
        <v>9.1337250508698922E-3</v>
      </c>
    </row>
    <row r="2839" spans="2:9" x14ac:dyDescent="0.25">
      <c r="B2839" s="1">
        <v>39310</v>
      </c>
      <c r="C2839" s="2">
        <v>4178.6000000000004</v>
      </c>
      <c r="D2839" s="2">
        <v>4366</v>
      </c>
      <c r="E2839" s="2">
        <v>4366</v>
      </c>
      <c r="F2839" s="2">
        <v>4171.1499999999996</v>
      </c>
      <c r="G2839" s="3">
        <f t="shared" si="134"/>
        <v>-4.3842387076106215E-2</v>
      </c>
      <c r="H2839" s="2">
        <f t="shared" si="132"/>
        <v>194.85000000000036</v>
      </c>
      <c r="I2839" s="3">
        <f t="shared" si="133"/>
        <v>4.4628950984883273E-2</v>
      </c>
    </row>
    <row r="2840" spans="2:9" x14ac:dyDescent="0.25">
      <c r="B2840" s="1">
        <v>39311</v>
      </c>
      <c r="C2840" s="2">
        <v>4108.05</v>
      </c>
      <c r="D2840" s="2">
        <v>4171.1000000000004</v>
      </c>
      <c r="E2840" s="2">
        <v>4171.1000000000004</v>
      </c>
      <c r="F2840" s="2">
        <v>4002.2</v>
      </c>
      <c r="G2840" s="3">
        <f t="shared" si="134"/>
        <v>-1.6883645240032608E-2</v>
      </c>
      <c r="H2840" s="2">
        <f t="shared" si="132"/>
        <v>168.90000000000055</v>
      </c>
      <c r="I2840" s="3">
        <f t="shared" si="133"/>
        <v>4.0492915537867838E-2</v>
      </c>
    </row>
    <row r="2841" spans="2:9" x14ac:dyDescent="0.25">
      <c r="B2841" s="1">
        <v>39314</v>
      </c>
      <c r="C2841" s="2">
        <v>4209.05</v>
      </c>
      <c r="D2841" s="2">
        <v>4108.95</v>
      </c>
      <c r="E2841" s="2">
        <v>4262.6000000000004</v>
      </c>
      <c r="F2841" s="2">
        <v>4108.95</v>
      </c>
      <c r="G2841" s="3">
        <f t="shared" si="134"/>
        <v>2.4585874076508363E-2</v>
      </c>
      <c r="H2841" s="2">
        <f t="shared" si="132"/>
        <v>153.65000000000055</v>
      </c>
      <c r="I2841" s="3">
        <f t="shared" si="133"/>
        <v>3.7393981430779287E-2</v>
      </c>
    </row>
    <row r="2842" spans="2:9" x14ac:dyDescent="0.25">
      <c r="B2842" s="1">
        <v>39315</v>
      </c>
      <c r="C2842" s="2">
        <v>4074.9</v>
      </c>
      <c r="D2842" s="2">
        <v>4209.55</v>
      </c>
      <c r="E2842" s="2">
        <v>4238.1000000000004</v>
      </c>
      <c r="F2842" s="2">
        <v>4058.55</v>
      </c>
      <c r="G2842" s="3">
        <f t="shared" si="134"/>
        <v>-3.187180004989254E-2</v>
      </c>
      <c r="H2842" s="2">
        <f t="shared" si="132"/>
        <v>179.55000000000018</v>
      </c>
      <c r="I2842" s="3">
        <f t="shared" si="133"/>
        <v>4.2653015167892099E-2</v>
      </c>
    </row>
    <row r="2843" spans="2:9" x14ac:dyDescent="0.25">
      <c r="B2843" s="1">
        <v>39316</v>
      </c>
      <c r="C2843" s="2">
        <v>4153.1499999999996</v>
      </c>
      <c r="D2843" s="2">
        <v>4081.25</v>
      </c>
      <c r="E2843" s="2">
        <v>4165.7</v>
      </c>
      <c r="F2843" s="2">
        <v>4040.15</v>
      </c>
      <c r="G2843" s="3">
        <f t="shared" si="134"/>
        <v>1.9202925225158873E-2</v>
      </c>
      <c r="H2843" s="2">
        <f t="shared" si="132"/>
        <v>125.54999999999973</v>
      </c>
      <c r="I2843" s="3">
        <f t="shared" si="133"/>
        <v>3.0762633996937145E-2</v>
      </c>
    </row>
    <row r="2844" spans="2:9" x14ac:dyDescent="0.25">
      <c r="B2844" s="1">
        <v>39317</v>
      </c>
      <c r="C2844" s="2">
        <v>4114.95</v>
      </c>
      <c r="D2844" s="2">
        <v>4160.1000000000004</v>
      </c>
      <c r="E2844" s="2">
        <v>4249.8500000000004</v>
      </c>
      <c r="F2844" s="2">
        <v>4100.8</v>
      </c>
      <c r="G2844" s="3">
        <f t="shared" si="134"/>
        <v>-9.1978377857769855E-3</v>
      </c>
      <c r="H2844" s="2">
        <f t="shared" si="132"/>
        <v>149.05000000000018</v>
      </c>
      <c r="I2844" s="3">
        <f t="shared" si="133"/>
        <v>3.582846566188317E-2</v>
      </c>
    </row>
    <row r="2845" spans="2:9" x14ac:dyDescent="0.25">
      <c r="B2845" s="1">
        <v>39318</v>
      </c>
      <c r="C2845" s="2">
        <v>4190.1499999999996</v>
      </c>
      <c r="D2845" s="2">
        <v>4113.05</v>
      </c>
      <c r="E2845" s="2">
        <v>4201.45</v>
      </c>
      <c r="F2845" s="2">
        <v>4110.05</v>
      </c>
      <c r="G2845" s="3">
        <f t="shared" si="134"/>
        <v>1.8274827154643347E-2</v>
      </c>
      <c r="H2845" s="2">
        <f t="shared" si="132"/>
        <v>91.399999999999636</v>
      </c>
      <c r="I2845" s="3">
        <f t="shared" si="133"/>
        <v>2.222195207935708E-2</v>
      </c>
    </row>
    <row r="2846" spans="2:9" x14ac:dyDescent="0.25">
      <c r="B2846" s="1">
        <v>39321</v>
      </c>
      <c r="C2846" s="2">
        <v>4302.6000000000004</v>
      </c>
      <c r="D2846" s="2">
        <v>4193.6000000000004</v>
      </c>
      <c r="E2846" s="2">
        <v>4310</v>
      </c>
      <c r="F2846" s="2">
        <v>4193.6000000000004</v>
      </c>
      <c r="G2846" s="3">
        <f t="shared" si="134"/>
        <v>2.6836748087777362E-2</v>
      </c>
      <c r="H2846" s="2">
        <f t="shared" si="132"/>
        <v>116.39999999999964</v>
      </c>
      <c r="I2846" s="3">
        <f t="shared" si="133"/>
        <v>2.7756581457458896E-2</v>
      </c>
    </row>
    <row r="2847" spans="2:9" x14ac:dyDescent="0.25">
      <c r="B2847" s="1">
        <v>39322</v>
      </c>
      <c r="C2847" s="2">
        <v>4320.7</v>
      </c>
      <c r="D2847" s="2">
        <v>4302.3999999999996</v>
      </c>
      <c r="E2847" s="2">
        <v>4329.1499999999996</v>
      </c>
      <c r="F2847" s="2">
        <v>4280.6000000000004</v>
      </c>
      <c r="G2847" s="3">
        <f t="shared" si="134"/>
        <v>4.206758704039304E-3</v>
      </c>
      <c r="H2847" s="2">
        <f t="shared" si="132"/>
        <v>48.549999999999272</v>
      </c>
      <c r="I2847" s="3">
        <f t="shared" si="133"/>
        <v>1.1284399404983096E-2</v>
      </c>
    </row>
    <row r="2848" spans="2:9" x14ac:dyDescent="0.25">
      <c r="B2848" s="1">
        <v>39323</v>
      </c>
      <c r="C2848" s="2">
        <v>4359.3</v>
      </c>
      <c r="D2848" s="2">
        <v>4317.7</v>
      </c>
      <c r="E2848" s="2">
        <v>4368.6000000000004</v>
      </c>
      <c r="F2848" s="2">
        <v>4226.3500000000004</v>
      </c>
      <c r="G2848" s="3">
        <f t="shared" si="134"/>
        <v>8.9337375888167703E-3</v>
      </c>
      <c r="H2848" s="2">
        <f t="shared" si="132"/>
        <v>142.25</v>
      </c>
      <c r="I2848" s="3">
        <f t="shared" si="133"/>
        <v>3.2945781318757673E-2</v>
      </c>
    </row>
    <row r="2849" spans="2:9" x14ac:dyDescent="0.25">
      <c r="B2849" s="1">
        <v>39324</v>
      </c>
      <c r="C2849" s="2">
        <v>4412.3</v>
      </c>
      <c r="D2849" s="2">
        <v>4360.3500000000004</v>
      </c>
      <c r="E2849" s="2">
        <v>4422.3</v>
      </c>
      <c r="F2849" s="2">
        <v>4359.75</v>
      </c>
      <c r="G2849" s="3">
        <f t="shared" si="134"/>
        <v>1.2157915261624463E-2</v>
      </c>
      <c r="H2849" s="2">
        <f t="shared" si="132"/>
        <v>62.550000000000182</v>
      </c>
      <c r="I2849" s="3">
        <f t="shared" si="133"/>
        <v>1.4345178712718057E-2</v>
      </c>
    </row>
    <row r="2850" spans="2:9" x14ac:dyDescent="0.25">
      <c r="B2850" s="1">
        <v>39325</v>
      </c>
      <c r="C2850" s="2">
        <v>4464</v>
      </c>
      <c r="D2850" s="2">
        <v>4412.6000000000004</v>
      </c>
      <c r="E2850" s="2">
        <v>4471.3</v>
      </c>
      <c r="F2850" s="2">
        <v>4403</v>
      </c>
      <c r="G2850" s="3">
        <f t="shared" si="134"/>
        <v>1.1717244974276397E-2</v>
      </c>
      <c r="H2850" s="2">
        <f t="shared" si="132"/>
        <v>68.300000000000182</v>
      </c>
      <c r="I2850" s="3">
        <f t="shared" si="133"/>
        <v>1.5478402755744951E-2</v>
      </c>
    </row>
    <row r="2851" spans="2:9" x14ac:dyDescent="0.25">
      <c r="B2851" s="1">
        <v>39328</v>
      </c>
      <c r="C2851" s="2">
        <v>4474.75</v>
      </c>
      <c r="D2851" s="2">
        <v>4466.6499999999996</v>
      </c>
      <c r="E2851" s="2">
        <v>4490.55</v>
      </c>
      <c r="F2851" s="2">
        <v>4452.3999999999996</v>
      </c>
      <c r="G2851" s="3">
        <f t="shared" si="134"/>
        <v>2.4081541218639035E-3</v>
      </c>
      <c r="H2851" s="2">
        <f t="shared" si="132"/>
        <v>38.150000000000546</v>
      </c>
      <c r="I2851" s="3">
        <f t="shared" si="133"/>
        <v>8.541076645808502E-3</v>
      </c>
    </row>
    <row r="2852" spans="2:9" x14ac:dyDescent="0.25">
      <c r="B2852" s="1">
        <v>39329</v>
      </c>
      <c r="C2852" s="2">
        <v>4479.25</v>
      </c>
      <c r="D2852" s="2">
        <v>4481.55</v>
      </c>
      <c r="E2852" s="2">
        <v>4501.3</v>
      </c>
      <c r="F2852" s="2">
        <v>4460.3999999999996</v>
      </c>
      <c r="G2852" s="3">
        <f t="shared" si="134"/>
        <v>1.0056427733393658E-3</v>
      </c>
      <c r="H2852" s="2">
        <f t="shared" si="132"/>
        <v>40.900000000000546</v>
      </c>
      <c r="I2852" s="3">
        <f t="shared" si="133"/>
        <v>9.1263067465498643E-3</v>
      </c>
    </row>
    <row r="2853" spans="2:9" x14ac:dyDescent="0.25">
      <c r="B2853" s="1">
        <v>39330</v>
      </c>
      <c r="C2853" s="2">
        <v>4475.8500000000004</v>
      </c>
      <c r="D2853" s="2">
        <v>4479.6000000000004</v>
      </c>
      <c r="E2853" s="2">
        <v>4507.75</v>
      </c>
      <c r="F2853" s="2">
        <v>4458.55</v>
      </c>
      <c r="G2853" s="3">
        <f t="shared" si="134"/>
        <v>-7.5905564547629201E-4</v>
      </c>
      <c r="H2853" s="2">
        <f t="shared" si="132"/>
        <v>49.199999999999818</v>
      </c>
      <c r="I2853" s="3">
        <f t="shared" si="133"/>
        <v>1.0983123493168991E-2</v>
      </c>
    </row>
    <row r="2854" spans="2:9" x14ac:dyDescent="0.25">
      <c r="B2854" s="1">
        <v>39331</v>
      </c>
      <c r="C2854" s="2">
        <v>4518.6000000000004</v>
      </c>
      <c r="D2854" s="2">
        <v>4475.7</v>
      </c>
      <c r="E2854" s="2">
        <v>4522.5</v>
      </c>
      <c r="F2854" s="2">
        <v>4445.55</v>
      </c>
      <c r="G2854" s="3">
        <f t="shared" si="134"/>
        <v>9.5512584201884465E-3</v>
      </c>
      <c r="H2854" s="2">
        <f t="shared" si="132"/>
        <v>76.949999999999818</v>
      </c>
      <c r="I2854" s="3">
        <f t="shared" si="133"/>
        <v>1.719284134325353E-2</v>
      </c>
    </row>
    <row r="2855" spans="2:9" x14ac:dyDescent="0.25">
      <c r="B2855" s="1">
        <v>39332</v>
      </c>
      <c r="C2855" s="2">
        <v>4509.5</v>
      </c>
      <c r="D2855" s="2">
        <v>4518.6499999999996</v>
      </c>
      <c r="E2855" s="2">
        <v>4547.75</v>
      </c>
      <c r="F2855" s="2">
        <v>4499.8999999999996</v>
      </c>
      <c r="G2855" s="3">
        <f t="shared" si="134"/>
        <v>-2.0138981100341624E-3</v>
      </c>
      <c r="H2855" s="2">
        <f t="shared" si="132"/>
        <v>47.850000000000364</v>
      </c>
      <c r="I2855" s="3">
        <f t="shared" si="133"/>
        <v>1.0589445962842966E-2</v>
      </c>
    </row>
    <row r="2856" spans="2:9" x14ac:dyDescent="0.25">
      <c r="B2856" s="1">
        <v>39335</v>
      </c>
      <c r="C2856" s="2">
        <v>4507.8500000000004</v>
      </c>
      <c r="D2856" s="2">
        <v>4506.8500000000004</v>
      </c>
      <c r="E2856" s="2">
        <v>4515.25</v>
      </c>
      <c r="F2856" s="2">
        <v>4452.95</v>
      </c>
      <c r="G2856" s="3">
        <f t="shared" si="134"/>
        <v>-3.6589422330624011E-4</v>
      </c>
      <c r="H2856" s="2">
        <f t="shared" si="132"/>
        <v>62.300000000000182</v>
      </c>
      <c r="I2856" s="3">
        <f t="shared" si="133"/>
        <v>1.3823402154498192E-2</v>
      </c>
    </row>
    <row r="2857" spans="2:9" x14ac:dyDescent="0.25">
      <c r="B2857" s="1">
        <v>39336</v>
      </c>
      <c r="C2857" s="2">
        <v>4497.05</v>
      </c>
      <c r="D2857" s="2">
        <v>4509.6499999999996</v>
      </c>
      <c r="E2857" s="2">
        <v>4538.6000000000004</v>
      </c>
      <c r="F2857" s="2">
        <v>4487.1499999999996</v>
      </c>
      <c r="G2857" s="3">
        <f t="shared" si="134"/>
        <v>-2.3958206240225488E-3</v>
      </c>
      <c r="H2857" s="2">
        <f t="shared" si="132"/>
        <v>51.450000000000728</v>
      </c>
      <c r="I2857" s="3">
        <f t="shared" si="133"/>
        <v>1.1408867650483016E-2</v>
      </c>
    </row>
    <row r="2858" spans="2:9" x14ac:dyDescent="0.25">
      <c r="B2858" s="1">
        <v>39337</v>
      </c>
      <c r="C2858" s="2">
        <v>4496.8500000000004</v>
      </c>
      <c r="D2858" s="2">
        <v>4498.6499999999996</v>
      </c>
      <c r="E2858" s="2">
        <v>4531.5</v>
      </c>
      <c r="F2858" s="2">
        <v>4490.3999999999996</v>
      </c>
      <c r="G2858" s="3">
        <f t="shared" si="134"/>
        <v>-4.4473599359551308E-5</v>
      </c>
      <c r="H2858" s="2">
        <f t="shared" si="132"/>
        <v>41.100000000000364</v>
      </c>
      <c r="I2858" s="3">
        <f t="shared" si="133"/>
        <v>9.1360741555800897E-3</v>
      </c>
    </row>
    <row r="2859" spans="2:9" x14ac:dyDescent="0.25">
      <c r="B2859" s="1">
        <v>39338</v>
      </c>
      <c r="C2859" s="2">
        <v>4528.95</v>
      </c>
      <c r="D2859" s="2">
        <v>4498.05</v>
      </c>
      <c r="E2859" s="2">
        <v>4540.6000000000004</v>
      </c>
      <c r="F2859" s="2">
        <v>4498.05</v>
      </c>
      <c r="G2859" s="3">
        <f t="shared" si="134"/>
        <v>7.1383301644483144E-3</v>
      </c>
      <c r="H2859" s="2">
        <f t="shared" si="132"/>
        <v>42.550000000000182</v>
      </c>
      <c r="I2859" s="3">
        <f t="shared" si="133"/>
        <v>9.4596547392759491E-3</v>
      </c>
    </row>
    <row r="2860" spans="2:9" x14ac:dyDescent="0.25">
      <c r="B2860" s="1">
        <v>39339</v>
      </c>
      <c r="C2860" s="2">
        <v>4518</v>
      </c>
      <c r="D2860" s="2">
        <v>4530</v>
      </c>
      <c r="E2860" s="2">
        <v>4582.6000000000004</v>
      </c>
      <c r="F2860" s="2">
        <v>4508.8500000000004</v>
      </c>
      <c r="G2860" s="3">
        <f t="shared" si="134"/>
        <v>-2.4177789553869733E-3</v>
      </c>
      <c r="H2860" s="2">
        <f t="shared" si="132"/>
        <v>73.75</v>
      </c>
      <c r="I2860" s="3">
        <f t="shared" si="133"/>
        <v>1.6280353200883002E-2</v>
      </c>
    </row>
    <row r="2861" spans="2:9" x14ac:dyDescent="0.25">
      <c r="B2861" s="1">
        <v>39342</v>
      </c>
      <c r="C2861" s="2">
        <v>4494.6499999999996</v>
      </c>
      <c r="D2861" s="2">
        <v>4518.45</v>
      </c>
      <c r="E2861" s="2">
        <v>4549.05</v>
      </c>
      <c r="F2861" s="2">
        <v>4482.8500000000004</v>
      </c>
      <c r="G2861" s="3">
        <f t="shared" si="134"/>
        <v>-5.1682160247897846E-3</v>
      </c>
      <c r="H2861" s="2">
        <f t="shared" si="132"/>
        <v>66.199999999999818</v>
      </c>
      <c r="I2861" s="3">
        <f t="shared" si="133"/>
        <v>1.465104183956884E-2</v>
      </c>
    </row>
    <row r="2862" spans="2:9" x14ac:dyDescent="0.25">
      <c r="B2862" s="1">
        <v>39343</v>
      </c>
      <c r="C2862" s="2">
        <v>4546.2</v>
      </c>
      <c r="D2862" s="2">
        <v>4494.1000000000004</v>
      </c>
      <c r="E2862" s="2">
        <v>4551.8</v>
      </c>
      <c r="F2862" s="2">
        <v>4481.55</v>
      </c>
      <c r="G2862" s="3">
        <f t="shared" si="134"/>
        <v>1.1469191149477753E-2</v>
      </c>
      <c r="H2862" s="2">
        <f t="shared" si="132"/>
        <v>70.25</v>
      </c>
      <c r="I2862" s="3">
        <f t="shared" si="133"/>
        <v>1.5631605883269173E-2</v>
      </c>
    </row>
    <row r="2863" spans="2:9" x14ac:dyDescent="0.25">
      <c r="B2863" s="1">
        <v>39344</v>
      </c>
      <c r="C2863" s="2">
        <v>4732.3500000000004</v>
      </c>
      <c r="D2863" s="2">
        <v>4550.25</v>
      </c>
      <c r="E2863" s="2">
        <v>4739</v>
      </c>
      <c r="F2863" s="2">
        <v>4550.25</v>
      </c>
      <c r="G2863" s="3">
        <f t="shared" si="134"/>
        <v>4.0946284809291411E-2</v>
      </c>
      <c r="H2863" s="2">
        <f t="shared" si="132"/>
        <v>188.75</v>
      </c>
      <c r="I2863" s="3">
        <f t="shared" si="133"/>
        <v>4.1481237294654139E-2</v>
      </c>
    </row>
    <row r="2864" spans="2:9" x14ac:dyDescent="0.25">
      <c r="B2864" s="1">
        <v>39345</v>
      </c>
      <c r="C2864" s="2">
        <v>4747.55</v>
      </c>
      <c r="D2864" s="2">
        <v>4734.8500000000004</v>
      </c>
      <c r="E2864" s="2">
        <v>4760.8500000000004</v>
      </c>
      <c r="F2864" s="2">
        <v>4721.1499999999996</v>
      </c>
      <c r="G2864" s="3">
        <f t="shared" si="134"/>
        <v>3.211934873794231E-3</v>
      </c>
      <c r="H2864" s="2">
        <f t="shared" si="132"/>
        <v>39.700000000000728</v>
      </c>
      <c r="I2864" s="3">
        <f t="shared" si="133"/>
        <v>8.3846373169162124E-3</v>
      </c>
    </row>
    <row r="2865" spans="2:9" x14ac:dyDescent="0.25">
      <c r="B2865" s="1">
        <v>39346</v>
      </c>
      <c r="C2865" s="2">
        <v>4837.55</v>
      </c>
      <c r="D2865" s="2">
        <v>4752.95</v>
      </c>
      <c r="E2865" s="2">
        <v>4855.7</v>
      </c>
      <c r="F2865" s="2">
        <v>4733.7</v>
      </c>
      <c r="G2865" s="3">
        <f t="shared" si="134"/>
        <v>1.8957146317574392E-2</v>
      </c>
      <c r="H2865" s="2">
        <f t="shared" si="132"/>
        <v>122</v>
      </c>
      <c r="I2865" s="3">
        <f t="shared" si="133"/>
        <v>2.5668269180193354E-2</v>
      </c>
    </row>
    <row r="2866" spans="2:9" x14ac:dyDescent="0.25">
      <c r="B2866" s="1">
        <v>39349</v>
      </c>
      <c r="C2866" s="2">
        <v>4932.2</v>
      </c>
      <c r="D2866" s="2">
        <v>4837.1499999999996</v>
      </c>
      <c r="E2866" s="2">
        <v>4941.1499999999996</v>
      </c>
      <c r="F2866" s="2">
        <v>4837.1499999999996</v>
      </c>
      <c r="G2866" s="3">
        <f t="shared" si="134"/>
        <v>1.9565689243521867E-2</v>
      </c>
      <c r="H2866" s="2">
        <f t="shared" si="132"/>
        <v>104</v>
      </c>
      <c r="I2866" s="3">
        <f t="shared" si="133"/>
        <v>2.150026358496222E-2</v>
      </c>
    </row>
    <row r="2867" spans="2:9" x14ac:dyDescent="0.25">
      <c r="B2867" s="1">
        <v>39350</v>
      </c>
      <c r="C2867" s="2">
        <v>4938.8500000000004</v>
      </c>
      <c r="D2867" s="2">
        <v>4939.1000000000004</v>
      </c>
      <c r="E2867" s="2">
        <v>4953.8999999999996</v>
      </c>
      <c r="F2867" s="2">
        <v>4878.1499999999996</v>
      </c>
      <c r="G2867" s="3">
        <f t="shared" si="134"/>
        <v>1.3482827135964381E-3</v>
      </c>
      <c r="H2867" s="2">
        <f t="shared" si="132"/>
        <v>75.75</v>
      </c>
      <c r="I2867" s="3">
        <f t="shared" si="133"/>
        <v>1.5336802251422322E-2</v>
      </c>
    </row>
    <row r="2868" spans="2:9" x14ac:dyDescent="0.25">
      <c r="B2868" s="1">
        <v>39351</v>
      </c>
      <c r="C2868" s="2">
        <v>4940.5</v>
      </c>
      <c r="D2868" s="2">
        <v>4937.6000000000004</v>
      </c>
      <c r="E2868" s="2">
        <v>4980.8500000000004</v>
      </c>
      <c r="F2868" s="2">
        <v>4930.3500000000004</v>
      </c>
      <c r="G2868" s="3">
        <f t="shared" si="134"/>
        <v>3.3408587019234659E-4</v>
      </c>
      <c r="H2868" s="2">
        <f t="shared" si="132"/>
        <v>50.5</v>
      </c>
      <c r="I2868" s="3">
        <f t="shared" si="133"/>
        <v>1.0227640959170446E-2</v>
      </c>
    </row>
    <row r="2869" spans="2:9" x14ac:dyDescent="0.25">
      <c r="B2869" s="1">
        <v>39352</v>
      </c>
      <c r="C2869" s="2">
        <v>5000.55</v>
      </c>
      <c r="D2869" s="2">
        <v>4942.7</v>
      </c>
      <c r="E2869" s="2">
        <v>5016.3999999999996</v>
      </c>
      <c r="F2869" s="2">
        <v>4942.7</v>
      </c>
      <c r="G2869" s="3">
        <f t="shared" si="134"/>
        <v>1.2154640218601465E-2</v>
      </c>
      <c r="H2869" s="2">
        <f t="shared" si="132"/>
        <v>73.699999999999818</v>
      </c>
      <c r="I2869" s="3">
        <f t="shared" si="133"/>
        <v>1.4910878669553042E-2</v>
      </c>
    </row>
    <row r="2870" spans="2:9" x14ac:dyDescent="0.25">
      <c r="B2870" s="1">
        <v>39353</v>
      </c>
      <c r="C2870" s="2">
        <v>5021.3500000000004</v>
      </c>
      <c r="D2870" s="2">
        <v>4996.45</v>
      </c>
      <c r="E2870" s="2">
        <v>5055.8</v>
      </c>
      <c r="F2870" s="2">
        <v>4996.45</v>
      </c>
      <c r="G2870" s="3">
        <f t="shared" si="134"/>
        <v>4.1595424503304557E-3</v>
      </c>
      <c r="H2870" s="2">
        <f t="shared" si="132"/>
        <v>59.350000000000364</v>
      </c>
      <c r="I2870" s="3">
        <f t="shared" si="133"/>
        <v>1.1878433687918495E-2</v>
      </c>
    </row>
    <row r="2871" spans="2:9" x14ac:dyDescent="0.25">
      <c r="B2871" s="1">
        <v>39356</v>
      </c>
      <c r="C2871" s="2">
        <v>5068.95</v>
      </c>
      <c r="D2871" s="2">
        <v>5021.5</v>
      </c>
      <c r="E2871" s="2">
        <v>5089.3</v>
      </c>
      <c r="F2871" s="2">
        <v>5001.3500000000004</v>
      </c>
      <c r="G2871" s="3">
        <f t="shared" si="134"/>
        <v>9.4795224391845956E-3</v>
      </c>
      <c r="H2871" s="2">
        <f t="shared" si="132"/>
        <v>87.949999999999818</v>
      </c>
      <c r="I2871" s="3">
        <f t="shared" si="133"/>
        <v>1.7514686846559758E-2</v>
      </c>
    </row>
    <row r="2872" spans="2:9" x14ac:dyDescent="0.25">
      <c r="B2872" s="1">
        <v>39358</v>
      </c>
      <c r="C2872" s="2">
        <v>5210.8</v>
      </c>
      <c r="D2872" s="2">
        <v>5069</v>
      </c>
      <c r="E2872" s="2">
        <v>5261.35</v>
      </c>
      <c r="F2872" s="2">
        <v>5034.1499999999996</v>
      </c>
      <c r="G2872" s="3">
        <f t="shared" si="134"/>
        <v>2.7984099271052276E-2</v>
      </c>
      <c r="H2872" s="2">
        <f t="shared" si="132"/>
        <v>227.20000000000073</v>
      </c>
      <c r="I2872" s="3">
        <f t="shared" si="133"/>
        <v>4.4821463799566134E-2</v>
      </c>
    </row>
    <row r="2873" spans="2:9" x14ac:dyDescent="0.25">
      <c r="B2873" s="1">
        <v>39359</v>
      </c>
      <c r="C2873" s="2">
        <v>5208.6499999999996</v>
      </c>
      <c r="D2873" s="2">
        <v>5211.6499999999996</v>
      </c>
      <c r="E2873" s="2">
        <v>5233.1000000000004</v>
      </c>
      <c r="F2873" s="2">
        <v>5126.05</v>
      </c>
      <c r="G2873" s="3">
        <f t="shared" si="134"/>
        <v>-4.1260459046610354E-4</v>
      </c>
      <c r="H2873" s="2">
        <f t="shared" si="132"/>
        <v>107.05000000000018</v>
      </c>
      <c r="I2873" s="3">
        <f t="shared" si="133"/>
        <v>2.0540519796993312E-2</v>
      </c>
    </row>
    <row r="2874" spans="2:9" x14ac:dyDescent="0.25">
      <c r="B2874" s="1">
        <v>39360</v>
      </c>
      <c r="C2874" s="2">
        <v>5185.8500000000004</v>
      </c>
      <c r="D2874" s="2">
        <v>5208.1499999999996</v>
      </c>
      <c r="E2874" s="2">
        <v>5248.55</v>
      </c>
      <c r="F2874" s="2">
        <v>5164.5</v>
      </c>
      <c r="G2874" s="3">
        <f t="shared" si="134"/>
        <v>-4.37733385810124E-3</v>
      </c>
      <c r="H2874" s="2">
        <f t="shared" si="132"/>
        <v>84.050000000000182</v>
      </c>
      <c r="I2874" s="3">
        <f t="shared" si="133"/>
        <v>1.6138168063515871E-2</v>
      </c>
    </row>
    <row r="2875" spans="2:9" x14ac:dyDescent="0.25">
      <c r="B2875" s="1">
        <v>39363</v>
      </c>
      <c r="C2875" s="2">
        <v>5085.1000000000004</v>
      </c>
      <c r="D2875" s="2">
        <v>5186.25</v>
      </c>
      <c r="E2875" s="2">
        <v>5249.3</v>
      </c>
      <c r="F2875" s="2">
        <v>5024.75</v>
      </c>
      <c r="G2875" s="3">
        <f t="shared" si="134"/>
        <v>-1.9427866212867739E-2</v>
      </c>
      <c r="H2875" s="2">
        <f t="shared" si="132"/>
        <v>224.55000000000018</v>
      </c>
      <c r="I2875" s="3">
        <f t="shared" si="133"/>
        <v>4.3297180043383982E-2</v>
      </c>
    </row>
    <row r="2876" spans="2:9" x14ac:dyDescent="0.25">
      <c r="B2876" s="1">
        <v>39364</v>
      </c>
      <c r="C2876" s="2">
        <v>5327.25</v>
      </c>
      <c r="D2876" s="2">
        <v>5062.6499999999996</v>
      </c>
      <c r="E2876" s="2">
        <v>5348.7</v>
      </c>
      <c r="F2876" s="2">
        <v>5000.95</v>
      </c>
      <c r="G2876" s="3">
        <f t="shared" si="134"/>
        <v>4.7619515840396476E-2</v>
      </c>
      <c r="H2876" s="2">
        <f t="shared" si="132"/>
        <v>347.75</v>
      </c>
      <c r="I2876" s="3">
        <f t="shared" si="133"/>
        <v>6.868932278549772E-2</v>
      </c>
    </row>
    <row r="2877" spans="2:9" x14ac:dyDescent="0.25">
      <c r="B2877" s="1">
        <v>39365</v>
      </c>
      <c r="C2877" s="2">
        <v>5441.45</v>
      </c>
      <c r="D2877" s="2">
        <v>5328.15</v>
      </c>
      <c r="E2877" s="2">
        <v>5454.7</v>
      </c>
      <c r="F2877" s="2">
        <v>5328.15</v>
      </c>
      <c r="G2877" s="3">
        <f t="shared" si="134"/>
        <v>2.1436951522830761E-2</v>
      </c>
      <c r="H2877" s="2">
        <f t="shared" si="132"/>
        <v>126.55000000000018</v>
      </c>
      <c r="I2877" s="3">
        <f t="shared" si="133"/>
        <v>2.375120820547473E-2</v>
      </c>
    </row>
    <row r="2878" spans="2:9" x14ac:dyDescent="0.25">
      <c r="B2878" s="1">
        <v>39366</v>
      </c>
      <c r="C2878" s="2">
        <v>5524.85</v>
      </c>
      <c r="D2878" s="2">
        <v>5438.9</v>
      </c>
      <c r="E2878" s="2">
        <v>5532.75</v>
      </c>
      <c r="F2878" s="2">
        <v>5424.25</v>
      </c>
      <c r="G2878" s="3">
        <f t="shared" si="134"/>
        <v>1.5326797085335908E-2</v>
      </c>
      <c r="H2878" s="2">
        <f t="shared" si="132"/>
        <v>108.5</v>
      </c>
      <c r="I2878" s="3">
        <f t="shared" si="133"/>
        <v>1.9948886723418338E-2</v>
      </c>
    </row>
    <row r="2879" spans="2:9" x14ac:dyDescent="0.25">
      <c r="B2879" s="1">
        <v>39367</v>
      </c>
      <c r="C2879" s="2">
        <v>5428.25</v>
      </c>
      <c r="D2879" s="2">
        <v>5525.3</v>
      </c>
      <c r="E2879" s="2">
        <v>5549.3</v>
      </c>
      <c r="F2879" s="2">
        <v>5402.6</v>
      </c>
      <c r="G2879" s="3">
        <f t="shared" si="134"/>
        <v>-1.7484637591970942E-2</v>
      </c>
      <c r="H2879" s="2">
        <f t="shared" si="132"/>
        <v>146.69999999999982</v>
      </c>
      <c r="I2879" s="3">
        <f t="shared" si="133"/>
        <v>2.6550594537853113E-2</v>
      </c>
    </row>
    <row r="2880" spans="2:9" x14ac:dyDescent="0.25">
      <c r="B2880" s="1">
        <v>39370</v>
      </c>
      <c r="C2880" s="2">
        <v>5670.4</v>
      </c>
      <c r="D2880" s="2">
        <v>5428.35</v>
      </c>
      <c r="E2880" s="2">
        <v>5682.65</v>
      </c>
      <c r="F2880" s="2">
        <v>5419.9</v>
      </c>
      <c r="G2880" s="3">
        <f t="shared" si="134"/>
        <v>4.4609220282779916E-2</v>
      </c>
      <c r="H2880" s="2">
        <f t="shared" si="132"/>
        <v>262.75</v>
      </c>
      <c r="I2880" s="3">
        <f t="shared" si="133"/>
        <v>4.8403290134202838E-2</v>
      </c>
    </row>
    <row r="2881" spans="2:9" x14ac:dyDescent="0.25">
      <c r="B2881" s="1">
        <v>39371</v>
      </c>
      <c r="C2881" s="2">
        <v>5668.05</v>
      </c>
      <c r="D2881" s="2">
        <v>5670.65</v>
      </c>
      <c r="E2881" s="2">
        <v>5708.35</v>
      </c>
      <c r="F2881" s="2">
        <v>5578.45</v>
      </c>
      <c r="G2881" s="3">
        <f t="shared" si="134"/>
        <v>-4.1443284424369509E-4</v>
      </c>
      <c r="H2881" s="2">
        <f t="shared" si="132"/>
        <v>129.90000000000055</v>
      </c>
      <c r="I2881" s="3">
        <f t="shared" si="133"/>
        <v>2.2907426838193249E-2</v>
      </c>
    </row>
    <row r="2882" spans="2:9" x14ac:dyDescent="0.25">
      <c r="B2882" s="1">
        <v>39372</v>
      </c>
      <c r="C2882" s="2">
        <v>5559.3</v>
      </c>
      <c r="D2882" s="2">
        <v>5658.9</v>
      </c>
      <c r="E2882" s="2">
        <v>5658.9</v>
      </c>
      <c r="F2882" s="2">
        <v>5107.3</v>
      </c>
      <c r="G2882" s="3">
        <f t="shared" si="134"/>
        <v>-1.9186492709132752E-2</v>
      </c>
      <c r="H2882" s="2">
        <f t="shared" si="132"/>
        <v>551.59999999999945</v>
      </c>
      <c r="I2882" s="3">
        <f t="shared" si="133"/>
        <v>9.7474774249412338E-2</v>
      </c>
    </row>
    <row r="2883" spans="2:9" x14ac:dyDescent="0.25">
      <c r="B2883" s="1">
        <v>39373</v>
      </c>
      <c r="C2883" s="2">
        <v>5351</v>
      </c>
      <c r="D2883" s="2">
        <v>5551.1</v>
      </c>
      <c r="E2883" s="2">
        <v>5736.8</v>
      </c>
      <c r="F2883" s="2">
        <v>5269.65</v>
      </c>
      <c r="G2883" s="3">
        <f t="shared" si="134"/>
        <v>-3.7468746065152159E-2</v>
      </c>
      <c r="H2883" s="2">
        <f t="shared" si="132"/>
        <v>467.15000000000055</v>
      </c>
      <c r="I2883" s="3">
        <f t="shared" si="133"/>
        <v>8.4154491902505901E-2</v>
      </c>
    </row>
    <row r="2884" spans="2:9" x14ac:dyDescent="0.25">
      <c r="B2884" s="1">
        <v>39374</v>
      </c>
      <c r="C2884" s="2">
        <v>5215.3</v>
      </c>
      <c r="D2884" s="2">
        <v>5360.35</v>
      </c>
      <c r="E2884" s="2">
        <v>5390.85</v>
      </c>
      <c r="F2884" s="2">
        <v>5101.75</v>
      </c>
      <c r="G2884" s="3">
        <f t="shared" si="134"/>
        <v>-2.5359745841898707E-2</v>
      </c>
      <c r="H2884" s="2">
        <f t="shared" si="132"/>
        <v>289.10000000000036</v>
      </c>
      <c r="I2884" s="3">
        <f t="shared" si="133"/>
        <v>5.3933045416810536E-2</v>
      </c>
    </row>
    <row r="2885" spans="2:9" x14ac:dyDescent="0.25">
      <c r="B2885" s="1">
        <v>39377</v>
      </c>
      <c r="C2885" s="2">
        <v>5184</v>
      </c>
      <c r="D2885" s="2">
        <v>5202.75</v>
      </c>
      <c r="E2885" s="2">
        <v>5247.4</v>
      </c>
      <c r="F2885" s="2">
        <v>5070.8999999999996</v>
      </c>
      <c r="G2885" s="3">
        <f t="shared" si="134"/>
        <v>-6.0015722968956853E-3</v>
      </c>
      <c r="H2885" s="2">
        <f t="shared" ref="H2885:H2948" si="135">E2885-F2885</f>
        <v>176.5</v>
      </c>
      <c r="I2885" s="3">
        <f t="shared" si="133"/>
        <v>3.3924366921339676E-2</v>
      </c>
    </row>
    <row r="2886" spans="2:9" x14ac:dyDescent="0.25">
      <c r="B2886" s="1">
        <v>39378</v>
      </c>
      <c r="C2886" s="2">
        <v>5473.7</v>
      </c>
      <c r="D2886" s="2">
        <v>5185.3</v>
      </c>
      <c r="E2886" s="2">
        <v>5488.5</v>
      </c>
      <c r="F2886" s="2">
        <v>5176.8500000000004</v>
      </c>
      <c r="G2886" s="3">
        <f t="shared" si="134"/>
        <v>5.5883487654321051E-2</v>
      </c>
      <c r="H2886" s="2">
        <f t="shared" si="135"/>
        <v>311.64999999999964</v>
      </c>
      <c r="I2886" s="3">
        <f t="shared" ref="I2886:I2949" si="136">H2886/D2886</f>
        <v>6.010259772819309E-2</v>
      </c>
    </row>
    <row r="2887" spans="2:9" x14ac:dyDescent="0.25">
      <c r="B2887" s="1">
        <v>39379</v>
      </c>
      <c r="C2887" s="2">
        <v>5496.15</v>
      </c>
      <c r="D2887" s="2">
        <v>5477.6</v>
      </c>
      <c r="E2887" s="2">
        <v>5577.9</v>
      </c>
      <c r="F2887" s="2">
        <v>5419.4</v>
      </c>
      <c r="G2887" s="3">
        <f t="shared" ref="G2887:G2950" si="137">C2887/C2886-1</f>
        <v>4.1014304766429088E-3</v>
      </c>
      <c r="H2887" s="2">
        <f t="shared" si="135"/>
        <v>158.5</v>
      </c>
      <c r="I2887" s="3">
        <f t="shared" si="136"/>
        <v>2.8936030378267853E-2</v>
      </c>
    </row>
    <row r="2888" spans="2:9" x14ac:dyDescent="0.25">
      <c r="B2888" s="1">
        <v>39380</v>
      </c>
      <c r="C2888" s="2">
        <v>5568.95</v>
      </c>
      <c r="D2888" s="2">
        <v>5499.05</v>
      </c>
      <c r="E2888" s="2">
        <v>5605.95</v>
      </c>
      <c r="F2888" s="2">
        <v>5469.3</v>
      </c>
      <c r="G2888" s="3">
        <f t="shared" si="137"/>
        <v>1.3245635581270454E-2</v>
      </c>
      <c r="H2888" s="2">
        <f t="shared" si="135"/>
        <v>136.64999999999964</v>
      </c>
      <c r="I2888" s="3">
        <f t="shared" si="136"/>
        <v>2.484974677444279E-2</v>
      </c>
    </row>
    <row r="2889" spans="2:9" x14ac:dyDescent="0.25">
      <c r="B2889" s="1">
        <v>39381</v>
      </c>
      <c r="C2889" s="2">
        <v>5702.3</v>
      </c>
      <c r="D2889" s="2">
        <v>5564.25</v>
      </c>
      <c r="E2889" s="2">
        <v>5716.9</v>
      </c>
      <c r="F2889" s="2">
        <v>5513.35</v>
      </c>
      <c r="G2889" s="3">
        <f t="shared" si="137"/>
        <v>2.3945267958951133E-2</v>
      </c>
      <c r="H2889" s="2">
        <f t="shared" si="135"/>
        <v>203.54999999999927</v>
      </c>
      <c r="I2889" s="3">
        <f t="shared" si="136"/>
        <v>3.6581749561935439E-2</v>
      </c>
    </row>
    <row r="2890" spans="2:9" x14ac:dyDescent="0.25">
      <c r="B2890" s="1">
        <v>39384</v>
      </c>
      <c r="C2890" s="2">
        <v>5905.9</v>
      </c>
      <c r="D2890" s="2">
        <v>5708.9</v>
      </c>
      <c r="E2890" s="2">
        <v>5922.5</v>
      </c>
      <c r="F2890" s="2">
        <v>5708.9</v>
      </c>
      <c r="G2890" s="3">
        <f t="shared" si="137"/>
        <v>3.5704891008891071E-2</v>
      </c>
      <c r="H2890" s="2">
        <f t="shared" si="135"/>
        <v>213.60000000000036</v>
      </c>
      <c r="I2890" s="3">
        <f t="shared" si="136"/>
        <v>3.7415263886212823E-2</v>
      </c>
    </row>
    <row r="2891" spans="2:9" x14ac:dyDescent="0.25">
      <c r="B2891" s="1">
        <v>39385</v>
      </c>
      <c r="C2891" s="2">
        <v>5868.75</v>
      </c>
      <c r="D2891" s="2">
        <v>5917.55</v>
      </c>
      <c r="E2891" s="2">
        <v>5976</v>
      </c>
      <c r="F2891" s="2">
        <v>5833.9</v>
      </c>
      <c r="G2891" s="3">
        <f t="shared" si="137"/>
        <v>-6.29031984964179E-3</v>
      </c>
      <c r="H2891" s="2">
        <f t="shared" si="135"/>
        <v>142.10000000000036</v>
      </c>
      <c r="I2891" s="3">
        <f t="shared" si="136"/>
        <v>2.4013316321788637E-2</v>
      </c>
    </row>
    <row r="2892" spans="2:9" x14ac:dyDescent="0.25">
      <c r="B2892" s="1">
        <v>39386</v>
      </c>
      <c r="C2892" s="2">
        <v>5900.65</v>
      </c>
      <c r="D2892" s="2">
        <v>5868.9</v>
      </c>
      <c r="E2892" s="2">
        <v>5952.25</v>
      </c>
      <c r="F2892" s="2">
        <v>5861.3</v>
      </c>
      <c r="G2892" s="3">
        <f t="shared" si="137"/>
        <v>5.4355697550585447E-3</v>
      </c>
      <c r="H2892" s="2">
        <f t="shared" si="135"/>
        <v>90.949999999999818</v>
      </c>
      <c r="I2892" s="3">
        <f t="shared" si="136"/>
        <v>1.5496941505222414E-2</v>
      </c>
    </row>
    <row r="2893" spans="2:9" x14ac:dyDescent="0.25">
      <c r="B2893" s="1">
        <v>39387</v>
      </c>
      <c r="C2893" s="2">
        <v>5866.45</v>
      </c>
      <c r="D2893" s="2">
        <v>5903.8</v>
      </c>
      <c r="E2893" s="2">
        <v>6011.95</v>
      </c>
      <c r="F2893" s="2">
        <v>5837.2</v>
      </c>
      <c r="G2893" s="3">
        <f t="shared" si="137"/>
        <v>-5.7959716302441455E-3</v>
      </c>
      <c r="H2893" s="2">
        <f t="shared" si="135"/>
        <v>174.75</v>
      </c>
      <c r="I2893" s="3">
        <f t="shared" si="136"/>
        <v>2.9599579931569496E-2</v>
      </c>
    </row>
    <row r="2894" spans="2:9" x14ac:dyDescent="0.25">
      <c r="B2894" s="1">
        <v>39388</v>
      </c>
      <c r="C2894" s="2">
        <v>5932.4</v>
      </c>
      <c r="D2894" s="2">
        <v>5854.85</v>
      </c>
      <c r="E2894" s="2">
        <v>5944.75</v>
      </c>
      <c r="F2894" s="2">
        <v>5714.25</v>
      </c>
      <c r="G2894" s="3">
        <f t="shared" si="137"/>
        <v>1.1241892456255398E-2</v>
      </c>
      <c r="H2894" s="2">
        <f t="shared" si="135"/>
        <v>230.5</v>
      </c>
      <c r="I2894" s="3">
        <f t="shared" si="136"/>
        <v>3.9369070087192669E-2</v>
      </c>
    </row>
    <row r="2895" spans="2:9" x14ac:dyDescent="0.25">
      <c r="B2895" s="1">
        <v>39391</v>
      </c>
      <c r="C2895" s="2">
        <v>5847.3</v>
      </c>
      <c r="D2895" s="2">
        <v>5931.9</v>
      </c>
      <c r="E2895" s="2">
        <v>5948.55</v>
      </c>
      <c r="F2895" s="2">
        <v>5819.6</v>
      </c>
      <c r="G2895" s="3">
        <f t="shared" si="137"/>
        <v>-1.4344953138695882E-2</v>
      </c>
      <c r="H2895" s="2">
        <f t="shared" si="135"/>
        <v>128.94999999999982</v>
      </c>
      <c r="I2895" s="3">
        <f t="shared" si="136"/>
        <v>2.1738397478042418E-2</v>
      </c>
    </row>
    <row r="2896" spans="2:9" x14ac:dyDescent="0.25">
      <c r="B2896" s="1">
        <v>39392</v>
      </c>
      <c r="C2896" s="2">
        <v>5786.5</v>
      </c>
      <c r="D2896" s="2">
        <v>5847.1</v>
      </c>
      <c r="E2896" s="2">
        <v>5957.2</v>
      </c>
      <c r="F2896" s="2">
        <v>5759.95</v>
      </c>
      <c r="G2896" s="3">
        <f t="shared" si="137"/>
        <v>-1.0397961452294213E-2</v>
      </c>
      <c r="H2896" s="2">
        <f t="shared" si="135"/>
        <v>197.25</v>
      </c>
      <c r="I2896" s="3">
        <f t="shared" si="136"/>
        <v>3.3734671888628547E-2</v>
      </c>
    </row>
    <row r="2897" spans="2:9" x14ac:dyDescent="0.25">
      <c r="B2897" s="1">
        <v>39393</v>
      </c>
      <c r="C2897" s="2">
        <v>5782.35</v>
      </c>
      <c r="D2897" s="2">
        <v>5782.4</v>
      </c>
      <c r="E2897" s="2">
        <v>5861.35</v>
      </c>
      <c r="F2897" s="2">
        <v>5744.3</v>
      </c>
      <c r="G2897" s="3">
        <f t="shared" si="137"/>
        <v>-7.1718655491226357E-4</v>
      </c>
      <c r="H2897" s="2">
        <f t="shared" si="135"/>
        <v>117.05000000000018</v>
      </c>
      <c r="I2897" s="3">
        <f t="shared" si="136"/>
        <v>2.0242459878251278E-2</v>
      </c>
    </row>
    <row r="2898" spans="2:9" x14ac:dyDescent="0.25">
      <c r="B2898" s="1">
        <v>39394</v>
      </c>
      <c r="C2898" s="2">
        <v>5698.75</v>
      </c>
      <c r="D2898" s="2">
        <v>5779.3</v>
      </c>
      <c r="E2898" s="2">
        <v>5780.8</v>
      </c>
      <c r="F2898" s="2">
        <v>5646.75</v>
      </c>
      <c r="G2898" s="3">
        <f t="shared" si="137"/>
        <v>-1.4457789652995823E-2</v>
      </c>
      <c r="H2898" s="2">
        <f t="shared" si="135"/>
        <v>134.05000000000018</v>
      </c>
      <c r="I2898" s="3">
        <f t="shared" si="136"/>
        <v>2.3194850587441418E-2</v>
      </c>
    </row>
    <row r="2899" spans="2:9" x14ac:dyDescent="0.25">
      <c r="B2899" s="1">
        <v>39395</v>
      </c>
      <c r="C2899" s="2">
        <v>5663.25</v>
      </c>
      <c r="D2899" s="2">
        <v>5703.45</v>
      </c>
      <c r="E2899" s="2">
        <v>5794.2</v>
      </c>
      <c r="F2899" s="2">
        <v>5614.9</v>
      </c>
      <c r="G2899" s="3">
        <f t="shared" si="137"/>
        <v>-6.2294362798859249E-3</v>
      </c>
      <c r="H2899" s="2">
        <f t="shared" si="135"/>
        <v>179.30000000000018</v>
      </c>
      <c r="I2899" s="3">
        <f t="shared" si="136"/>
        <v>3.1437112624814835E-2</v>
      </c>
    </row>
    <row r="2900" spans="2:9" x14ac:dyDescent="0.25">
      <c r="B2900" s="1">
        <v>39398</v>
      </c>
      <c r="C2900" s="2">
        <v>5617.1</v>
      </c>
      <c r="D2900" s="2">
        <v>5660.6</v>
      </c>
      <c r="E2900" s="2">
        <v>5660.6</v>
      </c>
      <c r="F2900" s="2">
        <v>5477.5</v>
      </c>
      <c r="G2900" s="3">
        <f t="shared" si="137"/>
        <v>-8.1490310334171312E-3</v>
      </c>
      <c r="H2900" s="2">
        <f t="shared" si="135"/>
        <v>183.10000000000036</v>
      </c>
      <c r="I2900" s="3">
        <f t="shared" si="136"/>
        <v>3.2346394375154637E-2</v>
      </c>
    </row>
    <row r="2901" spans="2:9" x14ac:dyDescent="0.25">
      <c r="B2901" s="1">
        <v>39399</v>
      </c>
      <c r="C2901" s="2">
        <v>5695.4</v>
      </c>
      <c r="D2901" s="2">
        <v>5612.35</v>
      </c>
      <c r="E2901" s="2">
        <v>5758.85</v>
      </c>
      <c r="F2901" s="2">
        <v>5591.6</v>
      </c>
      <c r="G2901" s="3">
        <f t="shared" si="137"/>
        <v>1.3939577361983702E-2</v>
      </c>
      <c r="H2901" s="2">
        <f t="shared" si="135"/>
        <v>167.25</v>
      </c>
      <c r="I2901" s="3">
        <f t="shared" si="136"/>
        <v>2.9800351011608325E-2</v>
      </c>
    </row>
    <row r="2902" spans="2:9" x14ac:dyDescent="0.25">
      <c r="B2902" s="1">
        <v>39400</v>
      </c>
      <c r="C2902" s="2">
        <v>5937.9</v>
      </c>
      <c r="D2902" s="2">
        <v>5703.95</v>
      </c>
      <c r="E2902" s="2">
        <v>5950.2</v>
      </c>
      <c r="F2902" s="2">
        <v>5700.05</v>
      </c>
      <c r="G2902" s="3">
        <f t="shared" si="137"/>
        <v>4.2578221020472595E-2</v>
      </c>
      <c r="H2902" s="2">
        <f t="shared" si="135"/>
        <v>250.14999999999964</v>
      </c>
      <c r="I2902" s="3">
        <f t="shared" si="136"/>
        <v>4.3855573769054718E-2</v>
      </c>
    </row>
    <row r="2903" spans="2:9" x14ac:dyDescent="0.25">
      <c r="B2903" s="1">
        <v>39401</v>
      </c>
      <c r="C2903" s="2">
        <v>5912.1</v>
      </c>
      <c r="D2903" s="2">
        <v>5942.7</v>
      </c>
      <c r="E2903" s="2">
        <v>5966.95</v>
      </c>
      <c r="F2903" s="2">
        <v>5895.65</v>
      </c>
      <c r="G2903" s="3">
        <f t="shared" si="137"/>
        <v>-4.3449704440963188E-3</v>
      </c>
      <c r="H2903" s="2">
        <f t="shared" si="135"/>
        <v>71.300000000000182</v>
      </c>
      <c r="I2903" s="3">
        <f t="shared" si="136"/>
        <v>1.1997913406364141E-2</v>
      </c>
    </row>
    <row r="2904" spans="2:9" x14ac:dyDescent="0.25">
      <c r="B2904" s="1">
        <v>39402</v>
      </c>
      <c r="C2904" s="2">
        <v>5906.85</v>
      </c>
      <c r="D2904" s="2">
        <v>5913.15</v>
      </c>
      <c r="E2904" s="2">
        <v>5948.05</v>
      </c>
      <c r="F2904" s="2">
        <v>5817.4</v>
      </c>
      <c r="G2904" s="3">
        <f t="shared" si="137"/>
        <v>-8.8800933678390148E-4</v>
      </c>
      <c r="H2904" s="2">
        <f t="shared" si="135"/>
        <v>130.65000000000055</v>
      </c>
      <c r="I2904" s="3">
        <f t="shared" si="136"/>
        <v>2.2094822556505508E-2</v>
      </c>
    </row>
    <row r="2905" spans="2:9" x14ac:dyDescent="0.25">
      <c r="B2905" s="1">
        <v>39405</v>
      </c>
      <c r="C2905" s="2">
        <v>5907.65</v>
      </c>
      <c r="D2905" s="2">
        <v>5908.05</v>
      </c>
      <c r="E2905" s="2">
        <v>5981.8</v>
      </c>
      <c r="F2905" s="2">
        <v>5893.8</v>
      </c>
      <c r="G2905" s="3">
        <f t="shared" si="137"/>
        <v>1.3543597687415421E-4</v>
      </c>
      <c r="H2905" s="2">
        <f t="shared" si="135"/>
        <v>88</v>
      </c>
      <c r="I2905" s="3">
        <f t="shared" si="136"/>
        <v>1.4894931491778167E-2</v>
      </c>
    </row>
    <row r="2906" spans="2:9" x14ac:dyDescent="0.25">
      <c r="B2906" s="1">
        <v>39406</v>
      </c>
      <c r="C2906" s="2">
        <v>5780.9</v>
      </c>
      <c r="D2906" s="2">
        <v>5911.25</v>
      </c>
      <c r="E2906" s="2">
        <v>5923.7</v>
      </c>
      <c r="F2906" s="2">
        <v>5755.8</v>
      </c>
      <c r="G2906" s="3">
        <f t="shared" si="137"/>
        <v>-2.1455231775748373E-2</v>
      </c>
      <c r="H2906" s="2">
        <f t="shared" si="135"/>
        <v>167.89999999999964</v>
      </c>
      <c r="I2906" s="3">
        <f t="shared" si="136"/>
        <v>2.8403467963628613E-2</v>
      </c>
    </row>
    <row r="2907" spans="2:9" x14ac:dyDescent="0.25">
      <c r="B2907" s="1">
        <v>39407</v>
      </c>
      <c r="C2907" s="2">
        <v>5561.05</v>
      </c>
      <c r="D2907" s="2">
        <v>5778.8</v>
      </c>
      <c r="E2907" s="2">
        <v>5790.05</v>
      </c>
      <c r="F2907" s="2">
        <v>5530.85</v>
      </c>
      <c r="G2907" s="3">
        <f t="shared" si="137"/>
        <v>-3.8030410489716004E-2</v>
      </c>
      <c r="H2907" s="2">
        <f t="shared" si="135"/>
        <v>259.19999999999982</v>
      </c>
      <c r="I2907" s="3">
        <f t="shared" si="136"/>
        <v>4.4853602824115699E-2</v>
      </c>
    </row>
    <row r="2908" spans="2:9" x14ac:dyDescent="0.25">
      <c r="B2908" s="1">
        <v>39408</v>
      </c>
      <c r="C2908" s="2">
        <v>5519.35</v>
      </c>
      <c r="D2908" s="2">
        <v>5564.65</v>
      </c>
      <c r="E2908" s="2">
        <v>5608.65</v>
      </c>
      <c r="F2908" s="2">
        <v>5394.35</v>
      </c>
      <c r="G2908" s="3">
        <f t="shared" si="137"/>
        <v>-7.498583900522382E-3</v>
      </c>
      <c r="H2908" s="2">
        <f t="shared" si="135"/>
        <v>214.29999999999927</v>
      </c>
      <c r="I2908" s="3">
        <f t="shared" si="136"/>
        <v>3.8510957562470111E-2</v>
      </c>
    </row>
    <row r="2909" spans="2:9" x14ac:dyDescent="0.25">
      <c r="B2909" s="1">
        <v>39409</v>
      </c>
      <c r="C2909" s="2">
        <v>5608.6</v>
      </c>
      <c r="D2909" s="2">
        <v>5524.3</v>
      </c>
      <c r="E2909" s="2">
        <v>5638.6</v>
      </c>
      <c r="F2909" s="2">
        <v>5514.75</v>
      </c>
      <c r="G2909" s="3">
        <f t="shared" si="137"/>
        <v>1.6170382381983428E-2</v>
      </c>
      <c r="H2909" s="2">
        <f t="shared" si="135"/>
        <v>123.85000000000036</v>
      </c>
      <c r="I2909" s="3">
        <f t="shared" si="136"/>
        <v>2.2419130025523662E-2</v>
      </c>
    </row>
    <row r="2910" spans="2:9" x14ac:dyDescent="0.25">
      <c r="B2910" s="1">
        <v>39412</v>
      </c>
      <c r="C2910" s="2">
        <v>5731.7</v>
      </c>
      <c r="D2910" s="2">
        <v>5611.3</v>
      </c>
      <c r="E2910" s="2">
        <v>5772.55</v>
      </c>
      <c r="F2910" s="2">
        <v>5608.95</v>
      </c>
      <c r="G2910" s="3">
        <f t="shared" si="137"/>
        <v>2.1948436329921828E-2</v>
      </c>
      <c r="H2910" s="2">
        <f t="shared" si="135"/>
        <v>163.60000000000036</v>
      </c>
      <c r="I2910" s="3">
        <f t="shared" si="136"/>
        <v>2.915545417282989E-2</v>
      </c>
    </row>
    <row r="2911" spans="2:9" x14ac:dyDescent="0.25">
      <c r="B2911" s="1">
        <v>39413</v>
      </c>
      <c r="C2911" s="2">
        <v>5698.15</v>
      </c>
      <c r="D2911" s="2">
        <v>5729.25</v>
      </c>
      <c r="E2911" s="2">
        <v>5743.55</v>
      </c>
      <c r="F2911" s="2">
        <v>5655.6</v>
      </c>
      <c r="G2911" s="3">
        <f t="shared" si="137"/>
        <v>-5.8534117277596609E-3</v>
      </c>
      <c r="H2911" s="2">
        <f t="shared" si="135"/>
        <v>87.949999999999818</v>
      </c>
      <c r="I2911" s="3">
        <f t="shared" si="136"/>
        <v>1.5351049439280852E-2</v>
      </c>
    </row>
    <row r="2912" spans="2:9" x14ac:dyDescent="0.25">
      <c r="B2912" s="1">
        <v>39414</v>
      </c>
      <c r="C2912" s="2">
        <v>5617.55</v>
      </c>
      <c r="D2912" s="2">
        <v>5699.55</v>
      </c>
      <c r="E2912" s="2">
        <v>5749.95</v>
      </c>
      <c r="F2912" s="2">
        <v>5595.5</v>
      </c>
      <c r="G2912" s="3">
        <f t="shared" si="137"/>
        <v>-1.4144941779349329E-2</v>
      </c>
      <c r="H2912" s="2">
        <f t="shared" si="135"/>
        <v>154.44999999999982</v>
      </c>
      <c r="I2912" s="3">
        <f t="shared" si="136"/>
        <v>2.7098630593643324E-2</v>
      </c>
    </row>
    <row r="2913" spans="2:9" x14ac:dyDescent="0.25">
      <c r="B2913" s="1">
        <v>39415</v>
      </c>
      <c r="C2913" s="2">
        <v>5634.6</v>
      </c>
      <c r="D2913" s="2">
        <v>5617.8</v>
      </c>
      <c r="E2913" s="2">
        <v>5725</v>
      </c>
      <c r="F2913" s="2">
        <v>5612.1</v>
      </c>
      <c r="G2913" s="3">
        <f t="shared" si="137"/>
        <v>3.0351309734670817E-3</v>
      </c>
      <c r="H2913" s="2">
        <f t="shared" si="135"/>
        <v>112.89999999999964</v>
      </c>
      <c r="I2913" s="3">
        <f t="shared" si="136"/>
        <v>2.0096835059987831E-2</v>
      </c>
    </row>
    <row r="2914" spans="2:9" x14ac:dyDescent="0.25">
      <c r="B2914" s="1">
        <v>39416</v>
      </c>
      <c r="C2914" s="2">
        <v>5762.75</v>
      </c>
      <c r="D2914" s="2">
        <v>5633.9</v>
      </c>
      <c r="E2914" s="2">
        <v>5782.55</v>
      </c>
      <c r="F2914" s="2">
        <v>5632.65</v>
      </c>
      <c r="G2914" s="3">
        <f t="shared" si="137"/>
        <v>2.2743406807936628E-2</v>
      </c>
      <c r="H2914" s="2">
        <f t="shared" si="135"/>
        <v>149.90000000000055</v>
      </c>
      <c r="I2914" s="3">
        <f t="shared" si="136"/>
        <v>2.6606791032854783E-2</v>
      </c>
    </row>
    <row r="2915" spans="2:9" x14ac:dyDescent="0.25">
      <c r="B2915" s="1">
        <v>39419</v>
      </c>
      <c r="C2915" s="2">
        <v>5865</v>
      </c>
      <c r="D2915" s="2">
        <v>5765.45</v>
      </c>
      <c r="E2915" s="2">
        <v>5878.8</v>
      </c>
      <c r="F2915" s="2">
        <v>5754.6</v>
      </c>
      <c r="G2915" s="3">
        <f t="shared" si="137"/>
        <v>1.7743264934276137E-2</v>
      </c>
      <c r="H2915" s="2">
        <f t="shared" si="135"/>
        <v>124.19999999999982</v>
      </c>
      <c r="I2915" s="3">
        <f t="shared" si="136"/>
        <v>2.1542117267515946E-2</v>
      </c>
    </row>
    <row r="2916" spans="2:9" x14ac:dyDescent="0.25">
      <c r="B2916" s="1">
        <v>39420</v>
      </c>
      <c r="C2916" s="2">
        <v>5858.35</v>
      </c>
      <c r="D2916" s="2">
        <v>5870.2</v>
      </c>
      <c r="E2916" s="2">
        <v>5897.25</v>
      </c>
      <c r="F2916" s="2">
        <v>5840.3</v>
      </c>
      <c r="G2916" s="3">
        <f t="shared" si="137"/>
        <v>-1.1338448422846259E-3</v>
      </c>
      <c r="H2916" s="2">
        <f t="shared" si="135"/>
        <v>56.949999999999818</v>
      </c>
      <c r="I2916" s="3">
        <f t="shared" si="136"/>
        <v>9.7015433886409007E-3</v>
      </c>
    </row>
    <row r="2917" spans="2:9" x14ac:dyDescent="0.25">
      <c r="B2917" s="1">
        <v>39421</v>
      </c>
      <c r="C2917" s="2">
        <v>5940</v>
      </c>
      <c r="D2917" s="2">
        <v>5861.9</v>
      </c>
      <c r="E2917" s="2">
        <v>5949.3</v>
      </c>
      <c r="F2917" s="2">
        <v>5859.95</v>
      </c>
      <c r="G2917" s="3">
        <f t="shared" si="137"/>
        <v>1.3937371444177948E-2</v>
      </c>
      <c r="H2917" s="2">
        <f t="shared" si="135"/>
        <v>89.350000000000364</v>
      </c>
      <c r="I2917" s="3">
        <f t="shared" si="136"/>
        <v>1.5242498166123674E-2</v>
      </c>
    </row>
    <row r="2918" spans="2:9" x14ac:dyDescent="0.25">
      <c r="B2918" s="1">
        <v>39422</v>
      </c>
      <c r="C2918" s="2">
        <v>5954.7</v>
      </c>
      <c r="D2918" s="2">
        <v>5941.05</v>
      </c>
      <c r="E2918" s="2">
        <v>6027.05</v>
      </c>
      <c r="F2918" s="2">
        <v>5919.8</v>
      </c>
      <c r="G2918" s="3">
        <f t="shared" si="137"/>
        <v>2.4747474747475184E-3</v>
      </c>
      <c r="H2918" s="2">
        <f t="shared" si="135"/>
        <v>107.25</v>
      </c>
      <c r="I2918" s="3">
        <f t="shared" si="136"/>
        <v>1.8052364481026081E-2</v>
      </c>
    </row>
    <row r="2919" spans="2:9" x14ac:dyDescent="0.25">
      <c r="B2919" s="1">
        <v>39423</v>
      </c>
      <c r="C2919" s="2">
        <v>5974.3</v>
      </c>
      <c r="D2919" s="2">
        <v>5963.6</v>
      </c>
      <c r="E2919" s="2">
        <v>6042.1</v>
      </c>
      <c r="F2919" s="2">
        <v>5894.8</v>
      </c>
      <c r="G2919" s="3">
        <f t="shared" si="137"/>
        <v>3.2915176247334532E-3</v>
      </c>
      <c r="H2919" s="2">
        <f t="shared" si="135"/>
        <v>147.30000000000018</v>
      </c>
      <c r="I2919" s="3">
        <f t="shared" si="136"/>
        <v>2.4699845730766681E-2</v>
      </c>
    </row>
    <row r="2920" spans="2:9" x14ac:dyDescent="0.25">
      <c r="B2920" s="1">
        <v>39426</v>
      </c>
      <c r="C2920" s="2">
        <v>5960.6</v>
      </c>
      <c r="D2920" s="2">
        <v>5974</v>
      </c>
      <c r="E2920" s="2">
        <v>6015.3</v>
      </c>
      <c r="F2920" s="2">
        <v>5923.35</v>
      </c>
      <c r="G2920" s="3">
        <f t="shared" si="137"/>
        <v>-2.2931556835109612E-3</v>
      </c>
      <c r="H2920" s="2">
        <f t="shared" si="135"/>
        <v>91.949999999999818</v>
      </c>
      <c r="I2920" s="3">
        <f t="shared" si="136"/>
        <v>1.5391697355205862E-2</v>
      </c>
    </row>
    <row r="2921" spans="2:9" x14ac:dyDescent="0.25">
      <c r="B2921" s="1">
        <v>39427</v>
      </c>
      <c r="C2921" s="2">
        <v>6097.25</v>
      </c>
      <c r="D2921" s="2">
        <v>5960.4</v>
      </c>
      <c r="E2921" s="2">
        <v>6111.2</v>
      </c>
      <c r="F2921" s="2">
        <v>5960.4</v>
      </c>
      <c r="G2921" s="3">
        <f t="shared" si="137"/>
        <v>2.2925544408280984E-2</v>
      </c>
      <c r="H2921" s="2">
        <f t="shared" si="135"/>
        <v>150.80000000000018</v>
      </c>
      <c r="I2921" s="3">
        <f t="shared" si="136"/>
        <v>2.5300315415072844E-2</v>
      </c>
    </row>
    <row r="2922" spans="2:9" x14ac:dyDescent="0.25">
      <c r="B2922" s="1">
        <v>39428</v>
      </c>
      <c r="C2922" s="2">
        <v>6159.3</v>
      </c>
      <c r="D2922" s="2">
        <v>6067.05</v>
      </c>
      <c r="E2922" s="2">
        <v>6175.65</v>
      </c>
      <c r="F2922" s="2">
        <v>6005.45</v>
      </c>
      <c r="G2922" s="3">
        <f t="shared" si="137"/>
        <v>1.0176719012669588E-2</v>
      </c>
      <c r="H2922" s="2">
        <f t="shared" si="135"/>
        <v>170.19999999999982</v>
      </c>
      <c r="I2922" s="3">
        <f t="shared" si="136"/>
        <v>2.8053172464377218E-2</v>
      </c>
    </row>
    <row r="2923" spans="2:9" x14ac:dyDescent="0.25">
      <c r="B2923" s="1">
        <v>39429</v>
      </c>
      <c r="C2923" s="2">
        <v>6058.1</v>
      </c>
      <c r="D2923" s="2">
        <v>6159.25</v>
      </c>
      <c r="E2923" s="2">
        <v>6185.4</v>
      </c>
      <c r="F2923" s="2">
        <v>6040.4</v>
      </c>
      <c r="G2923" s="3">
        <f t="shared" si="137"/>
        <v>-1.6430438523858171E-2</v>
      </c>
      <c r="H2923" s="2">
        <f t="shared" si="135"/>
        <v>145</v>
      </c>
      <c r="I2923" s="3">
        <f t="shared" si="136"/>
        <v>2.354182733287332E-2</v>
      </c>
    </row>
    <row r="2924" spans="2:9" x14ac:dyDescent="0.25">
      <c r="B2924" s="1">
        <v>39430</v>
      </c>
      <c r="C2924" s="2">
        <v>6047.7</v>
      </c>
      <c r="D2924" s="2">
        <v>6056.2</v>
      </c>
      <c r="E2924" s="2">
        <v>6078.55</v>
      </c>
      <c r="F2924" s="2">
        <v>6015.05</v>
      </c>
      <c r="G2924" s="3">
        <f t="shared" si="137"/>
        <v>-1.7167098595269881E-3</v>
      </c>
      <c r="H2924" s="2">
        <f t="shared" si="135"/>
        <v>63.5</v>
      </c>
      <c r="I2924" s="3">
        <f t="shared" si="136"/>
        <v>1.0485122684191408E-2</v>
      </c>
    </row>
    <row r="2925" spans="2:9" x14ac:dyDescent="0.25">
      <c r="B2925" s="1">
        <v>39433</v>
      </c>
      <c r="C2925" s="2">
        <v>5777</v>
      </c>
      <c r="D2925" s="2">
        <v>6037.95</v>
      </c>
      <c r="E2925" s="2">
        <v>6039.95</v>
      </c>
      <c r="F2925" s="2">
        <v>5740.6</v>
      </c>
      <c r="G2925" s="3">
        <f t="shared" si="137"/>
        <v>-4.4760818162276506E-2</v>
      </c>
      <c r="H2925" s="2">
        <f t="shared" si="135"/>
        <v>299.34999999999945</v>
      </c>
      <c r="I2925" s="3">
        <f t="shared" si="136"/>
        <v>4.9578085277287735E-2</v>
      </c>
    </row>
    <row r="2926" spans="2:9" x14ac:dyDescent="0.25">
      <c r="B2926" s="1">
        <v>39434</v>
      </c>
      <c r="C2926" s="2">
        <v>5742.3</v>
      </c>
      <c r="D2926" s="2">
        <v>5777.6</v>
      </c>
      <c r="E2926" s="2">
        <v>5874.6</v>
      </c>
      <c r="F2926" s="2">
        <v>5710.6</v>
      </c>
      <c r="G2926" s="3">
        <f t="shared" si="137"/>
        <v>-6.0065778085510724E-3</v>
      </c>
      <c r="H2926" s="2">
        <f t="shared" si="135"/>
        <v>164</v>
      </c>
      <c r="I2926" s="3">
        <f t="shared" si="136"/>
        <v>2.8385488784270285E-2</v>
      </c>
    </row>
    <row r="2927" spans="2:9" x14ac:dyDescent="0.25">
      <c r="B2927" s="1">
        <v>39435</v>
      </c>
      <c r="C2927" s="2">
        <v>5751.15</v>
      </c>
      <c r="D2927" s="2">
        <v>5730.25</v>
      </c>
      <c r="E2927" s="2">
        <v>5840.8</v>
      </c>
      <c r="F2927" s="2">
        <v>5676.7</v>
      </c>
      <c r="G2927" s="3">
        <f t="shared" si="137"/>
        <v>1.5411942949687951E-3</v>
      </c>
      <c r="H2927" s="2">
        <f t="shared" si="135"/>
        <v>164.10000000000036</v>
      </c>
      <c r="I2927" s="3">
        <f t="shared" si="136"/>
        <v>2.8637494001134394E-2</v>
      </c>
    </row>
    <row r="2928" spans="2:9" x14ac:dyDescent="0.25">
      <c r="B2928" s="1">
        <v>39436</v>
      </c>
      <c r="C2928" s="2">
        <v>5766.5</v>
      </c>
      <c r="D2928" s="2">
        <v>5751.75</v>
      </c>
      <c r="E2928" s="2">
        <v>5799.5</v>
      </c>
      <c r="F2928" s="2">
        <v>5742.75</v>
      </c>
      <c r="G2928" s="3">
        <f t="shared" si="137"/>
        <v>2.6690314111090796E-3</v>
      </c>
      <c r="H2928" s="2">
        <f t="shared" si="135"/>
        <v>56.75</v>
      </c>
      <c r="I2928" s="3">
        <f t="shared" si="136"/>
        <v>9.8665623505889508E-3</v>
      </c>
    </row>
    <row r="2929" spans="2:9" x14ac:dyDescent="0.25">
      <c r="B2929" s="1">
        <v>39440</v>
      </c>
      <c r="C2929" s="2">
        <v>5985.1</v>
      </c>
      <c r="D2929" s="2">
        <v>5771.3</v>
      </c>
      <c r="E2929" s="2">
        <v>6001.05</v>
      </c>
      <c r="F2929" s="2">
        <v>5771.3</v>
      </c>
      <c r="G2929" s="3">
        <f t="shared" si="137"/>
        <v>3.7908610075435778E-2</v>
      </c>
      <c r="H2929" s="2">
        <f t="shared" si="135"/>
        <v>229.75</v>
      </c>
      <c r="I2929" s="3">
        <f t="shared" si="136"/>
        <v>3.9809055152218734E-2</v>
      </c>
    </row>
    <row r="2930" spans="2:9" x14ac:dyDescent="0.25">
      <c r="B2930" s="1">
        <v>39442</v>
      </c>
      <c r="C2930" s="2">
        <v>6070.75</v>
      </c>
      <c r="D2930" s="2">
        <v>5988.45</v>
      </c>
      <c r="E2930" s="2">
        <v>6085.25</v>
      </c>
      <c r="F2930" s="2">
        <v>5988.45</v>
      </c>
      <c r="G2930" s="3">
        <f t="shared" si="137"/>
        <v>1.431053783562497E-2</v>
      </c>
      <c r="H2930" s="2">
        <f t="shared" si="135"/>
        <v>96.800000000000182</v>
      </c>
      <c r="I2930" s="3">
        <f t="shared" si="136"/>
        <v>1.6164449899389689E-2</v>
      </c>
    </row>
    <row r="2931" spans="2:9" x14ac:dyDescent="0.25">
      <c r="B2931" s="1">
        <v>39443</v>
      </c>
      <c r="C2931" s="2">
        <v>6081.5</v>
      </c>
      <c r="D2931" s="2">
        <v>6069</v>
      </c>
      <c r="E2931" s="2">
        <v>6110.85</v>
      </c>
      <c r="F2931" s="2">
        <v>6060.2</v>
      </c>
      <c r="G2931" s="3">
        <f t="shared" si="137"/>
        <v>1.770786146686909E-3</v>
      </c>
      <c r="H2931" s="2">
        <f t="shared" si="135"/>
        <v>50.650000000000546</v>
      </c>
      <c r="I2931" s="3">
        <f t="shared" si="136"/>
        <v>8.3456912176636255E-3</v>
      </c>
    </row>
    <row r="2932" spans="2:9" x14ac:dyDescent="0.25">
      <c r="B2932" s="1">
        <v>39444</v>
      </c>
      <c r="C2932" s="2">
        <v>6079.7</v>
      </c>
      <c r="D2932" s="2">
        <v>6079.55</v>
      </c>
      <c r="E2932" s="2">
        <v>6098.6</v>
      </c>
      <c r="F2932" s="2">
        <v>6021.9</v>
      </c>
      <c r="G2932" s="3">
        <f t="shared" si="137"/>
        <v>-2.9597961029359521E-4</v>
      </c>
      <c r="H2932" s="2">
        <f t="shared" si="135"/>
        <v>76.700000000000728</v>
      </c>
      <c r="I2932" s="3">
        <f t="shared" si="136"/>
        <v>1.2616065333783047E-2</v>
      </c>
    </row>
    <row r="2933" spans="2:9" x14ac:dyDescent="0.25">
      <c r="B2933" s="1">
        <v>39447</v>
      </c>
      <c r="C2933" s="2">
        <v>6138.6</v>
      </c>
      <c r="D2933" s="2">
        <v>6095</v>
      </c>
      <c r="E2933" s="2">
        <v>6167.75</v>
      </c>
      <c r="F2933" s="2">
        <v>6095</v>
      </c>
      <c r="G2933" s="3">
        <f t="shared" si="137"/>
        <v>9.6879780252316916E-3</v>
      </c>
      <c r="H2933" s="2">
        <f t="shared" si="135"/>
        <v>72.75</v>
      </c>
      <c r="I2933" s="3">
        <f t="shared" si="136"/>
        <v>1.1936013125512715E-2</v>
      </c>
    </row>
    <row r="2934" spans="2:9" x14ac:dyDescent="0.25">
      <c r="B2934" s="1">
        <v>39448</v>
      </c>
      <c r="C2934" s="2">
        <v>6144.35</v>
      </c>
      <c r="D2934" s="2">
        <v>6136.75</v>
      </c>
      <c r="E2934" s="2">
        <v>6165.35</v>
      </c>
      <c r="F2934" s="2">
        <v>6109.85</v>
      </c>
      <c r="G2934" s="3">
        <f t="shared" si="137"/>
        <v>9.3669566350640387E-4</v>
      </c>
      <c r="H2934" s="2">
        <f t="shared" si="135"/>
        <v>55.5</v>
      </c>
      <c r="I2934" s="3">
        <f t="shared" si="136"/>
        <v>9.0438750152768161E-3</v>
      </c>
    </row>
    <row r="2935" spans="2:9" x14ac:dyDescent="0.25">
      <c r="B2935" s="1">
        <v>39449</v>
      </c>
      <c r="C2935" s="2">
        <v>6179.4</v>
      </c>
      <c r="D2935" s="2">
        <v>6144.7</v>
      </c>
      <c r="E2935" s="2">
        <v>6197</v>
      </c>
      <c r="F2935" s="2">
        <v>6060.85</v>
      </c>
      <c r="G2935" s="3">
        <f t="shared" si="137"/>
        <v>5.7044276449094156E-3</v>
      </c>
      <c r="H2935" s="2">
        <f t="shared" si="135"/>
        <v>136.14999999999964</v>
      </c>
      <c r="I2935" s="3">
        <f t="shared" si="136"/>
        <v>2.215730629648309E-2</v>
      </c>
    </row>
    <row r="2936" spans="2:9" x14ac:dyDescent="0.25">
      <c r="B2936" s="1">
        <v>39450</v>
      </c>
      <c r="C2936" s="2">
        <v>6178.55</v>
      </c>
      <c r="D2936" s="2">
        <v>6184.25</v>
      </c>
      <c r="E2936" s="2">
        <v>6230.15</v>
      </c>
      <c r="F2936" s="2">
        <v>6126.4</v>
      </c>
      <c r="G2936" s="3">
        <f t="shared" si="137"/>
        <v>-1.3755380781299564E-4</v>
      </c>
      <c r="H2936" s="2">
        <f t="shared" si="135"/>
        <v>103.75</v>
      </c>
      <c r="I2936" s="3">
        <f t="shared" si="136"/>
        <v>1.6776488660710676E-2</v>
      </c>
    </row>
    <row r="2937" spans="2:9" x14ac:dyDescent="0.25">
      <c r="B2937" s="1">
        <v>39451</v>
      </c>
      <c r="C2937" s="2">
        <v>6274.3</v>
      </c>
      <c r="D2937" s="2">
        <v>6179.1</v>
      </c>
      <c r="E2937" s="2">
        <v>6300.05</v>
      </c>
      <c r="F2937" s="2">
        <v>6179.1</v>
      </c>
      <c r="G2937" s="3">
        <f t="shared" si="137"/>
        <v>1.549716357397779E-2</v>
      </c>
      <c r="H2937" s="2">
        <f t="shared" si="135"/>
        <v>120.94999999999982</v>
      </c>
      <c r="I2937" s="3">
        <f t="shared" si="136"/>
        <v>1.9574048000517843E-2</v>
      </c>
    </row>
    <row r="2938" spans="2:9" x14ac:dyDescent="0.25">
      <c r="B2938" s="1">
        <v>39454</v>
      </c>
      <c r="C2938" s="2">
        <v>6279.1</v>
      </c>
      <c r="D2938" s="2">
        <v>6271</v>
      </c>
      <c r="E2938" s="2">
        <v>6289.8</v>
      </c>
      <c r="F2938" s="2">
        <v>6193.35</v>
      </c>
      <c r="G2938" s="3">
        <f t="shared" si="137"/>
        <v>7.650255805429218E-4</v>
      </c>
      <c r="H2938" s="2">
        <f t="shared" si="135"/>
        <v>96.449999999999818</v>
      </c>
      <c r="I2938" s="3">
        <f t="shared" si="136"/>
        <v>1.5380322117684551E-2</v>
      </c>
    </row>
    <row r="2939" spans="2:9" x14ac:dyDescent="0.25">
      <c r="B2939" s="1">
        <v>39455</v>
      </c>
      <c r="C2939" s="2">
        <v>6287.85</v>
      </c>
      <c r="D2939" s="2">
        <v>6282.45</v>
      </c>
      <c r="E2939" s="2">
        <v>6357.1</v>
      </c>
      <c r="F2939" s="2">
        <v>6221.6</v>
      </c>
      <c r="G2939" s="3">
        <f t="shared" si="137"/>
        <v>1.393511809017145E-3</v>
      </c>
      <c r="H2939" s="2">
        <f t="shared" si="135"/>
        <v>135.5</v>
      </c>
      <c r="I2939" s="3">
        <f t="shared" si="136"/>
        <v>2.1568018846150786E-2</v>
      </c>
    </row>
    <row r="2940" spans="2:9" x14ac:dyDescent="0.25">
      <c r="B2940" s="1">
        <v>39456</v>
      </c>
      <c r="C2940" s="2">
        <v>6272</v>
      </c>
      <c r="D2940" s="2">
        <v>6287.55</v>
      </c>
      <c r="E2940" s="2">
        <v>6338.3</v>
      </c>
      <c r="F2940" s="2">
        <v>6231.25</v>
      </c>
      <c r="G2940" s="3">
        <f t="shared" si="137"/>
        <v>-2.5207344322781822E-3</v>
      </c>
      <c r="H2940" s="2">
        <f t="shared" si="135"/>
        <v>107.05000000000018</v>
      </c>
      <c r="I2940" s="3">
        <f t="shared" si="136"/>
        <v>1.7025709537101124E-2</v>
      </c>
    </row>
    <row r="2941" spans="2:9" x14ac:dyDescent="0.25">
      <c r="B2941" s="1">
        <v>39457</v>
      </c>
      <c r="C2941" s="2">
        <v>6156.95</v>
      </c>
      <c r="D2941" s="2">
        <v>6278.1</v>
      </c>
      <c r="E2941" s="2">
        <v>6347</v>
      </c>
      <c r="F2941" s="2">
        <v>6142.9</v>
      </c>
      <c r="G2941" s="3">
        <f t="shared" si="137"/>
        <v>-1.8343431122448961E-2</v>
      </c>
      <c r="H2941" s="2">
        <f t="shared" si="135"/>
        <v>204.10000000000036</v>
      </c>
      <c r="I2941" s="3">
        <f t="shared" si="136"/>
        <v>3.2509835778340636E-2</v>
      </c>
    </row>
    <row r="2942" spans="2:9" x14ac:dyDescent="0.25">
      <c r="B2942" s="1">
        <v>39458</v>
      </c>
      <c r="C2942" s="2">
        <v>6200.1</v>
      </c>
      <c r="D2942" s="2">
        <v>6166.65</v>
      </c>
      <c r="E2942" s="2">
        <v>6224.2</v>
      </c>
      <c r="F2942" s="2">
        <v>6112.55</v>
      </c>
      <c r="G2942" s="3">
        <f t="shared" si="137"/>
        <v>7.0083401684275515E-3</v>
      </c>
      <c r="H2942" s="2">
        <f t="shared" si="135"/>
        <v>111.64999999999964</v>
      </c>
      <c r="I2942" s="3">
        <f t="shared" si="136"/>
        <v>1.8105454339065723E-2</v>
      </c>
    </row>
    <row r="2943" spans="2:9" x14ac:dyDescent="0.25">
      <c r="B2943" s="1">
        <v>39461</v>
      </c>
      <c r="C2943" s="2">
        <v>6206.8</v>
      </c>
      <c r="D2943" s="2">
        <v>6208.8</v>
      </c>
      <c r="E2943" s="2">
        <v>6244.15</v>
      </c>
      <c r="F2943" s="2">
        <v>6172</v>
      </c>
      <c r="G2943" s="3">
        <f t="shared" si="137"/>
        <v>1.0806277318107238E-3</v>
      </c>
      <c r="H2943" s="2">
        <f t="shared" si="135"/>
        <v>72.149999999999636</v>
      </c>
      <c r="I2943" s="3">
        <f t="shared" si="136"/>
        <v>1.1620603015075318E-2</v>
      </c>
    </row>
    <row r="2944" spans="2:9" x14ac:dyDescent="0.25">
      <c r="B2944" s="1">
        <v>39462</v>
      </c>
      <c r="C2944" s="2">
        <v>6074.25</v>
      </c>
      <c r="D2944" s="2">
        <v>6226.35</v>
      </c>
      <c r="E2944" s="2">
        <v>6260.45</v>
      </c>
      <c r="F2944" s="2">
        <v>6053.3</v>
      </c>
      <c r="G2944" s="3">
        <f t="shared" si="137"/>
        <v>-2.1355609976155265E-2</v>
      </c>
      <c r="H2944" s="2">
        <f t="shared" si="135"/>
        <v>207.14999999999964</v>
      </c>
      <c r="I2944" s="3">
        <f t="shared" si="136"/>
        <v>3.3269893276156919E-2</v>
      </c>
    </row>
    <row r="2945" spans="2:9" x14ac:dyDescent="0.25">
      <c r="B2945" s="1">
        <v>39463</v>
      </c>
      <c r="C2945" s="2">
        <v>5935.75</v>
      </c>
      <c r="D2945" s="2">
        <v>6065</v>
      </c>
      <c r="E2945" s="2">
        <v>6065</v>
      </c>
      <c r="F2945" s="2">
        <v>5825.75</v>
      </c>
      <c r="G2945" s="3">
        <f t="shared" si="137"/>
        <v>-2.2801168868584631E-2</v>
      </c>
      <c r="H2945" s="2">
        <f t="shared" si="135"/>
        <v>239.25</v>
      </c>
      <c r="I2945" s="3">
        <f t="shared" si="136"/>
        <v>3.9447650453421267E-2</v>
      </c>
    </row>
    <row r="2946" spans="2:9" x14ac:dyDescent="0.25">
      <c r="B2946" s="1">
        <v>39464</v>
      </c>
      <c r="C2946" s="2">
        <v>5913.2</v>
      </c>
      <c r="D2946" s="2">
        <v>5937.95</v>
      </c>
      <c r="E2946" s="2">
        <v>6013.15</v>
      </c>
      <c r="F2946" s="2">
        <v>5880.3</v>
      </c>
      <c r="G2946" s="3">
        <f t="shared" si="137"/>
        <v>-3.7990144463632136E-3</v>
      </c>
      <c r="H2946" s="2">
        <f t="shared" si="135"/>
        <v>132.84999999999945</v>
      </c>
      <c r="I2946" s="3">
        <f t="shared" si="136"/>
        <v>2.2373041201087827E-2</v>
      </c>
    </row>
    <row r="2947" spans="2:9" x14ac:dyDescent="0.25">
      <c r="B2947" s="1">
        <v>39465</v>
      </c>
      <c r="C2947" s="2">
        <v>5705.3</v>
      </c>
      <c r="D2947" s="2">
        <v>5907.75</v>
      </c>
      <c r="E2947" s="2">
        <v>5908.75</v>
      </c>
      <c r="F2947" s="2">
        <v>5677</v>
      </c>
      <c r="G2947" s="3">
        <f t="shared" si="137"/>
        <v>-3.5158628153960536E-2</v>
      </c>
      <c r="H2947" s="2">
        <f t="shared" si="135"/>
        <v>231.75</v>
      </c>
      <c r="I2947" s="3">
        <f t="shared" si="136"/>
        <v>3.9228132537768183E-2</v>
      </c>
    </row>
    <row r="2948" spans="2:9" x14ac:dyDescent="0.25">
      <c r="B2948" s="1">
        <v>39468</v>
      </c>
      <c r="C2948" s="2">
        <v>5208.8</v>
      </c>
      <c r="D2948" s="2">
        <v>5705</v>
      </c>
      <c r="E2948" s="2">
        <v>5705</v>
      </c>
      <c r="F2948" s="2">
        <v>4977.1000000000004</v>
      </c>
      <c r="G2948" s="3">
        <f t="shared" si="137"/>
        <v>-8.7024345783744961E-2</v>
      </c>
      <c r="H2948" s="2">
        <f t="shared" si="135"/>
        <v>727.89999999999964</v>
      </c>
      <c r="I2948" s="3">
        <f t="shared" si="136"/>
        <v>0.12758983347940397</v>
      </c>
    </row>
    <row r="2949" spans="2:9" x14ac:dyDescent="0.25">
      <c r="B2949" s="1">
        <v>39469</v>
      </c>
      <c r="C2949" s="2">
        <v>4899.3</v>
      </c>
      <c r="D2949" s="2">
        <v>5203.3500000000004</v>
      </c>
      <c r="E2949" s="2">
        <v>5203.3500000000004</v>
      </c>
      <c r="F2949" s="2">
        <v>4448.5</v>
      </c>
      <c r="G2949" s="3">
        <f t="shared" si="137"/>
        <v>-5.9418676086622657E-2</v>
      </c>
      <c r="H2949" s="2">
        <f t="shared" ref="H2949:H3012" si="138">E2949-F2949</f>
        <v>754.85000000000036</v>
      </c>
      <c r="I2949" s="3">
        <f t="shared" si="136"/>
        <v>0.14507000297885023</v>
      </c>
    </row>
    <row r="2950" spans="2:9" x14ac:dyDescent="0.25">
      <c r="B2950" s="1">
        <v>39470</v>
      </c>
      <c r="C2950" s="2">
        <v>5203.3999999999996</v>
      </c>
      <c r="D2950" s="2">
        <v>4903.05</v>
      </c>
      <c r="E2950" s="2">
        <v>5328.05</v>
      </c>
      <c r="F2950" s="2">
        <v>4891.6000000000004</v>
      </c>
      <c r="G2950" s="3">
        <f t="shared" si="137"/>
        <v>6.2070091645745284E-2</v>
      </c>
      <c r="H2950" s="2">
        <f t="shared" si="138"/>
        <v>436.44999999999982</v>
      </c>
      <c r="I2950" s="3">
        <f t="shared" ref="I2950:I3013" si="139">H2950/D2950</f>
        <v>8.9016020640213703E-2</v>
      </c>
    </row>
    <row r="2951" spans="2:9" x14ac:dyDescent="0.25">
      <c r="B2951" s="1">
        <v>39471</v>
      </c>
      <c r="C2951" s="2">
        <v>5033.45</v>
      </c>
      <c r="D2951" s="2">
        <v>5208</v>
      </c>
      <c r="E2951" s="2">
        <v>5357.2</v>
      </c>
      <c r="F2951" s="2">
        <v>4995.8</v>
      </c>
      <c r="G2951" s="3">
        <f t="shared" ref="G2951:G3014" si="140">C2951/C2950-1</f>
        <v>-3.2661336818234243E-2</v>
      </c>
      <c r="H2951" s="2">
        <f t="shared" si="138"/>
        <v>361.39999999999964</v>
      </c>
      <c r="I2951" s="3">
        <f t="shared" si="139"/>
        <v>6.9393241167434644E-2</v>
      </c>
    </row>
    <row r="2952" spans="2:9" x14ac:dyDescent="0.25">
      <c r="B2952" s="1">
        <v>39472</v>
      </c>
      <c r="C2952" s="2">
        <v>5383.35</v>
      </c>
      <c r="D2952" s="2">
        <v>5035.05</v>
      </c>
      <c r="E2952" s="2">
        <v>5399.25</v>
      </c>
      <c r="F2952" s="2">
        <v>5035.05</v>
      </c>
      <c r="G2952" s="3">
        <f t="shared" si="140"/>
        <v>6.9514945017830732E-2</v>
      </c>
      <c r="H2952" s="2">
        <f t="shared" si="138"/>
        <v>364.19999999999982</v>
      </c>
      <c r="I2952" s="3">
        <f t="shared" si="139"/>
        <v>7.2332946048202063E-2</v>
      </c>
    </row>
    <row r="2953" spans="2:9" x14ac:dyDescent="0.25">
      <c r="B2953" s="1">
        <v>39475</v>
      </c>
      <c r="C2953" s="2">
        <v>5274.1</v>
      </c>
      <c r="D2953" s="2">
        <v>5380.95</v>
      </c>
      <c r="E2953" s="2">
        <v>5380.95</v>
      </c>
      <c r="F2953" s="2">
        <v>5071</v>
      </c>
      <c r="G2953" s="3">
        <f t="shared" si="140"/>
        <v>-2.0294054817167728E-2</v>
      </c>
      <c r="H2953" s="2">
        <f t="shared" si="138"/>
        <v>309.94999999999982</v>
      </c>
      <c r="I2953" s="3">
        <f t="shared" si="139"/>
        <v>5.7601352920952587E-2</v>
      </c>
    </row>
    <row r="2954" spans="2:9" x14ac:dyDescent="0.25">
      <c r="B2954" s="1">
        <v>39476</v>
      </c>
      <c r="C2954" s="2">
        <v>5280.8</v>
      </c>
      <c r="D2954" s="2">
        <v>5279.55</v>
      </c>
      <c r="E2954" s="2">
        <v>5391.6</v>
      </c>
      <c r="F2954" s="2">
        <v>5225.25</v>
      </c>
      <c r="G2954" s="3">
        <f t="shared" si="140"/>
        <v>1.2703589237974544E-3</v>
      </c>
      <c r="H2954" s="2">
        <f t="shared" si="138"/>
        <v>166.35000000000036</v>
      </c>
      <c r="I2954" s="3">
        <f t="shared" si="139"/>
        <v>3.1508367190385612E-2</v>
      </c>
    </row>
    <row r="2955" spans="2:9" x14ac:dyDescent="0.25">
      <c r="B2955" s="1">
        <v>39477</v>
      </c>
      <c r="C2955" s="2">
        <v>5167.6000000000004</v>
      </c>
      <c r="D2955" s="2">
        <v>5283.75</v>
      </c>
      <c r="E2955" s="2">
        <v>5314.3</v>
      </c>
      <c r="F2955" s="2">
        <v>5142.25</v>
      </c>
      <c r="G2955" s="3">
        <f t="shared" si="140"/>
        <v>-2.1436146038478987E-2</v>
      </c>
      <c r="H2955" s="2">
        <f t="shared" si="138"/>
        <v>172.05000000000018</v>
      </c>
      <c r="I2955" s="3">
        <f t="shared" si="139"/>
        <v>3.256210078069556E-2</v>
      </c>
    </row>
    <row r="2956" spans="2:9" x14ac:dyDescent="0.25">
      <c r="B2956" s="1">
        <v>39478</v>
      </c>
      <c r="C2956" s="2">
        <v>5137.45</v>
      </c>
      <c r="D2956" s="2">
        <v>5172.25</v>
      </c>
      <c r="E2956" s="2">
        <v>5251.65</v>
      </c>
      <c r="F2956" s="2">
        <v>5071.1499999999996</v>
      </c>
      <c r="G2956" s="3">
        <f t="shared" si="140"/>
        <v>-5.8344299094358343E-3</v>
      </c>
      <c r="H2956" s="2">
        <f t="shared" si="138"/>
        <v>180.5</v>
      </c>
      <c r="I2956" s="3">
        <f t="shared" si="139"/>
        <v>3.4897771762772485E-2</v>
      </c>
    </row>
    <row r="2957" spans="2:9" x14ac:dyDescent="0.25">
      <c r="B2957" s="1">
        <v>39479</v>
      </c>
      <c r="C2957" s="2">
        <v>5317.25</v>
      </c>
      <c r="D2957" s="2">
        <v>5140.6000000000004</v>
      </c>
      <c r="E2957" s="2">
        <v>5339.95</v>
      </c>
      <c r="F2957" s="2">
        <v>5090.75</v>
      </c>
      <c r="G2957" s="3">
        <f t="shared" si="140"/>
        <v>3.4997907522214433E-2</v>
      </c>
      <c r="H2957" s="2">
        <f t="shared" si="138"/>
        <v>249.19999999999982</v>
      </c>
      <c r="I2957" s="3">
        <f t="shared" si="139"/>
        <v>4.8476831498268647E-2</v>
      </c>
    </row>
    <row r="2958" spans="2:9" x14ac:dyDescent="0.25">
      <c r="B2958" s="1">
        <v>39482</v>
      </c>
      <c r="C2958" s="2">
        <v>5463.5</v>
      </c>
      <c r="D2958" s="2">
        <v>5315.55</v>
      </c>
      <c r="E2958" s="2">
        <v>5545.2</v>
      </c>
      <c r="F2958" s="2">
        <v>5315.55</v>
      </c>
      <c r="G2958" s="3">
        <f t="shared" si="140"/>
        <v>2.7504819220461663E-2</v>
      </c>
      <c r="H2958" s="2">
        <f t="shared" si="138"/>
        <v>229.64999999999964</v>
      </c>
      <c r="I2958" s="3">
        <f t="shared" si="139"/>
        <v>4.3203431441713395E-2</v>
      </c>
    </row>
    <row r="2959" spans="2:9" x14ac:dyDescent="0.25">
      <c r="B2959" s="1">
        <v>39483</v>
      </c>
      <c r="C2959" s="2">
        <v>5483.9</v>
      </c>
      <c r="D2959" s="2">
        <v>5463.75</v>
      </c>
      <c r="E2959" s="2">
        <v>5500.6</v>
      </c>
      <c r="F2959" s="2">
        <v>5412.95</v>
      </c>
      <c r="G2959" s="3">
        <f t="shared" si="140"/>
        <v>3.73387022970606E-3</v>
      </c>
      <c r="H2959" s="2">
        <f t="shared" si="138"/>
        <v>87.650000000000546</v>
      </c>
      <c r="I2959" s="3">
        <f t="shared" si="139"/>
        <v>1.6042095630290652E-2</v>
      </c>
    </row>
    <row r="2960" spans="2:9" x14ac:dyDescent="0.25">
      <c r="B2960" s="1">
        <v>39484</v>
      </c>
      <c r="C2960" s="2">
        <v>5322.55</v>
      </c>
      <c r="D2960" s="2">
        <v>5470.4</v>
      </c>
      <c r="E2960" s="2">
        <v>5470.4</v>
      </c>
      <c r="F2960" s="2">
        <v>5257.05</v>
      </c>
      <c r="G2960" s="3">
        <f t="shared" si="140"/>
        <v>-2.9422491292693032E-2</v>
      </c>
      <c r="H2960" s="2">
        <f t="shared" si="138"/>
        <v>213.34999999999945</v>
      </c>
      <c r="I2960" s="3">
        <f t="shared" si="139"/>
        <v>3.9000804328750999E-2</v>
      </c>
    </row>
    <row r="2961" spans="2:9" x14ac:dyDescent="0.25">
      <c r="B2961" s="1">
        <v>39485</v>
      </c>
      <c r="C2961" s="2">
        <v>5133.25</v>
      </c>
      <c r="D2961" s="2">
        <v>5322.55</v>
      </c>
      <c r="E2961" s="2">
        <v>5344.6</v>
      </c>
      <c r="F2961" s="2">
        <v>5113.8500000000004</v>
      </c>
      <c r="G2961" s="3">
        <f t="shared" si="140"/>
        <v>-3.5565659317432496E-2</v>
      </c>
      <c r="H2961" s="2">
        <f t="shared" si="138"/>
        <v>230.75</v>
      </c>
      <c r="I2961" s="3">
        <f t="shared" si="139"/>
        <v>4.3353279912823742E-2</v>
      </c>
    </row>
    <row r="2962" spans="2:9" x14ac:dyDescent="0.25">
      <c r="B2962" s="1">
        <v>39486</v>
      </c>
      <c r="C2962" s="2">
        <v>5120.3500000000004</v>
      </c>
      <c r="D2962" s="2">
        <v>5132.1000000000004</v>
      </c>
      <c r="E2962" s="2">
        <v>5173.8500000000004</v>
      </c>
      <c r="F2962" s="2">
        <v>5034.25</v>
      </c>
      <c r="G2962" s="3">
        <f t="shared" si="140"/>
        <v>-2.5130278088929536E-3</v>
      </c>
      <c r="H2962" s="2">
        <f t="shared" si="138"/>
        <v>139.60000000000036</v>
      </c>
      <c r="I2962" s="3">
        <f t="shared" si="139"/>
        <v>2.720134058182817E-2</v>
      </c>
    </row>
    <row r="2963" spans="2:9" x14ac:dyDescent="0.25">
      <c r="B2963" s="1">
        <v>39489</v>
      </c>
      <c r="C2963" s="2">
        <v>4857</v>
      </c>
      <c r="D2963" s="2">
        <v>5120.55</v>
      </c>
      <c r="E2963" s="2">
        <v>5126.3999999999996</v>
      </c>
      <c r="F2963" s="2">
        <v>4803.6000000000004</v>
      </c>
      <c r="G2963" s="3">
        <f t="shared" si="140"/>
        <v>-5.143203101350502E-2</v>
      </c>
      <c r="H2963" s="2">
        <f t="shared" si="138"/>
        <v>322.79999999999927</v>
      </c>
      <c r="I2963" s="3">
        <f t="shared" si="139"/>
        <v>6.3040103113923163E-2</v>
      </c>
    </row>
    <row r="2964" spans="2:9" x14ac:dyDescent="0.25">
      <c r="B2964" s="1">
        <v>39490</v>
      </c>
      <c r="C2964" s="2">
        <v>4838.25</v>
      </c>
      <c r="D2964" s="2">
        <v>4877.8500000000004</v>
      </c>
      <c r="E2964" s="2">
        <v>4949.6000000000004</v>
      </c>
      <c r="F2964" s="2">
        <v>4820.45</v>
      </c>
      <c r="G2964" s="3">
        <f t="shared" si="140"/>
        <v>-3.8604076590488257E-3</v>
      </c>
      <c r="H2964" s="2">
        <f t="shared" si="138"/>
        <v>129.15000000000055</v>
      </c>
      <c r="I2964" s="3">
        <f t="shared" si="139"/>
        <v>2.6476828930779038E-2</v>
      </c>
    </row>
    <row r="2965" spans="2:9" x14ac:dyDescent="0.25">
      <c r="B2965" s="1">
        <v>39491</v>
      </c>
      <c r="C2965" s="2">
        <v>4929.45</v>
      </c>
      <c r="D2965" s="2">
        <v>4836.55</v>
      </c>
      <c r="E2965" s="2">
        <v>4986.55</v>
      </c>
      <c r="F2965" s="2">
        <v>4836.55</v>
      </c>
      <c r="G2965" s="3">
        <f t="shared" si="140"/>
        <v>1.8849790730119276E-2</v>
      </c>
      <c r="H2965" s="2">
        <f t="shared" si="138"/>
        <v>150</v>
      </c>
      <c r="I2965" s="3">
        <f t="shared" si="139"/>
        <v>3.1013842511707725E-2</v>
      </c>
    </row>
    <row r="2966" spans="2:9" x14ac:dyDescent="0.25">
      <c r="B2966" s="1">
        <v>39492</v>
      </c>
      <c r="C2966" s="2">
        <v>5202</v>
      </c>
      <c r="D2966" s="2">
        <v>4944.6499999999996</v>
      </c>
      <c r="E2966" s="2">
        <v>5220.25</v>
      </c>
      <c r="F2966" s="2">
        <v>4944.6499999999996</v>
      </c>
      <c r="G2966" s="3">
        <f t="shared" si="140"/>
        <v>5.5290143930864621E-2</v>
      </c>
      <c r="H2966" s="2">
        <f t="shared" si="138"/>
        <v>275.60000000000036</v>
      </c>
      <c r="I2966" s="3">
        <f t="shared" si="139"/>
        <v>5.5737008686155824E-2</v>
      </c>
    </row>
    <row r="2967" spans="2:9" x14ac:dyDescent="0.25">
      <c r="B2967" s="1">
        <v>39493</v>
      </c>
      <c r="C2967" s="2">
        <v>5302.9</v>
      </c>
      <c r="D2967" s="2">
        <v>5202.8500000000004</v>
      </c>
      <c r="E2967" s="2">
        <v>5315.4</v>
      </c>
      <c r="F2967" s="2">
        <v>5104.75</v>
      </c>
      <c r="G2967" s="3">
        <f t="shared" si="140"/>
        <v>1.9396386005382515E-2</v>
      </c>
      <c r="H2967" s="2">
        <f t="shared" si="138"/>
        <v>210.64999999999964</v>
      </c>
      <c r="I2967" s="3">
        <f t="shared" si="139"/>
        <v>4.048742516120965E-2</v>
      </c>
    </row>
    <row r="2968" spans="2:9" x14ac:dyDescent="0.25">
      <c r="B2968" s="1">
        <v>39496</v>
      </c>
      <c r="C2968" s="2">
        <v>5276.9</v>
      </c>
      <c r="D2968" s="2">
        <v>5304.45</v>
      </c>
      <c r="E2968" s="2">
        <v>5348.6</v>
      </c>
      <c r="F2968" s="2">
        <v>5224</v>
      </c>
      <c r="G2968" s="3">
        <f t="shared" si="140"/>
        <v>-4.9029776160214311E-3</v>
      </c>
      <c r="H2968" s="2">
        <f t="shared" si="138"/>
        <v>124.60000000000036</v>
      </c>
      <c r="I2968" s="3">
        <f t="shared" si="139"/>
        <v>2.3489711468672601E-2</v>
      </c>
    </row>
    <row r="2969" spans="2:9" x14ac:dyDescent="0.25">
      <c r="B2969" s="1">
        <v>39497</v>
      </c>
      <c r="C2969" s="2">
        <v>5280.8</v>
      </c>
      <c r="D2969" s="2">
        <v>5278.4</v>
      </c>
      <c r="E2969" s="2">
        <v>5368.45</v>
      </c>
      <c r="F2969" s="2">
        <v>5262</v>
      </c>
      <c r="G2969" s="3">
        <f t="shared" si="140"/>
        <v>7.3907028747943748E-4</v>
      </c>
      <c r="H2969" s="2">
        <f t="shared" si="138"/>
        <v>106.44999999999982</v>
      </c>
      <c r="I2969" s="3">
        <f t="shared" si="139"/>
        <v>2.0167096089724126E-2</v>
      </c>
    </row>
    <row r="2970" spans="2:9" x14ac:dyDescent="0.25">
      <c r="B2970" s="1">
        <v>39498</v>
      </c>
      <c r="C2970" s="2">
        <v>5154.45</v>
      </c>
      <c r="D2970" s="2">
        <v>5267.15</v>
      </c>
      <c r="E2970" s="2">
        <v>5267.15</v>
      </c>
      <c r="F2970" s="2">
        <v>5116.3</v>
      </c>
      <c r="G2970" s="3">
        <f t="shared" si="140"/>
        <v>-2.3926299045599175E-2</v>
      </c>
      <c r="H2970" s="2">
        <f t="shared" si="138"/>
        <v>150.84999999999945</v>
      </c>
      <c r="I2970" s="3">
        <f t="shared" si="139"/>
        <v>2.8639776729350686E-2</v>
      </c>
    </row>
    <row r="2971" spans="2:9" x14ac:dyDescent="0.25">
      <c r="B2971" s="1">
        <v>39499</v>
      </c>
      <c r="C2971" s="2">
        <v>5191.8</v>
      </c>
      <c r="D2971" s="2">
        <v>5156.8999999999996</v>
      </c>
      <c r="E2971" s="2">
        <v>5241.3500000000004</v>
      </c>
      <c r="F2971" s="2">
        <v>5120.05</v>
      </c>
      <c r="G2971" s="3">
        <f t="shared" si="140"/>
        <v>7.2461659342899498E-3</v>
      </c>
      <c r="H2971" s="2">
        <f t="shared" si="138"/>
        <v>121.30000000000018</v>
      </c>
      <c r="I2971" s="3">
        <f t="shared" si="139"/>
        <v>2.3521883301983786E-2</v>
      </c>
    </row>
    <row r="2972" spans="2:9" x14ac:dyDescent="0.25">
      <c r="B2972" s="1">
        <v>39500</v>
      </c>
      <c r="C2972" s="2">
        <v>5110.75</v>
      </c>
      <c r="D2972" s="2">
        <v>5183.3999999999996</v>
      </c>
      <c r="E2972" s="2">
        <v>5184</v>
      </c>
      <c r="F2972" s="2">
        <v>5092.8</v>
      </c>
      <c r="G2972" s="3">
        <f t="shared" si="140"/>
        <v>-1.5611156053777164E-2</v>
      </c>
      <c r="H2972" s="2">
        <f t="shared" si="138"/>
        <v>91.199999999999818</v>
      </c>
      <c r="I2972" s="3">
        <f t="shared" si="139"/>
        <v>1.7594629007987E-2</v>
      </c>
    </row>
    <row r="2973" spans="2:9" x14ac:dyDescent="0.25">
      <c r="B2973" s="1">
        <v>39503</v>
      </c>
      <c r="C2973" s="2">
        <v>5200.7</v>
      </c>
      <c r="D2973" s="2">
        <v>5112.25</v>
      </c>
      <c r="E2973" s="2">
        <v>5212.3500000000004</v>
      </c>
      <c r="F2973" s="2">
        <v>5055.1499999999996</v>
      </c>
      <c r="G2973" s="3">
        <f t="shared" si="140"/>
        <v>1.7600156532798561E-2</v>
      </c>
      <c r="H2973" s="2">
        <f t="shared" si="138"/>
        <v>157.20000000000073</v>
      </c>
      <c r="I2973" s="3">
        <f t="shared" si="139"/>
        <v>3.0749669910509213E-2</v>
      </c>
    </row>
    <row r="2974" spans="2:9" x14ac:dyDescent="0.25">
      <c r="B2974" s="1">
        <v>39504</v>
      </c>
      <c r="C2974" s="2">
        <v>5270.05</v>
      </c>
      <c r="D2974" s="2">
        <v>5200.8</v>
      </c>
      <c r="E2974" s="2">
        <v>5281.2</v>
      </c>
      <c r="F2974" s="2">
        <v>5200.8</v>
      </c>
      <c r="G2974" s="3">
        <f t="shared" si="140"/>
        <v>1.3334743399926907E-2</v>
      </c>
      <c r="H2974" s="2">
        <f t="shared" si="138"/>
        <v>80.399999999999636</v>
      </c>
      <c r="I2974" s="3">
        <f t="shared" si="139"/>
        <v>1.545916012921082E-2</v>
      </c>
    </row>
    <row r="2975" spans="2:9" x14ac:dyDescent="0.25">
      <c r="B2975" s="1">
        <v>39505</v>
      </c>
      <c r="C2975" s="2">
        <v>5268.4</v>
      </c>
      <c r="D2975" s="2">
        <v>5271.4</v>
      </c>
      <c r="E2975" s="2">
        <v>5368.15</v>
      </c>
      <c r="F2975" s="2">
        <v>5249.75</v>
      </c>
      <c r="G2975" s="3">
        <f t="shared" si="140"/>
        <v>-3.1309000863377623E-4</v>
      </c>
      <c r="H2975" s="2">
        <f t="shared" si="138"/>
        <v>118.39999999999964</v>
      </c>
      <c r="I2975" s="3">
        <f t="shared" si="139"/>
        <v>2.2460826345942188E-2</v>
      </c>
    </row>
    <row r="2976" spans="2:9" x14ac:dyDescent="0.25">
      <c r="B2976" s="1">
        <v>39506</v>
      </c>
      <c r="C2976" s="2">
        <v>5285.1</v>
      </c>
      <c r="D2976" s="2">
        <v>5266.35</v>
      </c>
      <c r="E2976" s="2">
        <v>5302.85</v>
      </c>
      <c r="F2976" s="2">
        <v>5227.1499999999996</v>
      </c>
      <c r="G2976" s="3">
        <f t="shared" si="140"/>
        <v>3.1698428365349862E-3</v>
      </c>
      <c r="H2976" s="2">
        <f t="shared" si="138"/>
        <v>75.700000000000728</v>
      </c>
      <c r="I2976" s="3">
        <f t="shared" si="139"/>
        <v>1.4374281997968369E-2</v>
      </c>
    </row>
    <row r="2977" spans="2:9" x14ac:dyDescent="0.25">
      <c r="B2977" s="1">
        <v>39507</v>
      </c>
      <c r="C2977" s="2">
        <v>5223.5</v>
      </c>
      <c r="D2977" s="2">
        <v>5285</v>
      </c>
      <c r="E2977" s="2">
        <v>5290.8</v>
      </c>
      <c r="F2977" s="2">
        <v>5098.3500000000004</v>
      </c>
      <c r="G2977" s="3">
        <f t="shared" si="140"/>
        <v>-1.165540860154024E-2</v>
      </c>
      <c r="H2977" s="2">
        <f t="shared" si="138"/>
        <v>192.44999999999982</v>
      </c>
      <c r="I2977" s="3">
        <f t="shared" si="139"/>
        <v>3.6414380321665059E-2</v>
      </c>
    </row>
    <row r="2978" spans="2:9" x14ac:dyDescent="0.25">
      <c r="B2978" s="1">
        <v>39510</v>
      </c>
      <c r="C2978" s="2">
        <v>4953</v>
      </c>
      <c r="D2978" s="2">
        <v>5222.8</v>
      </c>
      <c r="E2978" s="2">
        <v>5222.8</v>
      </c>
      <c r="F2978" s="2">
        <v>4936.05</v>
      </c>
      <c r="G2978" s="3">
        <f t="shared" si="140"/>
        <v>-5.1785201493251609E-2</v>
      </c>
      <c r="H2978" s="2">
        <f t="shared" si="138"/>
        <v>286.75</v>
      </c>
      <c r="I2978" s="3">
        <f t="shared" si="139"/>
        <v>5.4903500038293633E-2</v>
      </c>
    </row>
    <row r="2979" spans="2:9" x14ac:dyDescent="0.25">
      <c r="B2979" s="1">
        <v>39511</v>
      </c>
      <c r="C2979" s="2">
        <v>4864.25</v>
      </c>
      <c r="D2979" s="2">
        <v>4958.55</v>
      </c>
      <c r="E2979" s="2">
        <v>4976.7</v>
      </c>
      <c r="F2979" s="2">
        <v>4812.95</v>
      </c>
      <c r="G2979" s="3">
        <f t="shared" si="140"/>
        <v>-1.7918433272763989E-2</v>
      </c>
      <c r="H2979" s="2">
        <f t="shared" si="138"/>
        <v>163.75</v>
      </c>
      <c r="I2979" s="3">
        <f t="shared" si="139"/>
        <v>3.3023767028667654E-2</v>
      </c>
    </row>
    <row r="2980" spans="2:9" x14ac:dyDescent="0.25">
      <c r="B2980" s="1">
        <v>39512</v>
      </c>
      <c r="C2980" s="2">
        <v>4921.3999999999996</v>
      </c>
      <c r="D2980" s="2">
        <v>4866.8500000000004</v>
      </c>
      <c r="E2980" s="2">
        <v>4936.75</v>
      </c>
      <c r="F2980" s="2">
        <v>4847.25</v>
      </c>
      <c r="G2980" s="3">
        <f t="shared" si="140"/>
        <v>1.1748984941152285E-2</v>
      </c>
      <c r="H2980" s="2">
        <f t="shared" si="138"/>
        <v>89.5</v>
      </c>
      <c r="I2980" s="3">
        <f t="shared" si="139"/>
        <v>1.8389718195547428E-2</v>
      </c>
    </row>
    <row r="2981" spans="2:9" x14ac:dyDescent="0.25">
      <c r="B2981" s="1">
        <v>39514</v>
      </c>
      <c r="C2981" s="2">
        <v>4771.6000000000004</v>
      </c>
      <c r="D2981" s="2">
        <v>4918.3</v>
      </c>
      <c r="E2981" s="2">
        <v>4918.3</v>
      </c>
      <c r="F2981" s="2">
        <v>4672.25</v>
      </c>
      <c r="G2981" s="3">
        <f t="shared" si="140"/>
        <v>-3.0438493111715981E-2</v>
      </c>
      <c r="H2981" s="2">
        <f t="shared" si="138"/>
        <v>246.05000000000018</v>
      </c>
      <c r="I2981" s="3">
        <f t="shared" si="139"/>
        <v>5.0027448508631063E-2</v>
      </c>
    </row>
    <row r="2982" spans="2:9" x14ac:dyDescent="0.25">
      <c r="B2982" s="1">
        <v>39517</v>
      </c>
      <c r="C2982" s="2">
        <v>4800.3999999999996</v>
      </c>
      <c r="D2982" s="2">
        <v>4767.8</v>
      </c>
      <c r="E2982" s="2">
        <v>4814.95</v>
      </c>
      <c r="F2982" s="2">
        <v>4620.5</v>
      </c>
      <c r="G2982" s="3">
        <f t="shared" si="140"/>
        <v>6.0357112918096867E-3</v>
      </c>
      <c r="H2982" s="2">
        <f t="shared" si="138"/>
        <v>194.44999999999982</v>
      </c>
      <c r="I2982" s="3">
        <f t="shared" si="139"/>
        <v>4.0784009396367255E-2</v>
      </c>
    </row>
    <row r="2983" spans="2:9" x14ac:dyDescent="0.25">
      <c r="B2983" s="1">
        <v>39518</v>
      </c>
      <c r="C2983" s="2">
        <v>4865.8999999999996</v>
      </c>
      <c r="D2983" s="2">
        <v>4796.3</v>
      </c>
      <c r="E2983" s="2">
        <v>4888.5</v>
      </c>
      <c r="F2983" s="2">
        <v>4732.8500000000004</v>
      </c>
      <c r="G2983" s="3">
        <f t="shared" si="140"/>
        <v>1.3644696275310286E-2</v>
      </c>
      <c r="H2983" s="2">
        <f t="shared" si="138"/>
        <v>155.64999999999964</v>
      </c>
      <c r="I2983" s="3">
        <f t="shared" si="139"/>
        <v>3.2452098492587962E-2</v>
      </c>
    </row>
    <row r="2984" spans="2:9" x14ac:dyDescent="0.25">
      <c r="B2984" s="1">
        <v>39519</v>
      </c>
      <c r="C2984" s="2">
        <v>4872</v>
      </c>
      <c r="D2984" s="2">
        <v>4869.75</v>
      </c>
      <c r="E2984" s="2">
        <v>5019.2</v>
      </c>
      <c r="F2984" s="2">
        <v>4854.75</v>
      </c>
      <c r="G2984" s="3">
        <f t="shared" si="140"/>
        <v>1.2536221459544805E-3</v>
      </c>
      <c r="H2984" s="2">
        <f t="shared" si="138"/>
        <v>164.44999999999982</v>
      </c>
      <c r="I2984" s="3">
        <f t="shared" si="139"/>
        <v>3.3769700703321491E-2</v>
      </c>
    </row>
    <row r="2985" spans="2:9" x14ac:dyDescent="0.25">
      <c r="B2985" s="1">
        <v>39520</v>
      </c>
      <c r="C2985" s="2">
        <v>4623.6000000000004</v>
      </c>
      <c r="D2985" s="2">
        <v>4868.7</v>
      </c>
      <c r="E2985" s="2">
        <v>4868.8</v>
      </c>
      <c r="F2985" s="2">
        <v>4580.1499999999996</v>
      </c>
      <c r="G2985" s="3">
        <f t="shared" si="140"/>
        <v>-5.0985221674876735E-2</v>
      </c>
      <c r="H2985" s="2">
        <f t="shared" si="138"/>
        <v>288.65000000000055</v>
      </c>
      <c r="I2985" s="3">
        <f t="shared" si="139"/>
        <v>5.9286873292665507E-2</v>
      </c>
    </row>
    <row r="2986" spans="2:9" x14ac:dyDescent="0.25">
      <c r="B2986" s="1">
        <v>39521</v>
      </c>
      <c r="C2986" s="2">
        <v>4745.8</v>
      </c>
      <c r="D2986" s="2">
        <v>4623.8</v>
      </c>
      <c r="E2986" s="2">
        <v>4758.95</v>
      </c>
      <c r="F2986" s="2">
        <v>4607.55</v>
      </c>
      <c r="G2986" s="3">
        <f t="shared" si="140"/>
        <v>2.6429621939614067E-2</v>
      </c>
      <c r="H2986" s="2">
        <f t="shared" si="138"/>
        <v>151.39999999999964</v>
      </c>
      <c r="I2986" s="3">
        <f t="shared" si="139"/>
        <v>3.2743630779877943E-2</v>
      </c>
    </row>
    <row r="2987" spans="2:9" x14ac:dyDescent="0.25">
      <c r="B2987" s="1">
        <v>39524</v>
      </c>
      <c r="C2987" s="2">
        <v>4503.1000000000004</v>
      </c>
      <c r="D2987" s="2">
        <v>4745.45</v>
      </c>
      <c r="E2987" s="2">
        <v>4745.45</v>
      </c>
      <c r="F2987" s="2">
        <v>4482.1000000000004</v>
      </c>
      <c r="G2987" s="3">
        <f t="shared" si="140"/>
        <v>-5.1139955328922349E-2</v>
      </c>
      <c r="H2987" s="2">
        <f t="shared" si="138"/>
        <v>263.34999999999945</v>
      </c>
      <c r="I2987" s="3">
        <f t="shared" si="139"/>
        <v>5.5495263884352268E-2</v>
      </c>
    </row>
    <row r="2988" spans="2:9" x14ac:dyDescent="0.25">
      <c r="B2988" s="1">
        <v>39525</v>
      </c>
      <c r="C2988" s="2">
        <v>4533</v>
      </c>
      <c r="D2988" s="2">
        <v>4519.8999999999996</v>
      </c>
      <c r="E2988" s="2">
        <v>4617.95</v>
      </c>
      <c r="F2988" s="2">
        <v>4468.55</v>
      </c>
      <c r="G2988" s="3">
        <f t="shared" si="140"/>
        <v>6.6398703115631008E-3</v>
      </c>
      <c r="H2988" s="2">
        <f t="shared" si="138"/>
        <v>149.39999999999964</v>
      </c>
      <c r="I2988" s="3">
        <f t="shared" si="139"/>
        <v>3.3053828624527014E-2</v>
      </c>
    </row>
    <row r="2989" spans="2:9" x14ac:dyDescent="0.25">
      <c r="B2989" s="1">
        <v>39526</v>
      </c>
      <c r="C2989" s="2">
        <v>4573.95</v>
      </c>
      <c r="D2989" s="2">
        <v>4534.75</v>
      </c>
      <c r="E2989" s="2">
        <v>4718.3999999999996</v>
      </c>
      <c r="F2989" s="2">
        <v>4533.8999999999996</v>
      </c>
      <c r="G2989" s="3">
        <f t="shared" si="140"/>
        <v>9.0337524818000503E-3</v>
      </c>
      <c r="H2989" s="2">
        <f t="shared" si="138"/>
        <v>184.5</v>
      </c>
      <c r="I2989" s="3">
        <f t="shared" si="139"/>
        <v>4.0685815094547662E-2</v>
      </c>
    </row>
    <row r="2990" spans="2:9" x14ac:dyDescent="0.25">
      <c r="B2990" s="1">
        <v>39531</v>
      </c>
      <c r="C2990" s="2">
        <v>4609.8500000000004</v>
      </c>
      <c r="D2990" s="2">
        <v>4576.8</v>
      </c>
      <c r="E2990" s="2">
        <v>4649.45</v>
      </c>
      <c r="F2990" s="2">
        <v>4539.8</v>
      </c>
      <c r="G2990" s="3">
        <f t="shared" si="140"/>
        <v>7.8487958985122841E-3</v>
      </c>
      <c r="H2990" s="2">
        <f t="shared" si="138"/>
        <v>109.64999999999964</v>
      </c>
      <c r="I2990" s="3">
        <f t="shared" si="139"/>
        <v>2.3957787100157234E-2</v>
      </c>
    </row>
    <row r="2991" spans="2:9" x14ac:dyDescent="0.25">
      <c r="B2991" s="1">
        <v>39532</v>
      </c>
      <c r="C2991" s="2">
        <v>4877.5</v>
      </c>
      <c r="D2991" s="2">
        <v>4616.8</v>
      </c>
      <c r="E2991" s="2">
        <v>4896.8</v>
      </c>
      <c r="F2991" s="2">
        <v>4616.8</v>
      </c>
      <c r="G2991" s="3">
        <f t="shared" si="140"/>
        <v>5.8060457498616991E-2</v>
      </c>
      <c r="H2991" s="2">
        <f t="shared" si="138"/>
        <v>280</v>
      </c>
      <c r="I2991" s="3">
        <f t="shared" si="139"/>
        <v>6.0648067925836074E-2</v>
      </c>
    </row>
    <row r="2992" spans="2:9" x14ac:dyDescent="0.25">
      <c r="B2992" s="1">
        <v>39533</v>
      </c>
      <c r="C2992" s="2">
        <v>4828.8500000000004</v>
      </c>
      <c r="D2992" s="2">
        <v>4878.7</v>
      </c>
      <c r="E2992" s="2">
        <v>4912.3</v>
      </c>
      <c r="F2992" s="2">
        <v>4808.6499999999996</v>
      </c>
      <c r="G2992" s="3">
        <f t="shared" si="140"/>
        <v>-9.9743721168630284E-3</v>
      </c>
      <c r="H2992" s="2">
        <f t="shared" si="138"/>
        <v>103.65000000000055</v>
      </c>
      <c r="I2992" s="3">
        <f t="shared" si="139"/>
        <v>2.1245413737266187E-2</v>
      </c>
    </row>
    <row r="2993" spans="2:9" x14ac:dyDescent="0.25">
      <c r="B2993" s="1">
        <v>39534</v>
      </c>
      <c r="C2993" s="2">
        <v>4830.25</v>
      </c>
      <c r="D2993" s="2">
        <v>4828.8</v>
      </c>
      <c r="E2993" s="2">
        <v>4863.75</v>
      </c>
      <c r="F2993" s="2">
        <v>4769.6000000000004</v>
      </c>
      <c r="G2993" s="3">
        <f t="shared" si="140"/>
        <v>2.8992410201178487E-4</v>
      </c>
      <c r="H2993" s="2">
        <f t="shared" si="138"/>
        <v>94.149999999999636</v>
      </c>
      <c r="I2993" s="3">
        <f t="shared" si="139"/>
        <v>1.9497597746852145E-2</v>
      </c>
    </row>
    <row r="2994" spans="2:9" x14ac:dyDescent="0.25">
      <c r="B2994" s="1">
        <v>39535</v>
      </c>
      <c r="C2994" s="2">
        <v>4942</v>
      </c>
      <c r="D2994" s="2">
        <v>4830</v>
      </c>
      <c r="E2994" s="2">
        <v>4970.8</v>
      </c>
      <c r="F2994" s="2">
        <v>4796.3500000000004</v>
      </c>
      <c r="G2994" s="3">
        <f t="shared" si="140"/>
        <v>2.3135448475751774E-2</v>
      </c>
      <c r="H2994" s="2">
        <f t="shared" si="138"/>
        <v>174.44999999999982</v>
      </c>
      <c r="I2994" s="3">
        <f t="shared" si="139"/>
        <v>3.6118012422360214E-2</v>
      </c>
    </row>
    <row r="2995" spans="2:9" x14ac:dyDescent="0.25">
      <c r="B2995" s="1">
        <v>39538</v>
      </c>
      <c r="C2995" s="2">
        <v>4734.5</v>
      </c>
      <c r="D2995" s="2">
        <v>4942.1499999999996</v>
      </c>
      <c r="E2995" s="2">
        <v>4947</v>
      </c>
      <c r="F2995" s="2">
        <v>4703.8500000000004</v>
      </c>
      <c r="G2995" s="3">
        <f t="shared" si="140"/>
        <v>-4.1987049777418073E-2</v>
      </c>
      <c r="H2995" s="2">
        <f t="shared" si="138"/>
        <v>243.14999999999964</v>
      </c>
      <c r="I2995" s="3">
        <f t="shared" si="139"/>
        <v>4.9199235150693452E-2</v>
      </c>
    </row>
    <row r="2996" spans="2:9" x14ac:dyDescent="0.25">
      <c r="B2996" s="1">
        <v>39539</v>
      </c>
      <c r="C2996" s="2">
        <v>4739.55</v>
      </c>
      <c r="D2996" s="2">
        <v>4735.6499999999996</v>
      </c>
      <c r="E2996" s="2">
        <v>4800.75</v>
      </c>
      <c r="F2996" s="2">
        <v>4628.75</v>
      </c>
      <c r="G2996" s="3">
        <f t="shared" si="140"/>
        <v>1.0666385045938753E-3</v>
      </c>
      <c r="H2996" s="2">
        <f t="shared" si="138"/>
        <v>172</v>
      </c>
      <c r="I2996" s="3">
        <f t="shared" si="139"/>
        <v>3.6320251707790907E-2</v>
      </c>
    </row>
    <row r="2997" spans="2:9" x14ac:dyDescent="0.25">
      <c r="B2997" s="1">
        <v>39540</v>
      </c>
      <c r="C2997" s="2">
        <v>4754.2</v>
      </c>
      <c r="D2997" s="2">
        <v>4741.3999999999996</v>
      </c>
      <c r="E2997" s="2">
        <v>4916.75</v>
      </c>
      <c r="F2997" s="2">
        <v>4741.3999999999996</v>
      </c>
      <c r="G2997" s="3">
        <f t="shared" si="140"/>
        <v>3.0910107499655393E-3</v>
      </c>
      <c r="H2997" s="2">
        <f t="shared" si="138"/>
        <v>175.35000000000036</v>
      </c>
      <c r="I2997" s="3">
        <f t="shared" si="139"/>
        <v>3.6982747711646426E-2</v>
      </c>
    </row>
    <row r="2998" spans="2:9" x14ac:dyDescent="0.25">
      <c r="B2998" s="1">
        <v>39541</v>
      </c>
      <c r="C2998" s="2">
        <v>4771.6000000000004</v>
      </c>
      <c r="D2998" s="2">
        <v>4753.8999999999996</v>
      </c>
      <c r="E2998" s="2">
        <v>4833.25</v>
      </c>
      <c r="F2998" s="2">
        <v>4738.2</v>
      </c>
      <c r="G2998" s="3">
        <f t="shared" si="140"/>
        <v>3.6599217533970219E-3</v>
      </c>
      <c r="H2998" s="2">
        <f t="shared" si="138"/>
        <v>95.050000000000182</v>
      </c>
      <c r="I2998" s="3">
        <f t="shared" si="139"/>
        <v>1.9994110099076586E-2</v>
      </c>
    </row>
    <row r="2999" spans="2:9" x14ac:dyDescent="0.25">
      <c r="B2999" s="1">
        <v>39542</v>
      </c>
      <c r="C2999" s="2">
        <v>4647</v>
      </c>
      <c r="D2999" s="2">
        <v>4766.7</v>
      </c>
      <c r="E2999" s="2">
        <v>4791.7</v>
      </c>
      <c r="F2999" s="2">
        <v>4632.7</v>
      </c>
      <c r="G2999" s="3">
        <f t="shared" si="140"/>
        <v>-2.6112834269427565E-2</v>
      </c>
      <c r="H2999" s="2">
        <f t="shared" si="138"/>
        <v>159</v>
      </c>
      <c r="I2999" s="3">
        <f t="shared" si="139"/>
        <v>3.3356410095034303E-2</v>
      </c>
    </row>
    <row r="3000" spans="2:9" x14ac:dyDescent="0.25">
      <c r="B3000" s="1">
        <v>39545</v>
      </c>
      <c r="C3000" s="2">
        <v>4761.2</v>
      </c>
      <c r="D3000" s="2">
        <v>4631.3500000000004</v>
      </c>
      <c r="E3000" s="2">
        <v>4798.55</v>
      </c>
      <c r="F3000" s="2">
        <v>4628.8</v>
      </c>
      <c r="G3000" s="3">
        <f t="shared" si="140"/>
        <v>2.4574994620184976E-2</v>
      </c>
      <c r="H3000" s="2">
        <f t="shared" si="138"/>
        <v>169.75</v>
      </c>
      <c r="I3000" s="3">
        <f t="shared" si="139"/>
        <v>3.6652379975601064E-2</v>
      </c>
    </row>
    <row r="3001" spans="2:9" x14ac:dyDescent="0.25">
      <c r="B3001" s="1">
        <v>39546</v>
      </c>
      <c r="C3001" s="2">
        <v>4709.6499999999996</v>
      </c>
      <c r="D3001" s="2">
        <v>4760.6499999999996</v>
      </c>
      <c r="E3001" s="2">
        <v>4769.55</v>
      </c>
      <c r="F3001" s="2">
        <v>4677.8</v>
      </c>
      <c r="G3001" s="3">
        <f t="shared" si="140"/>
        <v>-1.0827102411156919E-2</v>
      </c>
      <c r="H3001" s="2">
        <f t="shared" si="138"/>
        <v>91.75</v>
      </c>
      <c r="I3001" s="3">
        <f t="shared" si="139"/>
        <v>1.9272578324388476E-2</v>
      </c>
    </row>
    <row r="3002" spans="2:9" x14ac:dyDescent="0.25">
      <c r="B3002" s="1">
        <v>39547</v>
      </c>
      <c r="C3002" s="2">
        <v>4747.05</v>
      </c>
      <c r="D3002" s="2">
        <v>4707.05</v>
      </c>
      <c r="E3002" s="2">
        <v>4758.25</v>
      </c>
      <c r="F3002" s="2">
        <v>4667.5</v>
      </c>
      <c r="G3002" s="3">
        <f t="shared" si="140"/>
        <v>7.9411421230877188E-3</v>
      </c>
      <c r="H3002" s="2">
        <f t="shared" si="138"/>
        <v>90.75</v>
      </c>
      <c r="I3002" s="3">
        <f t="shared" si="139"/>
        <v>1.9279591251420741E-2</v>
      </c>
    </row>
    <row r="3003" spans="2:9" x14ac:dyDescent="0.25">
      <c r="B3003" s="1">
        <v>39548</v>
      </c>
      <c r="C3003" s="2">
        <v>4733</v>
      </c>
      <c r="D3003" s="2">
        <v>4747.55</v>
      </c>
      <c r="E3003" s="2">
        <v>4799.5</v>
      </c>
      <c r="F3003" s="2">
        <v>4720.8999999999996</v>
      </c>
      <c r="G3003" s="3">
        <f t="shared" si="140"/>
        <v>-2.9597328867402295E-3</v>
      </c>
      <c r="H3003" s="2">
        <f t="shared" si="138"/>
        <v>78.600000000000364</v>
      </c>
      <c r="I3003" s="3">
        <f t="shared" si="139"/>
        <v>1.655590778401499E-2</v>
      </c>
    </row>
    <row r="3004" spans="2:9" x14ac:dyDescent="0.25">
      <c r="B3004" s="1">
        <v>39549</v>
      </c>
      <c r="C3004" s="2">
        <v>4777.8</v>
      </c>
      <c r="D3004" s="2">
        <v>4734.3500000000004</v>
      </c>
      <c r="E3004" s="2">
        <v>4817.3999999999996</v>
      </c>
      <c r="F3004" s="2">
        <v>4727.25</v>
      </c>
      <c r="G3004" s="3">
        <f t="shared" si="140"/>
        <v>9.4654553137545339E-3</v>
      </c>
      <c r="H3004" s="2">
        <f t="shared" si="138"/>
        <v>90.149999999999636</v>
      </c>
      <c r="I3004" s="3">
        <f t="shared" si="139"/>
        <v>1.9041684708566039E-2</v>
      </c>
    </row>
    <row r="3005" spans="2:9" x14ac:dyDescent="0.25">
      <c r="B3005" s="1">
        <v>39553</v>
      </c>
      <c r="C3005" s="2">
        <v>4879.6499999999996</v>
      </c>
      <c r="D3005" s="2">
        <v>4779.95</v>
      </c>
      <c r="E3005" s="2">
        <v>4917.1000000000004</v>
      </c>
      <c r="F3005" s="2">
        <v>4708.3</v>
      </c>
      <c r="G3005" s="3">
        <f t="shared" si="140"/>
        <v>2.1317342710033715E-2</v>
      </c>
      <c r="H3005" s="2">
        <f t="shared" si="138"/>
        <v>208.80000000000018</v>
      </c>
      <c r="I3005" s="3">
        <f t="shared" si="139"/>
        <v>4.36824652977542E-2</v>
      </c>
    </row>
    <row r="3006" spans="2:9" x14ac:dyDescent="0.25">
      <c r="B3006" s="1">
        <v>39554</v>
      </c>
      <c r="C3006" s="2">
        <v>4887.3</v>
      </c>
      <c r="D3006" s="2">
        <v>4881.6499999999996</v>
      </c>
      <c r="E3006" s="2">
        <v>4951.3999999999996</v>
      </c>
      <c r="F3006" s="2">
        <v>4874.05</v>
      </c>
      <c r="G3006" s="3">
        <f t="shared" si="140"/>
        <v>1.5677353908580827E-3</v>
      </c>
      <c r="H3006" s="2">
        <f t="shared" si="138"/>
        <v>77.349999999999454</v>
      </c>
      <c r="I3006" s="3">
        <f t="shared" si="139"/>
        <v>1.5845052390072917E-2</v>
      </c>
    </row>
    <row r="3007" spans="2:9" x14ac:dyDescent="0.25">
      <c r="B3007" s="1">
        <v>39555</v>
      </c>
      <c r="C3007" s="2">
        <v>4958.3999999999996</v>
      </c>
      <c r="D3007" s="2">
        <v>4890.6000000000004</v>
      </c>
      <c r="E3007" s="2">
        <v>4984.95</v>
      </c>
      <c r="F3007" s="2">
        <v>4889.6499999999996</v>
      </c>
      <c r="G3007" s="3">
        <f t="shared" si="140"/>
        <v>1.4547909888895649E-2</v>
      </c>
      <c r="H3007" s="2">
        <f t="shared" si="138"/>
        <v>95.300000000000182</v>
      </c>
      <c r="I3007" s="3">
        <f t="shared" si="139"/>
        <v>1.9486361591624785E-2</v>
      </c>
    </row>
    <row r="3008" spans="2:9" x14ac:dyDescent="0.25">
      <c r="B3008" s="1">
        <v>39559</v>
      </c>
      <c r="C3008" s="2">
        <v>5037</v>
      </c>
      <c r="D3008" s="2">
        <v>4955.8999999999996</v>
      </c>
      <c r="E3008" s="2">
        <v>5053.3999999999996</v>
      </c>
      <c r="F3008" s="2">
        <v>4955.8999999999996</v>
      </c>
      <c r="G3008" s="3">
        <f t="shared" si="140"/>
        <v>1.5851887705711665E-2</v>
      </c>
      <c r="H3008" s="2">
        <f t="shared" si="138"/>
        <v>97.5</v>
      </c>
      <c r="I3008" s="3">
        <f t="shared" si="139"/>
        <v>1.9673520450372285E-2</v>
      </c>
    </row>
    <row r="3009" spans="2:9" x14ac:dyDescent="0.25">
      <c r="B3009" s="1">
        <v>39560</v>
      </c>
      <c r="C3009" s="2">
        <v>5049.3</v>
      </c>
      <c r="D3009" s="2">
        <v>5037.05</v>
      </c>
      <c r="E3009" s="2">
        <v>5074.25</v>
      </c>
      <c r="F3009" s="2">
        <v>4994.05</v>
      </c>
      <c r="G3009" s="3">
        <f t="shared" si="140"/>
        <v>2.4419297200715118E-3</v>
      </c>
      <c r="H3009" s="2">
        <f t="shared" si="138"/>
        <v>80.199999999999818</v>
      </c>
      <c r="I3009" s="3">
        <f t="shared" si="139"/>
        <v>1.592201784774815E-2</v>
      </c>
    </row>
    <row r="3010" spans="2:9" x14ac:dyDescent="0.25">
      <c r="B3010" s="1">
        <v>39561</v>
      </c>
      <c r="C3010" s="2">
        <v>5022.8</v>
      </c>
      <c r="D3010" s="2">
        <v>5044.3500000000004</v>
      </c>
      <c r="E3010" s="2">
        <v>5083.5</v>
      </c>
      <c r="F3010" s="2">
        <v>5003.55</v>
      </c>
      <c r="G3010" s="3">
        <f t="shared" si="140"/>
        <v>-5.248252232982753E-3</v>
      </c>
      <c r="H3010" s="2">
        <f t="shared" si="138"/>
        <v>79.949999999999818</v>
      </c>
      <c r="I3010" s="3">
        <f t="shared" si="139"/>
        <v>1.5849415682892703E-2</v>
      </c>
    </row>
    <row r="3011" spans="2:9" x14ac:dyDescent="0.25">
      <c r="B3011" s="1">
        <v>39562</v>
      </c>
      <c r="C3011" s="2">
        <v>4999.8500000000004</v>
      </c>
      <c r="D3011" s="2">
        <v>5022.8999999999996</v>
      </c>
      <c r="E3011" s="2">
        <v>5072.7</v>
      </c>
      <c r="F3011" s="2">
        <v>4991.3500000000004</v>
      </c>
      <c r="G3011" s="3">
        <f t="shared" si="140"/>
        <v>-4.5691646093811711E-3</v>
      </c>
      <c r="H3011" s="2">
        <f t="shared" si="138"/>
        <v>81.349999999999454</v>
      </c>
      <c r="I3011" s="3">
        <f t="shared" si="139"/>
        <v>1.6195823130064197E-2</v>
      </c>
    </row>
    <row r="3012" spans="2:9" x14ac:dyDescent="0.25">
      <c r="B3012" s="1">
        <v>39563</v>
      </c>
      <c r="C3012" s="2">
        <v>5111.7</v>
      </c>
      <c r="D3012" s="2">
        <v>4999.1499999999996</v>
      </c>
      <c r="E3012" s="2">
        <v>5117.7</v>
      </c>
      <c r="F3012" s="2">
        <v>4999.1499999999996</v>
      </c>
      <c r="G3012" s="3">
        <f t="shared" si="140"/>
        <v>2.2370671120133467E-2</v>
      </c>
      <c r="H3012" s="2">
        <f t="shared" si="138"/>
        <v>118.55000000000018</v>
      </c>
      <c r="I3012" s="3">
        <f t="shared" si="139"/>
        <v>2.3714031385335545E-2</v>
      </c>
    </row>
    <row r="3013" spans="2:9" x14ac:dyDescent="0.25">
      <c r="B3013" s="1">
        <v>39566</v>
      </c>
      <c r="C3013" s="2">
        <v>5089.6499999999996</v>
      </c>
      <c r="D3013" s="2">
        <v>5112.5</v>
      </c>
      <c r="E3013" s="2">
        <v>5147.45</v>
      </c>
      <c r="F3013" s="2">
        <v>5079.1499999999996</v>
      </c>
      <c r="G3013" s="3">
        <f t="shared" si="140"/>
        <v>-4.3136334291918876E-3</v>
      </c>
      <c r="H3013" s="2">
        <f t="shared" ref="H3013:H3076" si="141">E3013-F3013</f>
        <v>68.300000000000182</v>
      </c>
      <c r="I3013" s="3">
        <f t="shared" si="139"/>
        <v>1.3359413202934021E-2</v>
      </c>
    </row>
    <row r="3014" spans="2:9" x14ac:dyDescent="0.25">
      <c r="B3014" s="1">
        <v>39567</v>
      </c>
      <c r="C3014" s="2">
        <v>5195.5</v>
      </c>
      <c r="D3014" s="2">
        <v>5092.3999999999996</v>
      </c>
      <c r="E3014" s="2">
        <v>5210.8999999999996</v>
      </c>
      <c r="F3014" s="2">
        <v>5082.1499999999996</v>
      </c>
      <c r="G3014" s="3">
        <f t="shared" si="140"/>
        <v>2.079710785613953E-2</v>
      </c>
      <c r="H3014" s="2">
        <f t="shared" si="141"/>
        <v>128.75</v>
      </c>
      <c r="I3014" s="3">
        <f t="shared" ref="I3014:I3077" si="142">H3014/D3014</f>
        <v>2.5282774330374676E-2</v>
      </c>
    </row>
    <row r="3015" spans="2:9" x14ac:dyDescent="0.25">
      <c r="B3015" s="1">
        <v>39568</v>
      </c>
      <c r="C3015" s="2">
        <v>5165.8999999999996</v>
      </c>
      <c r="D3015" s="2">
        <v>5198.3500000000004</v>
      </c>
      <c r="E3015" s="2">
        <v>5230.75</v>
      </c>
      <c r="F3015" s="2">
        <v>5155.8500000000004</v>
      </c>
      <c r="G3015" s="3">
        <f t="shared" ref="G3015:G3078" si="143">C3015/C3014-1</f>
        <v>-5.6972379944183471E-3</v>
      </c>
      <c r="H3015" s="2">
        <f t="shared" si="141"/>
        <v>74.899999999999636</v>
      </c>
      <c r="I3015" s="3">
        <f t="shared" si="142"/>
        <v>1.4408418055729151E-2</v>
      </c>
    </row>
    <row r="3016" spans="2:9" x14ac:dyDescent="0.25">
      <c r="B3016" s="1">
        <v>39570</v>
      </c>
      <c r="C3016" s="2">
        <v>5228.2</v>
      </c>
      <c r="D3016" s="2">
        <v>5265.3</v>
      </c>
      <c r="E3016" s="2">
        <v>5298.85</v>
      </c>
      <c r="F3016" s="2">
        <v>5197.6000000000004</v>
      </c>
      <c r="G3016" s="3">
        <f t="shared" si="143"/>
        <v>1.2059854042858031E-2</v>
      </c>
      <c r="H3016" s="2">
        <f t="shared" si="141"/>
        <v>101.25</v>
      </c>
      <c r="I3016" s="3">
        <f t="shared" si="142"/>
        <v>1.9229673522876189E-2</v>
      </c>
    </row>
    <row r="3017" spans="2:9" x14ac:dyDescent="0.25">
      <c r="B3017" s="1">
        <v>39573</v>
      </c>
      <c r="C3017" s="2">
        <v>5192.25</v>
      </c>
      <c r="D3017" s="2">
        <v>5227.25</v>
      </c>
      <c r="E3017" s="2">
        <v>5254.5</v>
      </c>
      <c r="F3017" s="2">
        <v>5182.6000000000004</v>
      </c>
      <c r="G3017" s="3">
        <f t="shared" si="143"/>
        <v>-6.8761715313109262E-3</v>
      </c>
      <c r="H3017" s="2">
        <f t="shared" si="141"/>
        <v>71.899999999999636</v>
      </c>
      <c r="I3017" s="3">
        <f t="shared" si="142"/>
        <v>1.3754842412358245E-2</v>
      </c>
    </row>
    <row r="3018" spans="2:9" x14ac:dyDescent="0.25">
      <c r="B3018" s="1">
        <v>39574</v>
      </c>
      <c r="C3018" s="2">
        <v>5144.6499999999996</v>
      </c>
      <c r="D3018" s="2">
        <v>5192.3500000000004</v>
      </c>
      <c r="E3018" s="2">
        <v>5206.5</v>
      </c>
      <c r="F3018" s="2">
        <v>5110.8999999999996</v>
      </c>
      <c r="G3018" s="3">
        <f t="shared" si="143"/>
        <v>-9.167509268621532E-3</v>
      </c>
      <c r="H3018" s="2">
        <f t="shared" si="141"/>
        <v>95.600000000000364</v>
      </c>
      <c r="I3018" s="3">
        <f t="shared" si="142"/>
        <v>1.8411701830577745E-2</v>
      </c>
    </row>
    <row r="3019" spans="2:9" x14ac:dyDescent="0.25">
      <c r="B3019" s="1">
        <v>39575</v>
      </c>
      <c r="C3019" s="2">
        <v>5135.5</v>
      </c>
      <c r="D3019" s="2">
        <v>5156.7</v>
      </c>
      <c r="E3019" s="2">
        <v>5159.05</v>
      </c>
      <c r="F3019" s="2">
        <v>5101.25</v>
      </c>
      <c r="G3019" s="3">
        <f t="shared" si="143"/>
        <v>-1.7785466455443322E-3</v>
      </c>
      <c r="H3019" s="2">
        <f t="shared" si="141"/>
        <v>57.800000000000182</v>
      </c>
      <c r="I3019" s="3">
        <f t="shared" si="142"/>
        <v>1.120871875424209E-2</v>
      </c>
    </row>
    <row r="3020" spans="2:9" x14ac:dyDescent="0.25">
      <c r="B3020" s="1">
        <v>39576</v>
      </c>
      <c r="C3020" s="2">
        <v>5081.7</v>
      </c>
      <c r="D3020" s="2">
        <v>5135.8</v>
      </c>
      <c r="E3020" s="2">
        <v>5143.05</v>
      </c>
      <c r="F3020" s="2">
        <v>5062.45</v>
      </c>
      <c r="G3020" s="3">
        <f t="shared" si="143"/>
        <v>-1.0476097750949265E-2</v>
      </c>
      <c r="H3020" s="2">
        <f t="shared" si="141"/>
        <v>80.600000000000364</v>
      </c>
      <c r="I3020" s="3">
        <f t="shared" si="142"/>
        <v>1.5693757545075813E-2</v>
      </c>
    </row>
    <row r="3021" spans="2:9" x14ac:dyDescent="0.25">
      <c r="B3021" s="1">
        <v>39577</v>
      </c>
      <c r="C3021" s="2">
        <v>4982.6000000000004</v>
      </c>
      <c r="D3021" s="2">
        <v>5070.8500000000004</v>
      </c>
      <c r="E3021" s="2">
        <v>5087.6499999999996</v>
      </c>
      <c r="F3021" s="2">
        <v>4969.3999999999996</v>
      </c>
      <c r="G3021" s="3">
        <f t="shared" si="143"/>
        <v>-1.9501347974103078E-2</v>
      </c>
      <c r="H3021" s="2">
        <f t="shared" si="141"/>
        <v>118.25</v>
      </c>
      <c r="I3021" s="3">
        <f t="shared" si="142"/>
        <v>2.3319561809164141E-2</v>
      </c>
    </row>
    <row r="3022" spans="2:9" x14ac:dyDescent="0.25">
      <c r="B3022" s="1">
        <v>39580</v>
      </c>
      <c r="C3022" s="2">
        <v>5012.6499999999996</v>
      </c>
      <c r="D3022" s="2">
        <v>4981</v>
      </c>
      <c r="E3022" s="2">
        <v>5021.75</v>
      </c>
      <c r="F3022" s="2">
        <v>4913.8</v>
      </c>
      <c r="G3022" s="3">
        <f t="shared" si="143"/>
        <v>6.0309878376749726E-3</v>
      </c>
      <c r="H3022" s="2">
        <f t="shared" si="141"/>
        <v>107.94999999999982</v>
      </c>
      <c r="I3022" s="3">
        <f t="shared" si="142"/>
        <v>2.1672354948805424E-2</v>
      </c>
    </row>
    <row r="3023" spans="2:9" x14ac:dyDescent="0.25">
      <c r="B3023" s="1">
        <v>39581</v>
      </c>
      <c r="C3023" s="2">
        <v>4957.8</v>
      </c>
      <c r="D3023" s="2">
        <v>5008.6000000000004</v>
      </c>
      <c r="E3023" s="2">
        <v>5066</v>
      </c>
      <c r="F3023" s="2">
        <v>4943.75</v>
      </c>
      <c r="G3023" s="3">
        <f t="shared" si="143"/>
        <v>-1.0942315940669967E-2</v>
      </c>
      <c r="H3023" s="2">
        <f t="shared" si="141"/>
        <v>122.25</v>
      </c>
      <c r="I3023" s="3">
        <f t="shared" si="142"/>
        <v>2.4408018208681066E-2</v>
      </c>
    </row>
    <row r="3024" spans="2:9" x14ac:dyDescent="0.25">
      <c r="B3024" s="1">
        <v>39582</v>
      </c>
      <c r="C3024" s="2">
        <v>5011.75</v>
      </c>
      <c r="D3024" s="2">
        <v>4958.45</v>
      </c>
      <c r="E3024" s="2">
        <v>5026.1000000000004</v>
      </c>
      <c r="F3024" s="2">
        <v>4932.05</v>
      </c>
      <c r="G3024" s="3">
        <f t="shared" si="143"/>
        <v>1.0881842752833881E-2</v>
      </c>
      <c r="H3024" s="2">
        <f t="shared" si="141"/>
        <v>94.050000000000182</v>
      </c>
      <c r="I3024" s="3">
        <f t="shared" si="142"/>
        <v>1.8967620929927737E-2</v>
      </c>
    </row>
    <row r="3025" spans="2:9" x14ac:dyDescent="0.25">
      <c r="B3025" s="1">
        <v>39583</v>
      </c>
      <c r="C3025" s="2">
        <v>5115.25</v>
      </c>
      <c r="D3025" s="2">
        <v>5010.8999999999996</v>
      </c>
      <c r="E3025" s="2">
        <v>5118.55</v>
      </c>
      <c r="F3025" s="2">
        <v>4999.6000000000004</v>
      </c>
      <c r="G3025" s="3">
        <f t="shared" si="143"/>
        <v>2.0651469047737736E-2</v>
      </c>
      <c r="H3025" s="2">
        <f t="shared" si="141"/>
        <v>118.94999999999982</v>
      </c>
      <c r="I3025" s="3">
        <f t="shared" si="142"/>
        <v>2.3738250613662183E-2</v>
      </c>
    </row>
    <row r="3026" spans="2:9" x14ac:dyDescent="0.25">
      <c r="B3026" s="1">
        <v>39584</v>
      </c>
      <c r="C3026" s="2">
        <v>5157.7</v>
      </c>
      <c r="D3026" s="2">
        <v>5115.6499999999996</v>
      </c>
      <c r="E3026" s="2">
        <v>5167.3999999999996</v>
      </c>
      <c r="F3026" s="2">
        <v>5106.3999999999996</v>
      </c>
      <c r="G3026" s="3">
        <f t="shared" si="143"/>
        <v>8.2987146278286072E-3</v>
      </c>
      <c r="H3026" s="2">
        <f t="shared" si="141"/>
        <v>61</v>
      </c>
      <c r="I3026" s="3">
        <f t="shared" si="142"/>
        <v>1.1924193406507484E-2</v>
      </c>
    </row>
    <row r="3027" spans="2:9" x14ac:dyDescent="0.25">
      <c r="B3027" s="1">
        <v>39588</v>
      </c>
      <c r="C3027" s="2">
        <v>5104.95</v>
      </c>
      <c r="D3027" s="2">
        <v>5157</v>
      </c>
      <c r="E3027" s="2">
        <v>5160.05</v>
      </c>
      <c r="F3027" s="2">
        <v>5072.3999999999996</v>
      </c>
      <c r="G3027" s="3">
        <f t="shared" si="143"/>
        <v>-1.0227426953874796E-2</v>
      </c>
      <c r="H3027" s="2">
        <f t="shared" si="141"/>
        <v>87.650000000000546</v>
      </c>
      <c r="I3027" s="3">
        <f t="shared" si="142"/>
        <v>1.6996315687415268E-2</v>
      </c>
    </row>
    <row r="3028" spans="2:9" x14ac:dyDescent="0.25">
      <c r="B3028" s="1">
        <v>39589</v>
      </c>
      <c r="C3028" s="2">
        <v>5117.6499999999996</v>
      </c>
      <c r="D3028" s="2">
        <v>5105.7</v>
      </c>
      <c r="E3028" s="2">
        <v>5135.55</v>
      </c>
      <c r="F3028" s="2">
        <v>5048.7</v>
      </c>
      <c r="G3028" s="3">
        <f t="shared" si="143"/>
        <v>2.4877814670074549E-3</v>
      </c>
      <c r="H3028" s="2">
        <f t="shared" si="141"/>
        <v>86.850000000000364</v>
      </c>
      <c r="I3028" s="3">
        <f t="shared" si="142"/>
        <v>1.7010400141018935E-2</v>
      </c>
    </row>
    <row r="3029" spans="2:9" x14ac:dyDescent="0.25">
      <c r="B3029" s="1">
        <v>39590</v>
      </c>
      <c r="C3029" s="2">
        <v>5025.45</v>
      </c>
      <c r="D3029" s="2">
        <v>5117</v>
      </c>
      <c r="E3029" s="2">
        <v>5118.8999999999996</v>
      </c>
      <c r="F3029" s="2">
        <v>5010.7</v>
      </c>
      <c r="G3029" s="3">
        <f t="shared" si="143"/>
        <v>-1.8016081599953049E-2</v>
      </c>
      <c r="H3029" s="2">
        <f t="shared" si="141"/>
        <v>108.19999999999982</v>
      </c>
      <c r="I3029" s="3">
        <f t="shared" si="142"/>
        <v>2.1145202266953256E-2</v>
      </c>
    </row>
    <row r="3030" spans="2:9" x14ac:dyDescent="0.25">
      <c r="B3030" s="1">
        <v>39591</v>
      </c>
      <c r="C3030" s="2">
        <v>4946.55</v>
      </c>
      <c r="D3030" s="2">
        <v>5026.55</v>
      </c>
      <c r="E3030" s="2">
        <v>5059.05</v>
      </c>
      <c r="F3030" s="2">
        <v>4940.7</v>
      </c>
      <c r="G3030" s="3">
        <f t="shared" si="143"/>
        <v>-1.5700086559412463E-2</v>
      </c>
      <c r="H3030" s="2">
        <f t="shared" si="141"/>
        <v>118.35000000000036</v>
      </c>
      <c r="I3030" s="3">
        <f t="shared" si="142"/>
        <v>2.3544976176502842E-2</v>
      </c>
    </row>
    <row r="3031" spans="2:9" x14ac:dyDescent="0.25">
      <c r="B3031" s="1">
        <v>39594</v>
      </c>
      <c r="C3031" s="2">
        <v>4875.05</v>
      </c>
      <c r="D3031" s="2">
        <v>4953.6000000000004</v>
      </c>
      <c r="E3031" s="2">
        <v>4953.6000000000004</v>
      </c>
      <c r="F3031" s="2">
        <v>4858</v>
      </c>
      <c r="G3031" s="3">
        <f t="shared" si="143"/>
        <v>-1.4454518806036543E-2</v>
      </c>
      <c r="H3031" s="2">
        <f t="shared" si="141"/>
        <v>95.600000000000364</v>
      </c>
      <c r="I3031" s="3">
        <f t="shared" si="142"/>
        <v>1.9299095607235216E-2</v>
      </c>
    </row>
    <row r="3032" spans="2:9" x14ac:dyDescent="0.25">
      <c r="B3032" s="1">
        <v>39595</v>
      </c>
      <c r="C3032" s="2">
        <v>4859.8</v>
      </c>
      <c r="D3032" s="2">
        <v>4877.1499999999996</v>
      </c>
      <c r="E3032" s="2">
        <v>4932</v>
      </c>
      <c r="F3032" s="2">
        <v>4846.2</v>
      </c>
      <c r="G3032" s="3">
        <f t="shared" si="143"/>
        <v>-3.1281730443790678E-3</v>
      </c>
      <c r="H3032" s="2">
        <f t="shared" si="141"/>
        <v>85.800000000000182</v>
      </c>
      <c r="I3032" s="3">
        <f t="shared" si="142"/>
        <v>1.7592241370472547E-2</v>
      </c>
    </row>
    <row r="3033" spans="2:9" x14ac:dyDescent="0.25">
      <c r="B3033" s="1">
        <v>39596</v>
      </c>
      <c r="C3033" s="2">
        <v>4918.3500000000004</v>
      </c>
      <c r="D3033" s="2">
        <v>4862.7</v>
      </c>
      <c r="E3033" s="2">
        <v>4926.8999999999996</v>
      </c>
      <c r="F3033" s="2">
        <v>4835.6499999999996</v>
      </c>
      <c r="G3033" s="3">
        <f t="shared" si="143"/>
        <v>1.2047820897979289E-2</v>
      </c>
      <c r="H3033" s="2">
        <f t="shared" si="141"/>
        <v>91.25</v>
      </c>
      <c r="I3033" s="3">
        <f t="shared" si="142"/>
        <v>1.8765295000719766E-2</v>
      </c>
    </row>
    <row r="3034" spans="2:9" x14ac:dyDescent="0.25">
      <c r="B3034" s="1">
        <v>39597</v>
      </c>
      <c r="C3034" s="2">
        <v>4835.3</v>
      </c>
      <c r="D3034" s="2">
        <v>4926.3</v>
      </c>
      <c r="E3034" s="2">
        <v>4957.3999999999996</v>
      </c>
      <c r="F3034" s="2">
        <v>4801.8999999999996</v>
      </c>
      <c r="G3034" s="3">
        <f t="shared" si="143"/>
        <v>-1.6885744202832287E-2</v>
      </c>
      <c r="H3034" s="2">
        <f t="shared" si="141"/>
        <v>155.5</v>
      </c>
      <c r="I3034" s="3">
        <f t="shared" si="142"/>
        <v>3.1565272110914887E-2</v>
      </c>
    </row>
    <row r="3035" spans="2:9" x14ac:dyDescent="0.25">
      <c r="B3035" s="1">
        <v>39598</v>
      </c>
      <c r="C3035" s="2">
        <v>4870.1000000000004</v>
      </c>
      <c r="D3035" s="2">
        <v>4844.05</v>
      </c>
      <c r="E3035" s="2">
        <v>4908.8500000000004</v>
      </c>
      <c r="F3035" s="2">
        <v>4833.45</v>
      </c>
      <c r="G3035" s="3">
        <f t="shared" si="143"/>
        <v>7.1970715364093607E-3</v>
      </c>
      <c r="H3035" s="2">
        <f t="shared" si="141"/>
        <v>75.400000000000546</v>
      </c>
      <c r="I3035" s="3">
        <f t="shared" si="142"/>
        <v>1.5565487556899814E-2</v>
      </c>
    </row>
    <row r="3036" spans="2:9" x14ac:dyDescent="0.25">
      <c r="B3036" s="1">
        <v>39601</v>
      </c>
      <c r="C3036" s="2">
        <v>4739.6000000000004</v>
      </c>
      <c r="D3036" s="2">
        <v>4869.25</v>
      </c>
      <c r="E3036" s="2">
        <v>4908.8</v>
      </c>
      <c r="F3036" s="2">
        <v>4713</v>
      </c>
      <c r="G3036" s="3">
        <f t="shared" si="143"/>
        <v>-2.6796164349808027E-2</v>
      </c>
      <c r="H3036" s="2">
        <f t="shared" si="141"/>
        <v>195.80000000000018</v>
      </c>
      <c r="I3036" s="3">
        <f t="shared" si="142"/>
        <v>4.0211531550033409E-2</v>
      </c>
    </row>
    <row r="3037" spans="2:9" x14ac:dyDescent="0.25">
      <c r="B3037" s="1">
        <v>39602</v>
      </c>
      <c r="C3037" s="2">
        <v>4715.8999999999996</v>
      </c>
      <c r="D3037" s="2">
        <v>4739.3</v>
      </c>
      <c r="E3037" s="2">
        <v>4739.3</v>
      </c>
      <c r="F3037" s="2">
        <v>4634</v>
      </c>
      <c r="G3037" s="3">
        <f t="shared" si="143"/>
        <v>-5.0004219765382718E-3</v>
      </c>
      <c r="H3037" s="2">
        <f t="shared" si="141"/>
        <v>105.30000000000018</v>
      </c>
      <c r="I3037" s="3">
        <f t="shared" si="142"/>
        <v>2.2218471082227371E-2</v>
      </c>
    </row>
    <row r="3038" spans="2:9" x14ac:dyDescent="0.25">
      <c r="B3038" s="1">
        <v>39603</v>
      </c>
      <c r="C3038" s="2">
        <v>4585.6000000000004</v>
      </c>
      <c r="D3038" s="2">
        <v>4718.7</v>
      </c>
      <c r="E3038" s="2">
        <v>4731.5</v>
      </c>
      <c r="F3038" s="2">
        <v>4564.5</v>
      </c>
      <c r="G3038" s="3">
        <f t="shared" si="143"/>
        <v>-2.7629932780593114E-2</v>
      </c>
      <c r="H3038" s="2">
        <f t="shared" si="141"/>
        <v>167</v>
      </c>
      <c r="I3038" s="3">
        <f t="shared" si="142"/>
        <v>3.5391103481891201E-2</v>
      </c>
    </row>
    <row r="3039" spans="2:9" x14ac:dyDescent="0.25">
      <c r="B3039" s="1">
        <v>39604</v>
      </c>
      <c r="C3039" s="2">
        <v>4676.95</v>
      </c>
      <c r="D3039" s="2">
        <v>4586.95</v>
      </c>
      <c r="E3039" s="2">
        <v>4690.6000000000004</v>
      </c>
      <c r="F3039" s="2">
        <v>4536.25</v>
      </c>
      <c r="G3039" s="3">
        <f t="shared" si="143"/>
        <v>1.9921057222609839E-2</v>
      </c>
      <c r="H3039" s="2">
        <f t="shared" si="141"/>
        <v>154.35000000000036</v>
      </c>
      <c r="I3039" s="3">
        <f t="shared" si="142"/>
        <v>3.3649810876508437E-2</v>
      </c>
    </row>
    <row r="3040" spans="2:9" x14ac:dyDescent="0.25">
      <c r="B3040" s="1">
        <v>39605</v>
      </c>
      <c r="C3040" s="2">
        <v>4627.8</v>
      </c>
      <c r="D3040" s="2">
        <v>4680.55</v>
      </c>
      <c r="E3040" s="2">
        <v>4746.3</v>
      </c>
      <c r="F3040" s="2">
        <v>4614.25</v>
      </c>
      <c r="G3040" s="3">
        <f t="shared" si="143"/>
        <v>-1.0508985556826445E-2</v>
      </c>
      <c r="H3040" s="2">
        <f t="shared" si="141"/>
        <v>132.05000000000018</v>
      </c>
      <c r="I3040" s="3">
        <f t="shared" si="142"/>
        <v>2.8212496394654511E-2</v>
      </c>
    </row>
    <row r="3041" spans="2:9" x14ac:dyDescent="0.25">
      <c r="B3041" s="1">
        <v>39608</v>
      </c>
      <c r="C3041" s="2">
        <v>4500.95</v>
      </c>
      <c r="D3041" s="2">
        <v>4626.45</v>
      </c>
      <c r="E3041" s="2">
        <v>4626.45</v>
      </c>
      <c r="F3041" s="2">
        <v>4411.6000000000004</v>
      </c>
      <c r="G3041" s="3">
        <f t="shared" si="143"/>
        <v>-2.7410432602964718E-2</v>
      </c>
      <c r="H3041" s="2">
        <f t="shared" si="141"/>
        <v>214.84999999999945</v>
      </c>
      <c r="I3041" s="3">
        <f t="shared" si="142"/>
        <v>4.6439494644922016E-2</v>
      </c>
    </row>
    <row r="3042" spans="2:9" x14ac:dyDescent="0.25">
      <c r="B3042" s="1">
        <v>39609</v>
      </c>
      <c r="C3042" s="2">
        <v>4449.8</v>
      </c>
      <c r="D3042" s="2">
        <v>4522</v>
      </c>
      <c r="E3042" s="2">
        <v>4522.55</v>
      </c>
      <c r="F3042" s="2">
        <v>4369.8</v>
      </c>
      <c r="G3042" s="3">
        <f t="shared" si="143"/>
        <v>-1.1364267543518491E-2</v>
      </c>
      <c r="H3042" s="2">
        <f t="shared" si="141"/>
        <v>152.75</v>
      </c>
      <c r="I3042" s="3">
        <f t="shared" si="142"/>
        <v>3.3779301194161879E-2</v>
      </c>
    </row>
    <row r="3043" spans="2:9" x14ac:dyDescent="0.25">
      <c r="B3043" s="1">
        <v>39610</v>
      </c>
      <c r="C3043" s="2">
        <v>4523.6000000000004</v>
      </c>
      <c r="D3043" s="2">
        <v>4469.6499999999996</v>
      </c>
      <c r="E3043" s="2">
        <v>4541.05</v>
      </c>
      <c r="F3043" s="2">
        <v>4468.05</v>
      </c>
      <c r="G3043" s="3">
        <f t="shared" si="143"/>
        <v>1.65850150568565E-2</v>
      </c>
      <c r="H3043" s="2">
        <f t="shared" si="141"/>
        <v>73</v>
      </c>
      <c r="I3043" s="3">
        <f t="shared" si="142"/>
        <v>1.633237501817816E-2</v>
      </c>
    </row>
    <row r="3044" spans="2:9" x14ac:dyDescent="0.25">
      <c r="B3044" s="1">
        <v>39611</v>
      </c>
      <c r="C3044" s="2">
        <v>4539.3500000000004</v>
      </c>
      <c r="D3044" s="2">
        <v>4524.3999999999996</v>
      </c>
      <c r="E3044" s="2">
        <v>4550</v>
      </c>
      <c r="F3044" s="2">
        <v>4392</v>
      </c>
      <c r="G3044" s="3">
        <f t="shared" si="143"/>
        <v>3.4817402069149406E-3</v>
      </c>
      <c r="H3044" s="2">
        <f t="shared" si="141"/>
        <v>158</v>
      </c>
      <c r="I3044" s="3">
        <f t="shared" si="142"/>
        <v>3.492175758111573E-2</v>
      </c>
    </row>
    <row r="3045" spans="2:9" x14ac:dyDescent="0.25">
      <c r="B3045" s="1">
        <v>39612</v>
      </c>
      <c r="C3045" s="2">
        <v>4517.1000000000004</v>
      </c>
      <c r="D3045" s="2">
        <v>4539.5</v>
      </c>
      <c r="E3045" s="2">
        <v>4563.3500000000004</v>
      </c>
      <c r="F3045" s="2">
        <v>4491.3500000000004</v>
      </c>
      <c r="G3045" s="3">
        <f t="shared" si="143"/>
        <v>-4.9015828257349403E-3</v>
      </c>
      <c r="H3045" s="2">
        <f t="shared" si="141"/>
        <v>72</v>
      </c>
      <c r="I3045" s="3">
        <f t="shared" si="142"/>
        <v>1.5860777618680471E-2</v>
      </c>
    </row>
    <row r="3046" spans="2:9" x14ac:dyDescent="0.25">
      <c r="B3046" s="1">
        <v>39615</v>
      </c>
      <c r="C3046" s="2">
        <v>4572.5</v>
      </c>
      <c r="D3046" s="2">
        <v>4536.3</v>
      </c>
      <c r="E3046" s="2">
        <v>4617.7</v>
      </c>
      <c r="F3046" s="2">
        <v>4536.3</v>
      </c>
      <c r="G3046" s="3">
        <f t="shared" si="143"/>
        <v>1.2264505988355268E-2</v>
      </c>
      <c r="H3046" s="2">
        <f t="shared" si="141"/>
        <v>81.399999999999636</v>
      </c>
      <c r="I3046" s="3">
        <f t="shared" si="142"/>
        <v>1.794413949694677E-2</v>
      </c>
    </row>
    <row r="3047" spans="2:9" x14ac:dyDescent="0.25">
      <c r="B3047" s="1">
        <v>39616</v>
      </c>
      <c r="C3047" s="2">
        <v>4653</v>
      </c>
      <c r="D3047" s="2">
        <v>4572.5</v>
      </c>
      <c r="E3047" s="2">
        <v>4664.05</v>
      </c>
      <c r="F3047" s="2">
        <v>4561.75</v>
      </c>
      <c r="G3047" s="3">
        <f t="shared" si="143"/>
        <v>1.7605248769819504E-2</v>
      </c>
      <c r="H3047" s="2">
        <f t="shared" si="141"/>
        <v>102.30000000000018</v>
      </c>
      <c r="I3047" s="3">
        <f t="shared" si="142"/>
        <v>2.2372881355932243E-2</v>
      </c>
    </row>
    <row r="3048" spans="2:9" x14ac:dyDescent="0.25">
      <c r="B3048" s="1">
        <v>39617</v>
      </c>
      <c r="C3048" s="2">
        <v>4582.3999999999996</v>
      </c>
      <c r="D3048" s="2">
        <v>4652.8</v>
      </c>
      <c r="E3048" s="2">
        <v>4679.75</v>
      </c>
      <c r="F3048" s="2">
        <v>4569.8999999999996</v>
      </c>
      <c r="G3048" s="3">
        <f t="shared" si="143"/>
        <v>-1.5173006662368427E-2</v>
      </c>
      <c r="H3048" s="2">
        <f t="shared" si="141"/>
        <v>109.85000000000036</v>
      </c>
      <c r="I3048" s="3">
        <f t="shared" si="142"/>
        <v>2.3609439477304067E-2</v>
      </c>
    </row>
    <row r="3049" spans="2:9" x14ac:dyDescent="0.25">
      <c r="B3049" s="1">
        <v>39618</v>
      </c>
      <c r="C3049" s="2">
        <v>4504.25</v>
      </c>
      <c r="D3049" s="2">
        <v>4582.55</v>
      </c>
      <c r="E3049" s="2">
        <v>4585.7</v>
      </c>
      <c r="F3049" s="2">
        <v>4488.95</v>
      </c>
      <c r="G3049" s="3">
        <f t="shared" si="143"/>
        <v>-1.7054381983240163E-2</v>
      </c>
      <c r="H3049" s="2">
        <f t="shared" si="141"/>
        <v>96.75</v>
      </c>
      <c r="I3049" s="3">
        <f t="shared" si="142"/>
        <v>2.1112699261328298E-2</v>
      </c>
    </row>
    <row r="3050" spans="2:9" x14ac:dyDescent="0.25">
      <c r="B3050" s="1">
        <v>39619</v>
      </c>
      <c r="C3050" s="2">
        <v>4347.55</v>
      </c>
      <c r="D3050" s="2">
        <v>4504.2</v>
      </c>
      <c r="E3050" s="2">
        <v>4532</v>
      </c>
      <c r="F3050" s="2">
        <v>4333.6000000000004</v>
      </c>
      <c r="G3050" s="3">
        <f t="shared" si="143"/>
        <v>-3.4789365599156352E-2</v>
      </c>
      <c r="H3050" s="2">
        <f t="shared" si="141"/>
        <v>198.39999999999964</v>
      </c>
      <c r="I3050" s="3">
        <f t="shared" si="142"/>
        <v>4.4047777629767693E-2</v>
      </c>
    </row>
    <row r="3051" spans="2:9" x14ac:dyDescent="0.25">
      <c r="B3051" s="1">
        <v>39622</v>
      </c>
      <c r="C3051" s="2">
        <v>4266.3999999999996</v>
      </c>
      <c r="D3051" s="2">
        <v>4351.1499999999996</v>
      </c>
      <c r="E3051" s="2">
        <v>4351.1499999999996</v>
      </c>
      <c r="F3051" s="2">
        <v>4225.5</v>
      </c>
      <c r="G3051" s="3">
        <f t="shared" si="143"/>
        <v>-1.8665685271014865E-2</v>
      </c>
      <c r="H3051" s="2">
        <f t="shared" si="141"/>
        <v>125.64999999999964</v>
      </c>
      <c r="I3051" s="3">
        <f t="shared" si="142"/>
        <v>2.8877423209955906E-2</v>
      </c>
    </row>
    <row r="3052" spans="2:9" x14ac:dyDescent="0.25">
      <c r="B3052" s="1">
        <v>39623</v>
      </c>
      <c r="C3052" s="2">
        <v>4191.1000000000004</v>
      </c>
      <c r="D3052" s="2">
        <v>4271.05</v>
      </c>
      <c r="E3052" s="2">
        <v>4305.8999999999996</v>
      </c>
      <c r="F3052" s="2">
        <v>4156.1000000000004</v>
      </c>
      <c r="G3052" s="3">
        <f t="shared" si="143"/>
        <v>-1.7649540596287094E-2</v>
      </c>
      <c r="H3052" s="2">
        <f t="shared" si="141"/>
        <v>149.79999999999927</v>
      </c>
      <c r="I3052" s="3">
        <f t="shared" si="142"/>
        <v>3.5073342620666879E-2</v>
      </c>
    </row>
    <row r="3053" spans="2:9" x14ac:dyDescent="0.25">
      <c r="B3053" s="1">
        <v>39624</v>
      </c>
      <c r="C3053" s="2">
        <v>4252.6499999999996</v>
      </c>
      <c r="D3053" s="2">
        <v>4189.6000000000004</v>
      </c>
      <c r="E3053" s="2">
        <v>4264.55</v>
      </c>
      <c r="F3053" s="2">
        <v>4093.2</v>
      </c>
      <c r="G3053" s="3">
        <f t="shared" si="143"/>
        <v>1.4685881988022009E-2</v>
      </c>
      <c r="H3053" s="2">
        <f t="shared" si="141"/>
        <v>171.35000000000036</v>
      </c>
      <c r="I3053" s="3">
        <f t="shared" si="142"/>
        <v>4.0898892495703727E-2</v>
      </c>
    </row>
    <row r="3054" spans="2:9" x14ac:dyDescent="0.25">
      <c r="B3054" s="1">
        <v>39625</v>
      </c>
      <c r="C3054" s="2">
        <v>4315.8500000000004</v>
      </c>
      <c r="D3054" s="2">
        <v>4252.6000000000004</v>
      </c>
      <c r="E3054" s="2">
        <v>4324.75</v>
      </c>
      <c r="F3054" s="2">
        <v>4230</v>
      </c>
      <c r="G3054" s="3">
        <f t="shared" si="143"/>
        <v>1.4861321764076729E-2</v>
      </c>
      <c r="H3054" s="2">
        <f t="shared" si="141"/>
        <v>94.75</v>
      </c>
      <c r="I3054" s="3">
        <f t="shared" si="142"/>
        <v>2.2280487231340827E-2</v>
      </c>
    </row>
    <row r="3055" spans="2:9" x14ac:dyDescent="0.25">
      <c r="B3055" s="1">
        <v>39626</v>
      </c>
      <c r="C3055" s="2">
        <v>4136.6499999999996</v>
      </c>
      <c r="D3055" s="2">
        <v>4315.3</v>
      </c>
      <c r="E3055" s="2">
        <v>4315.3</v>
      </c>
      <c r="F3055" s="2">
        <v>4119.2</v>
      </c>
      <c r="G3055" s="3">
        <f t="shared" si="143"/>
        <v>-4.1521368907631362E-2</v>
      </c>
      <c r="H3055" s="2">
        <f t="shared" si="141"/>
        <v>196.10000000000036</v>
      </c>
      <c r="I3055" s="3">
        <f t="shared" si="142"/>
        <v>4.5442958774592812E-2</v>
      </c>
    </row>
    <row r="3056" spans="2:9" x14ac:dyDescent="0.25">
      <c r="B3056" s="1">
        <v>39629</v>
      </c>
      <c r="C3056" s="2">
        <v>4040.55</v>
      </c>
      <c r="D3056" s="2">
        <v>4136.25</v>
      </c>
      <c r="E3056" s="2">
        <v>4163</v>
      </c>
      <c r="F3056" s="2">
        <v>4021.7</v>
      </c>
      <c r="G3056" s="3">
        <f t="shared" si="143"/>
        <v>-2.3231358708133309E-2</v>
      </c>
      <c r="H3056" s="2">
        <f t="shared" si="141"/>
        <v>141.30000000000018</v>
      </c>
      <c r="I3056" s="3">
        <f t="shared" si="142"/>
        <v>3.416137805983685E-2</v>
      </c>
    </row>
    <row r="3057" spans="2:9" x14ac:dyDescent="0.25">
      <c r="B3057" s="1">
        <v>39630</v>
      </c>
      <c r="C3057" s="2">
        <v>3896.75</v>
      </c>
      <c r="D3057" s="2">
        <v>4039.75</v>
      </c>
      <c r="E3057" s="2">
        <v>4075.4</v>
      </c>
      <c r="F3057" s="2">
        <v>3878.2</v>
      </c>
      <c r="G3057" s="3">
        <f t="shared" si="143"/>
        <v>-3.5589214339632025E-2</v>
      </c>
      <c r="H3057" s="2">
        <f t="shared" si="141"/>
        <v>197.20000000000027</v>
      </c>
      <c r="I3057" s="3">
        <f t="shared" si="142"/>
        <v>4.8814901912247112E-2</v>
      </c>
    </row>
    <row r="3058" spans="2:9" x14ac:dyDescent="0.25">
      <c r="B3058" s="1">
        <v>39631</v>
      </c>
      <c r="C3058" s="2">
        <v>4093.35</v>
      </c>
      <c r="D3058" s="2">
        <v>3895.3</v>
      </c>
      <c r="E3058" s="2">
        <v>4107.1499999999996</v>
      </c>
      <c r="F3058" s="2">
        <v>3848.25</v>
      </c>
      <c r="G3058" s="3">
        <f t="shared" si="143"/>
        <v>5.045229999358436E-2</v>
      </c>
      <c r="H3058" s="2">
        <f t="shared" si="141"/>
        <v>258.89999999999964</v>
      </c>
      <c r="I3058" s="3">
        <f t="shared" si="142"/>
        <v>6.6464713885965046E-2</v>
      </c>
    </row>
    <row r="3059" spans="2:9" x14ac:dyDescent="0.25">
      <c r="B3059" s="1">
        <v>39632</v>
      </c>
      <c r="C3059" s="2">
        <v>3925.75</v>
      </c>
      <c r="D3059" s="2">
        <v>4094.6</v>
      </c>
      <c r="E3059" s="2">
        <v>4097.3500000000004</v>
      </c>
      <c r="F3059" s="2">
        <v>3874.85</v>
      </c>
      <c r="G3059" s="3">
        <f t="shared" si="143"/>
        <v>-4.0944458695200692E-2</v>
      </c>
      <c r="H3059" s="2">
        <f t="shared" si="141"/>
        <v>222.50000000000045</v>
      </c>
      <c r="I3059" s="3">
        <f t="shared" si="142"/>
        <v>5.4339862257607695E-2</v>
      </c>
    </row>
    <row r="3060" spans="2:9" x14ac:dyDescent="0.25">
      <c r="B3060" s="1">
        <v>39633</v>
      </c>
      <c r="C3060" s="2">
        <v>4016</v>
      </c>
      <c r="D3060" s="2">
        <v>3926.65</v>
      </c>
      <c r="E3060" s="2">
        <v>4033.5</v>
      </c>
      <c r="F3060" s="2">
        <v>3896.4</v>
      </c>
      <c r="G3060" s="3">
        <f t="shared" si="143"/>
        <v>2.2989237725275391E-2</v>
      </c>
      <c r="H3060" s="2">
        <f t="shared" si="141"/>
        <v>137.09999999999991</v>
      </c>
      <c r="I3060" s="3">
        <f t="shared" si="142"/>
        <v>3.4915258553728984E-2</v>
      </c>
    </row>
    <row r="3061" spans="2:9" x14ac:dyDescent="0.25">
      <c r="B3061" s="1">
        <v>39636</v>
      </c>
      <c r="C3061" s="2">
        <v>4030</v>
      </c>
      <c r="D3061" s="2">
        <v>4002</v>
      </c>
      <c r="E3061" s="2">
        <v>4114.5</v>
      </c>
      <c r="F3061" s="2">
        <v>4002</v>
      </c>
      <c r="G3061" s="3">
        <f t="shared" si="143"/>
        <v>3.4860557768925382E-3</v>
      </c>
      <c r="H3061" s="2">
        <f t="shared" si="141"/>
        <v>112.5</v>
      </c>
      <c r="I3061" s="3">
        <f t="shared" si="142"/>
        <v>2.8110944527736131E-2</v>
      </c>
    </row>
    <row r="3062" spans="2:9" x14ac:dyDescent="0.25">
      <c r="B3062" s="1">
        <v>39637</v>
      </c>
      <c r="C3062" s="2">
        <v>3988.55</v>
      </c>
      <c r="D3062" s="2">
        <v>4028.7</v>
      </c>
      <c r="E3062" s="2">
        <v>4028.7</v>
      </c>
      <c r="F3062" s="2">
        <v>3896.05</v>
      </c>
      <c r="G3062" s="3">
        <f t="shared" si="143"/>
        <v>-1.0285359801488814E-2</v>
      </c>
      <c r="H3062" s="2">
        <f t="shared" si="141"/>
        <v>132.64999999999964</v>
      </c>
      <c r="I3062" s="3">
        <f t="shared" si="142"/>
        <v>3.2926254126641262E-2</v>
      </c>
    </row>
    <row r="3063" spans="2:9" x14ac:dyDescent="0.25">
      <c r="B3063" s="1">
        <v>39638</v>
      </c>
      <c r="C3063" s="2">
        <v>4157.1000000000004</v>
      </c>
      <c r="D3063" s="2">
        <v>3990.9</v>
      </c>
      <c r="E3063" s="2">
        <v>4169.3999999999996</v>
      </c>
      <c r="F3063" s="2">
        <v>3990.9</v>
      </c>
      <c r="G3063" s="3">
        <f t="shared" si="143"/>
        <v>4.2258464855649436E-2</v>
      </c>
      <c r="H3063" s="2">
        <f t="shared" si="141"/>
        <v>178.49999999999955</v>
      </c>
      <c r="I3063" s="3">
        <f t="shared" si="142"/>
        <v>4.4726753363902763E-2</v>
      </c>
    </row>
    <row r="3064" spans="2:9" x14ac:dyDescent="0.25">
      <c r="B3064" s="1">
        <v>39639</v>
      </c>
      <c r="C3064" s="2">
        <v>4162.2</v>
      </c>
      <c r="D3064" s="2">
        <v>4155.6499999999996</v>
      </c>
      <c r="E3064" s="2">
        <v>4187.95</v>
      </c>
      <c r="F3064" s="2">
        <v>4110.3999999999996</v>
      </c>
      <c r="G3064" s="3">
        <f t="shared" si="143"/>
        <v>1.2268167713067601E-3</v>
      </c>
      <c r="H3064" s="2">
        <f t="shared" si="141"/>
        <v>77.550000000000182</v>
      </c>
      <c r="I3064" s="3">
        <f t="shared" si="142"/>
        <v>1.8661340584505477E-2</v>
      </c>
    </row>
    <row r="3065" spans="2:9" x14ac:dyDescent="0.25">
      <c r="B3065" s="1">
        <v>39640</v>
      </c>
      <c r="C3065" s="2">
        <v>4049</v>
      </c>
      <c r="D3065" s="2">
        <v>4166</v>
      </c>
      <c r="E3065" s="2">
        <v>4215.5</v>
      </c>
      <c r="F3065" s="2">
        <v>4014.45</v>
      </c>
      <c r="G3065" s="3">
        <f t="shared" si="143"/>
        <v>-2.7197155350535684E-2</v>
      </c>
      <c r="H3065" s="2">
        <f t="shared" si="141"/>
        <v>201.05000000000018</v>
      </c>
      <c r="I3065" s="3">
        <f t="shared" si="142"/>
        <v>4.8259721555448915E-2</v>
      </c>
    </row>
    <row r="3066" spans="2:9" x14ac:dyDescent="0.25">
      <c r="B3066" s="1">
        <v>39643</v>
      </c>
      <c r="C3066" s="2">
        <v>4039.7</v>
      </c>
      <c r="D3066" s="2">
        <v>4047.45</v>
      </c>
      <c r="E3066" s="2">
        <v>4118.1000000000004</v>
      </c>
      <c r="F3066" s="2">
        <v>4004.25</v>
      </c>
      <c r="G3066" s="3">
        <f t="shared" si="143"/>
        <v>-2.2968634230674523E-3</v>
      </c>
      <c r="H3066" s="2">
        <f t="shared" si="141"/>
        <v>113.85000000000036</v>
      </c>
      <c r="I3066" s="3">
        <f t="shared" si="142"/>
        <v>2.8128821850795037E-2</v>
      </c>
    </row>
    <row r="3067" spans="2:9" x14ac:dyDescent="0.25">
      <c r="B3067" s="1">
        <v>39644</v>
      </c>
      <c r="C3067" s="2">
        <v>3861.1</v>
      </c>
      <c r="D3067" s="2">
        <v>4039.3</v>
      </c>
      <c r="E3067" s="2">
        <v>4040.7</v>
      </c>
      <c r="F3067" s="2">
        <v>3835.5</v>
      </c>
      <c r="G3067" s="3">
        <f t="shared" si="143"/>
        <v>-4.4211203802262511E-2</v>
      </c>
      <c r="H3067" s="2">
        <f t="shared" si="141"/>
        <v>205.19999999999982</v>
      </c>
      <c r="I3067" s="3">
        <f t="shared" si="142"/>
        <v>5.0800881340826332E-2</v>
      </c>
    </row>
    <row r="3068" spans="2:9" x14ac:dyDescent="0.25">
      <c r="B3068" s="1">
        <v>39645</v>
      </c>
      <c r="C3068" s="2">
        <v>3816.7</v>
      </c>
      <c r="D3068" s="2">
        <v>3861.55</v>
      </c>
      <c r="E3068" s="2">
        <v>3920.05</v>
      </c>
      <c r="F3068" s="2">
        <v>3790.2</v>
      </c>
      <c r="G3068" s="3">
        <f t="shared" si="143"/>
        <v>-1.1499313667089672E-2</v>
      </c>
      <c r="H3068" s="2">
        <f t="shared" si="141"/>
        <v>129.85000000000036</v>
      </c>
      <c r="I3068" s="3">
        <f t="shared" si="142"/>
        <v>3.3626393546632924E-2</v>
      </c>
    </row>
    <row r="3069" spans="2:9" x14ac:dyDescent="0.25">
      <c r="B3069" s="1">
        <v>39646</v>
      </c>
      <c r="C3069" s="2">
        <v>3947.2</v>
      </c>
      <c r="D3069" s="2">
        <v>3823.15</v>
      </c>
      <c r="E3069" s="2">
        <v>3968.75</v>
      </c>
      <c r="F3069" s="2">
        <v>3823.15</v>
      </c>
      <c r="G3069" s="3">
        <f t="shared" si="143"/>
        <v>3.4191841119291633E-2</v>
      </c>
      <c r="H3069" s="2">
        <f t="shared" si="141"/>
        <v>145.59999999999991</v>
      </c>
      <c r="I3069" s="3">
        <f t="shared" si="142"/>
        <v>3.8083779082693565E-2</v>
      </c>
    </row>
    <row r="3070" spans="2:9" x14ac:dyDescent="0.25">
      <c r="B3070" s="1">
        <v>39647</v>
      </c>
      <c r="C3070" s="2">
        <v>4092.25</v>
      </c>
      <c r="D3070" s="2">
        <v>3962.95</v>
      </c>
      <c r="E3070" s="2">
        <v>4110.55</v>
      </c>
      <c r="F3070" s="2">
        <v>3926.3</v>
      </c>
      <c r="G3070" s="3">
        <f t="shared" si="143"/>
        <v>3.6747567896230349E-2</v>
      </c>
      <c r="H3070" s="2">
        <f t="shared" si="141"/>
        <v>184.25</v>
      </c>
      <c r="I3070" s="3">
        <f t="shared" si="142"/>
        <v>4.6493142734579038E-2</v>
      </c>
    </row>
    <row r="3071" spans="2:9" x14ac:dyDescent="0.25">
      <c r="B3071" s="1">
        <v>39650</v>
      </c>
      <c r="C3071" s="2">
        <v>4159.5</v>
      </c>
      <c r="D3071" s="2">
        <v>4092.2</v>
      </c>
      <c r="E3071" s="2">
        <v>4168.1499999999996</v>
      </c>
      <c r="F3071" s="2">
        <v>4072.75</v>
      </c>
      <c r="G3071" s="3">
        <f t="shared" si="143"/>
        <v>1.6433502352006801E-2</v>
      </c>
      <c r="H3071" s="2">
        <f t="shared" si="141"/>
        <v>95.399999999999636</v>
      </c>
      <c r="I3071" s="3">
        <f t="shared" si="142"/>
        <v>2.3312643565808033E-2</v>
      </c>
    </row>
    <row r="3072" spans="2:9" x14ac:dyDescent="0.25">
      <c r="B3072" s="1">
        <v>39651</v>
      </c>
      <c r="C3072" s="2">
        <v>4240.1000000000004</v>
      </c>
      <c r="D3072" s="2">
        <v>4158.45</v>
      </c>
      <c r="E3072" s="2">
        <v>4262.45</v>
      </c>
      <c r="F3072" s="2">
        <v>4137.95</v>
      </c>
      <c r="G3072" s="3">
        <f t="shared" si="143"/>
        <v>1.9377329005890287E-2</v>
      </c>
      <c r="H3072" s="2">
        <f t="shared" si="141"/>
        <v>124.5</v>
      </c>
      <c r="I3072" s="3">
        <f t="shared" si="142"/>
        <v>2.9939039786458899E-2</v>
      </c>
    </row>
    <row r="3073" spans="2:9" x14ac:dyDescent="0.25">
      <c r="B3073" s="1">
        <v>39652</v>
      </c>
      <c r="C3073" s="2">
        <v>4476.8</v>
      </c>
      <c r="D3073" s="2">
        <v>4246.7</v>
      </c>
      <c r="E3073" s="2">
        <v>4491.55</v>
      </c>
      <c r="F3073" s="2">
        <v>4246.7</v>
      </c>
      <c r="G3073" s="3">
        <f t="shared" si="143"/>
        <v>5.5824155090681726E-2</v>
      </c>
      <c r="H3073" s="2">
        <f t="shared" si="141"/>
        <v>244.85000000000036</v>
      </c>
      <c r="I3073" s="3">
        <f t="shared" si="142"/>
        <v>5.7656533308215879E-2</v>
      </c>
    </row>
    <row r="3074" spans="2:9" x14ac:dyDescent="0.25">
      <c r="B3074" s="1">
        <v>39653</v>
      </c>
      <c r="C3074" s="2">
        <v>4433.55</v>
      </c>
      <c r="D3074" s="2">
        <v>4476.2</v>
      </c>
      <c r="E3074" s="2">
        <v>4539.45</v>
      </c>
      <c r="F3074" s="2">
        <v>4385.8500000000004</v>
      </c>
      <c r="G3074" s="3">
        <f t="shared" si="143"/>
        <v>-9.6609185132237041E-3</v>
      </c>
      <c r="H3074" s="2">
        <f t="shared" si="141"/>
        <v>153.59999999999945</v>
      </c>
      <c r="I3074" s="3">
        <f t="shared" si="142"/>
        <v>3.4314820606764544E-2</v>
      </c>
    </row>
    <row r="3075" spans="2:9" x14ac:dyDescent="0.25">
      <c r="B3075" s="1">
        <v>39654</v>
      </c>
      <c r="C3075" s="2">
        <v>4311.8500000000004</v>
      </c>
      <c r="D3075" s="2">
        <v>4440.8500000000004</v>
      </c>
      <c r="E3075" s="2">
        <v>4440.8500000000004</v>
      </c>
      <c r="F3075" s="2">
        <v>4297.1499999999996</v>
      </c>
      <c r="G3075" s="3">
        <f t="shared" si="143"/>
        <v>-2.7449786288640032E-2</v>
      </c>
      <c r="H3075" s="2">
        <f t="shared" si="141"/>
        <v>143.70000000000073</v>
      </c>
      <c r="I3075" s="3">
        <f t="shared" si="142"/>
        <v>3.2358670074422849E-2</v>
      </c>
    </row>
    <row r="3076" spans="2:9" x14ac:dyDescent="0.25">
      <c r="B3076" s="1">
        <v>39657</v>
      </c>
      <c r="C3076" s="2">
        <v>4332.1000000000004</v>
      </c>
      <c r="D3076" s="2">
        <v>4282.25</v>
      </c>
      <c r="E3076" s="2">
        <v>4352.6499999999996</v>
      </c>
      <c r="F3076" s="2">
        <v>4282.25</v>
      </c>
      <c r="G3076" s="3">
        <f t="shared" si="143"/>
        <v>4.6963600310772069E-3</v>
      </c>
      <c r="H3076" s="2">
        <f t="shared" si="141"/>
        <v>70.399999999999636</v>
      </c>
      <c r="I3076" s="3">
        <f t="shared" si="142"/>
        <v>1.643995563080148E-2</v>
      </c>
    </row>
    <row r="3077" spans="2:9" x14ac:dyDescent="0.25">
      <c r="B3077" s="1">
        <v>39658</v>
      </c>
      <c r="C3077" s="2">
        <v>4189.8500000000004</v>
      </c>
      <c r="D3077" s="2">
        <v>4332.2</v>
      </c>
      <c r="E3077" s="2">
        <v>4332.2</v>
      </c>
      <c r="F3077" s="2">
        <v>4159.1499999999996</v>
      </c>
      <c r="G3077" s="3">
        <f t="shared" si="143"/>
        <v>-3.2836268784192435E-2</v>
      </c>
      <c r="H3077" s="2">
        <f t="shared" ref="H3077:H3140" si="144">E3077-F3077</f>
        <v>173.05000000000018</v>
      </c>
      <c r="I3077" s="3">
        <f t="shared" si="142"/>
        <v>3.9945062554822074E-2</v>
      </c>
    </row>
    <row r="3078" spans="2:9" x14ac:dyDescent="0.25">
      <c r="B3078" s="1">
        <v>39659</v>
      </c>
      <c r="C3078" s="2">
        <v>4313.55</v>
      </c>
      <c r="D3078" s="2">
        <v>4191.2</v>
      </c>
      <c r="E3078" s="2">
        <v>4327</v>
      </c>
      <c r="F3078" s="2">
        <v>4191.2</v>
      </c>
      <c r="G3078" s="3">
        <f t="shared" si="143"/>
        <v>2.9523729966466572E-2</v>
      </c>
      <c r="H3078" s="2">
        <f t="shared" si="144"/>
        <v>135.80000000000018</v>
      </c>
      <c r="I3078" s="3">
        <f t="shared" ref="I3078:I3141" si="145">H3078/D3078</f>
        <v>3.240122160717699E-2</v>
      </c>
    </row>
    <row r="3079" spans="2:9" x14ac:dyDescent="0.25">
      <c r="B3079" s="1">
        <v>39660</v>
      </c>
      <c r="C3079" s="2">
        <v>4332.95</v>
      </c>
      <c r="D3079" s="2">
        <v>4314.3500000000004</v>
      </c>
      <c r="E3079" s="2">
        <v>4342</v>
      </c>
      <c r="F3079" s="2">
        <v>4285.55</v>
      </c>
      <c r="G3079" s="3">
        <f t="shared" ref="G3079:G3142" si="146">C3079/C3078-1</f>
        <v>4.4974556919474828E-3</v>
      </c>
      <c r="H3079" s="2">
        <f t="shared" si="144"/>
        <v>56.449999999999818</v>
      </c>
      <c r="I3079" s="3">
        <f t="shared" si="145"/>
        <v>1.308424212221999E-2</v>
      </c>
    </row>
    <row r="3080" spans="2:9" x14ac:dyDescent="0.25">
      <c r="B3080" s="1">
        <v>39661</v>
      </c>
      <c r="C3080" s="2">
        <v>4413.55</v>
      </c>
      <c r="D3080" s="2">
        <v>4331.6000000000004</v>
      </c>
      <c r="E3080" s="2">
        <v>4422.95</v>
      </c>
      <c r="F3080" s="2">
        <v>4235.7</v>
      </c>
      <c r="G3080" s="3">
        <f t="shared" si="146"/>
        <v>1.8601645530181621E-2</v>
      </c>
      <c r="H3080" s="2">
        <f t="shared" si="144"/>
        <v>187.25</v>
      </c>
      <c r="I3080" s="3">
        <f t="shared" si="145"/>
        <v>4.3228829993535875E-2</v>
      </c>
    </row>
    <row r="3081" spans="2:9" x14ac:dyDescent="0.25">
      <c r="B3081" s="1">
        <v>39664</v>
      </c>
      <c r="C3081" s="2">
        <v>4395.3500000000004</v>
      </c>
      <c r="D3081" s="2">
        <v>4426.1000000000004</v>
      </c>
      <c r="E3081" s="2">
        <v>4436.1499999999996</v>
      </c>
      <c r="F3081" s="2">
        <v>4362.8999999999996</v>
      </c>
      <c r="G3081" s="3">
        <f t="shared" si="146"/>
        <v>-4.123664623715606E-3</v>
      </c>
      <c r="H3081" s="2">
        <f t="shared" si="144"/>
        <v>73.25</v>
      </c>
      <c r="I3081" s="3">
        <f t="shared" si="145"/>
        <v>1.6549558301891053E-2</v>
      </c>
    </row>
    <row r="3082" spans="2:9" x14ac:dyDescent="0.25">
      <c r="B3082" s="1">
        <v>39665</v>
      </c>
      <c r="C3082" s="2">
        <v>4502.8500000000004</v>
      </c>
      <c r="D3082" s="2">
        <v>4395.8</v>
      </c>
      <c r="E3082" s="2">
        <v>4515.1499999999996</v>
      </c>
      <c r="F3082" s="2">
        <v>4376</v>
      </c>
      <c r="G3082" s="3">
        <f t="shared" si="146"/>
        <v>2.4457665487390035E-2</v>
      </c>
      <c r="H3082" s="2">
        <f t="shared" si="144"/>
        <v>139.14999999999964</v>
      </c>
      <c r="I3082" s="3">
        <f t="shared" si="145"/>
        <v>3.1655216342872661E-2</v>
      </c>
    </row>
    <row r="3083" spans="2:9" x14ac:dyDescent="0.25">
      <c r="B3083" s="1">
        <v>39666</v>
      </c>
      <c r="C3083" s="2">
        <v>4517.55</v>
      </c>
      <c r="D3083" s="2">
        <v>4506.25</v>
      </c>
      <c r="E3083" s="2">
        <v>4615.8999999999996</v>
      </c>
      <c r="F3083" s="2">
        <v>4503.8999999999996</v>
      </c>
      <c r="G3083" s="3">
        <f t="shared" si="146"/>
        <v>3.2645990872446351E-3</v>
      </c>
      <c r="H3083" s="2">
        <f t="shared" si="144"/>
        <v>112</v>
      </c>
      <c r="I3083" s="3">
        <f t="shared" si="145"/>
        <v>2.4854368932038837E-2</v>
      </c>
    </row>
    <row r="3084" spans="2:9" x14ac:dyDescent="0.25">
      <c r="B3084" s="1">
        <v>39667</v>
      </c>
      <c r="C3084" s="2">
        <v>4523.8500000000004</v>
      </c>
      <c r="D3084" s="2">
        <v>4515.25</v>
      </c>
      <c r="E3084" s="2">
        <v>4580.1499999999996</v>
      </c>
      <c r="F3084" s="2">
        <v>4493.7</v>
      </c>
      <c r="G3084" s="3">
        <f t="shared" si="146"/>
        <v>1.3945612112760131E-3</v>
      </c>
      <c r="H3084" s="2">
        <f t="shared" si="144"/>
        <v>86.449999999999818</v>
      </c>
      <c r="I3084" s="3">
        <f t="shared" si="145"/>
        <v>1.9146226676263731E-2</v>
      </c>
    </row>
    <row r="3085" spans="2:9" x14ac:dyDescent="0.25">
      <c r="B3085" s="1">
        <v>39668</v>
      </c>
      <c r="C3085" s="2">
        <v>4529.5</v>
      </c>
      <c r="D3085" s="2">
        <v>4518.3500000000004</v>
      </c>
      <c r="E3085" s="2">
        <v>4546.3500000000004</v>
      </c>
      <c r="F3085" s="2">
        <v>4464</v>
      </c>
      <c r="G3085" s="3">
        <f t="shared" si="146"/>
        <v>1.248936193728678E-3</v>
      </c>
      <c r="H3085" s="2">
        <f t="shared" si="144"/>
        <v>82.350000000000364</v>
      </c>
      <c r="I3085" s="3">
        <f t="shared" si="145"/>
        <v>1.8225679728219452E-2</v>
      </c>
    </row>
    <row r="3086" spans="2:9" x14ac:dyDescent="0.25">
      <c r="B3086" s="1">
        <v>39671</v>
      </c>
      <c r="C3086" s="2">
        <v>4620.3999999999996</v>
      </c>
      <c r="D3086" s="2">
        <v>4529.3500000000004</v>
      </c>
      <c r="E3086" s="2">
        <v>4625.2</v>
      </c>
      <c r="F3086" s="2">
        <v>4529.3500000000004</v>
      </c>
      <c r="G3086" s="3">
        <f t="shared" si="146"/>
        <v>2.0068440225190276E-2</v>
      </c>
      <c r="H3086" s="2">
        <f t="shared" si="144"/>
        <v>95.849999999999454</v>
      </c>
      <c r="I3086" s="3">
        <f t="shared" si="145"/>
        <v>2.1161976884100247E-2</v>
      </c>
    </row>
    <row r="3087" spans="2:9" x14ac:dyDescent="0.25">
      <c r="B3087" s="1">
        <v>39672</v>
      </c>
      <c r="C3087" s="2">
        <v>4552.25</v>
      </c>
      <c r="D3087" s="2">
        <v>4620.95</v>
      </c>
      <c r="E3087" s="2">
        <v>4649.8500000000004</v>
      </c>
      <c r="F3087" s="2">
        <v>4525.75</v>
      </c>
      <c r="G3087" s="3">
        <f t="shared" si="146"/>
        <v>-1.4749805211669909E-2</v>
      </c>
      <c r="H3087" s="2">
        <f t="shared" si="144"/>
        <v>124.10000000000036</v>
      </c>
      <c r="I3087" s="3">
        <f t="shared" si="145"/>
        <v>2.6855949534186772E-2</v>
      </c>
    </row>
    <row r="3088" spans="2:9" x14ac:dyDescent="0.25">
      <c r="B3088" s="1">
        <v>39673</v>
      </c>
      <c r="C3088" s="2">
        <v>4529.05</v>
      </c>
      <c r="D3088" s="2">
        <v>4548.05</v>
      </c>
      <c r="E3088" s="2">
        <v>4572.6499999999996</v>
      </c>
      <c r="F3088" s="2">
        <v>4497.25</v>
      </c>
      <c r="G3088" s="3">
        <f t="shared" si="146"/>
        <v>-5.0963809105386559E-3</v>
      </c>
      <c r="H3088" s="2">
        <f t="shared" si="144"/>
        <v>75.399999999999636</v>
      </c>
      <c r="I3088" s="3">
        <f t="shared" si="145"/>
        <v>1.6578533657281611E-2</v>
      </c>
    </row>
    <row r="3089" spans="2:9" x14ac:dyDescent="0.25">
      <c r="B3089" s="1">
        <v>39674</v>
      </c>
      <c r="C3089" s="2">
        <v>4430.7</v>
      </c>
      <c r="D3089" s="2">
        <v>4524.2</v>
      </c>
      <c r="E3089" s="2">
        <v>4529.8</v>
      </c>
      <c r="F3089" s="2">
        <v>4421.25</v>
      </c>
      <c r="G3089" s="3">
        <f t="shared" si="146"/>
        <v>-2.1715370773120246E-2</v>
      </c>
      <c r="H3089" s="2">
        <f t="shared" si="144"/>
        <v>108.55000000000018</v>
      </c>
      <c r="I3089" s="3">
        <f t="shared" si="145"/>
        <v>2.3993192166570927E-2</v>
      </c>
    </row>
    <row r="3090" spans="2:9" x14ac:dyDescent="0.25">
      <c r="B3090" s="1">
        <v>39678</v>
      </c>
      <c r="C3090" s="2">
        <v>4393.05</v>
      </c>
      <c r="D3090" s="2">
        <v>4430.7</v>
      </c>
      <c r="E3090" s="2">
        <v>4447.3999999999996</v>
      </c>
      <c r="F3090" s="2">
        <v>4379.8500000000004</v>
      </c>
      <c r="G3090" s="3">
        <f t="shared" si="146"/>
        <v>-8.4975286072177525E-3</v>
      </c>
      <c r="H3090" s="2">
        <f t="shared" si="144"/>
        <v>67.549999999999272</v>
      </c>
      <c r="I3090" s="3">
        <f t="shared" si="145"/>
        <v>1.5245897939377362E-2</v>
      </c>
    </row>
    <row r="3091" spans="2:9" x14ac:dyDescent="0.25">
      <c r="B3091" s="1">
        <v>39679</v>
      </c>
      <c r="C3091" s="2">
        <v>4368.25</v>
      </c>
      <c r="D3091" s="2">
        <v>4393.1000000000004</v>
      </c>
      <c r="E3091" s="2">
        <v>4393.7</v>
      </c>
      <c r="F3091" s="2">
        <v>4316.55</v>
      </c>
      <c r="G3091" s="3">
        <f t="shared" si="146"/>
        <v>-5.6452806136966238E-3</v>
      </c>
      <c r="H3091" s="2">
        <f t="shared" si="144"/>
        <v>77.149999999999636</v>
      </c>
      <c r="I3091" s="3">
        <f t="shared" si="145"/>
        <v>1.7561630739113526E-2</v>
      </c>
    </row>
    <row r="3092" spans="2:9" x14ac:dyDescent="0.25">
      <c r="B3092" s="1">
        <v>39680</v>
      </c>
      <c r="C3092" s="2">
        <v>4415.75</v>
      </c>
      <c r="D3092" s="2">
        <v>4365.45</v>
      </c>
      <c r="E3092" s="2">
        <v>4434.8999999999996</v>
      </c>
      <c r="F3092" s="2">
        <v>4365.45</v>
      </c>
      <c r="G3092" s="3">
        <f t="shared" si="146"/>
        <v>1.0873919761918316E-2</v>
      </c>
      <c r="H3092" s="2">
        <f t="shared" si="144"/>
        <v>69.449999999999818</v>
      </c>
      <c r="I3092" s="3">
        <f t="shared" si="145"/>
        <v>1.5909012816548083E-2</v>
      </c>
    </row>
    <row r="3093" spans="2:9" x14ac:dyDescent="0.25">
      <c r="B3093" s="1">
        <v>39681</v>
      </c>
      <c r="C3093" s="2">
        <v>4283.8500000000004</v>
      </c>
      <c r="D3093" s="2">
        <v>4416.2</v>
      </c>
      <c r="E3093" s="2">
        <v>4418.55</v>
      </c>
      <c r="F3093" s="2">
        <v>4271.3</v>
      </c>
      <c r="G3093" s="3">
        <f t="shared" si="146"/>
        <v>-2.9870350450093341E-2</v>
      </c>
      <c r="H3093" s="2">
        <f t="shared" si="144"/>
        <v>147.25</v>
      </c>
      <c r="I3093" s="3">
        <f t="shared" si="145"/>
        <v>3.3343145690865453E-2</v>
      </c>
    </row>
    <row r="3094" spans="2:9" x14ac:dyDescent="0.25">
      <c r="B3094" s="1">
        <v>39682</v>
      </c>
      <c r="C3094" s="2">
        <v>4327.45</v>
      </c>
      <c r="D3094" s="2">
        <v>4283.8500000000004</v>
      </c>
      <c r="E3094" s="2">
        <v>4337</v>
      </c>
      <c r="F3094" s="2">
        <v>4248</v>
      </c>
      <c r="G3094" s="3">
        <f t="shared" si="146"/>
        <v>1.0177760659219937E-2</v>
      </c>
      <c r="H3094" s="2">
        <f t="shared" si="144"/>
        <v>89</v>
      </c>
      <c r="I3094" s="3">
        <f t="shared" si="145"/>
        <v>2.0775704097949273E-2</v>
      </c>
    </row>
    <row r="3095" spans="2:9" x14ac:dyDescent="0.25">
      <c r="B3095" s="1">
        <v>39685</v>
      </c>
      <c r="C3095" s="2">
        <v>4335.3500000000004</v>
      </c>
      <c r="D3095" s="2">
        <v>4317.95</v>
      </c>
      <c r="E3095" s="2">
        <v>4398.8</v>
      </c>
      <c r="F3095" s="2">
        <v>4317.95</v>
      </c>
      <c r="G3095" s="3">
        <f t="shared" si="146"/>
        <v>1.8255554656900763E-3</v>
      </c>
      <c r="H3095" s="2">
        <f t="shared" si="144"/>
        <v>80.850000000000364</v>
      </c>
      <c r="I3095" s="3">
        <f t="shared" si="145"/>
        <v>1.8724163086649998E-2</v>
      </c>
    </row>
    <row r="3096" spans="2:9" x14ac:dyDescent="0.25">
      <c r="B3096" s="1">
        <v>39686</v>
      </c>
      <c r="C3096" s="2">
        <v>4337.5</v>
      </c>
      <c r="D3096" s="2">
        <v>4335.2</v>
      </c>
      <c r="E3096" s="2">
        <v>4345.05</v>
      </c>
      <c r="F3096" s="2">
        <v>4283.3</v>
      </c>
      <c r="G3096" s="3">
        <f t="shared" si="146"/>
        <v>4.9592305119539049E-4</v>
      </c>
      <c r="H3096" s="2">
        <f t="shared" si="144"/>
        <v>61.75</v>
      </c>
      <c r="I3096" s="3">
        <f t="shared" si="145"/>
        <v>1.4243864181583318E-2</v>
      </c>
    </row>
    <row r="3097" spans="2:9" x14ac:dyDescent="0.25">
      <c r="B3097" s="1">
        <v>39687</v>
      </c>
      <c r="C3097" s="2">
        <v>4292.1000000000004</v>
      </c>
      <c r="D3097" s="2">
        <v>4336.8500000000004</v>
      </c>
      <c r="E3097" s="2">
        <v>4364.25</v>
      </c>
      <c r="F3097" s="2">
        <v>4282.6499999999996</v>
      </c>
      <c r="G3097" s="3">
        <f t="shared" si="146"/>
        <v>-1.0466858789625277E-2</v>
      </c>
      <c r="H3097" s="2">
        <f t="shared" si="144"/>
        <v>81.600000000000364</v>
      </c>
      <c r="I3097" s="3">
        <f t="shared" si="145"/>
        <v>1.8815499729066109E-2</v>
      </c>
    </row>
    <row r="3098" spans="2:9" x14ac:dyDescent="0.25">
      <c r="B3098" s="1">
        <v>39688</v>
      </c>
      <c r="C3098" s="2">
        <v>4214</v>
      </c>
      <c r="D3098" s="2">
        <v>4290.75</v>
      </c>
      <c r="E3098" s="2">
        <v>4304.5</v>
      </c>
      <c r="F3098" s="2">
        <v>4201.8500000000004</v>
      </c>
      <c r="G3098" s="3">
        <f t="shared" si="146"/>
        <v>-1.8196220964096899E-2</v>
      </c>
      <c r="H3098" s="2">
        <f t="shared" si="144"/>
        <v>102.64999999999964</v>
      </c>
      <c r="I3098" s="3">
        <f t="shared" si="145"/>
        <v>2.3923556487793426E-2</v>
      </c>
    </row>
    <row r="3099" spans="2:9" x14ac:dyDescent="0.25">
      <c r="B3099" s="1">
        <v>39689</v>
      </c>
      <c r="C3099" s="2">
        <v>4360</v>
      </c>
      <c r="D3099" s="2">
        <v>4230.6000000000004</v>
      </c>
      <c r="E3099" s="2">
        <v>4368.8</v>
      </c>
      <c r="F3099" s="2">
        <v>4230.6000000000004</v>
      </c>
      <c r="G3099" s="3">
        <f t="shared" si="146"/>
        <v>3.4646416706217265E-2</v>
      </c>
      <c r="H3099" s="2">
        <f t="shared" si="144"/>
        <v>138.19999999999982</v>
      </c>
      <c r="I3099" s="3">
        <f t="shared" si="145"/>
        <v>3.2666761215903138E-2</v>
      </c>
    </row>
    <row r="3100" spans="2:9" x14ac:dyDescent="0.25">
      <c r="B3100" s="1">
        <v>39692</v>
      </c>
      <c r="C3100" s="2">
        <v>4348.6499999999996</v>
      </c>
      <c r="D3100" s="2">
        <v>4356.1000000000004</v>
      </c>
      <c r="E3100" s="2">
        <v>4365</v>
      </c>
      <c r="F3100" s="2">
        <v>4281.3500000000004</v>
      </c>
      <c r="G3100" s="3">
        <f t="shared" si="146"/>
        <v>-2.6032110091743776E-3</v>
      </c>
      <c r="H3100" s="2">
        <f t="shared" si="144"/>
        <v>83.649999999999636</v>
      </c>
      <c r="I3100" s="3">
        <f t="shared" si="145"/>
        <v>1.92029567732604E-2</v>
      </c>
    </row>
    <row r="3101" spans="2:9" x14ac:dyDescent="0.25">
      <c r="B3101" s="1">
        <v>39693</v>
      </c>
      <c r="C3101" s="2">
        <v>4504</v>
      </c>
      <c r="D3101" s="2">
        <v>4358.8500000000004</v>
      </c>
      <c r="E3101" s="2">
        <v>4522.3999999999996</v>
      </c>
      <c r="F3101" s="2">
        <v>4343.1000000000004</v>
      </c>
      <c r="G3101" s="3">
        <f t="shared" si="146"/>
        <v>3.5723730353098171E-2</v>
      </c>
      <c r="H3101" s="2">
        <f t="shared" si="144"/>
        <v>179.29999999999927</v>
      </c>
      <c r="I3101" s="3">
        <f t="shared" si="145"/>
        <v>4.1134702960643116E-2</v>
      </c>
    </row>
    <row r="3102" spans="2:9" x14ac:dyDescent="0.25">
      <c r="B3102" s="1">
        <v>39695</v>
      </c>
      <c r="C3102" s="2">
        <v>4447.75</v>
      </c>
      <c r="D3102" s="2">
        <v>4512.95</v>
      </c>
      <c r="E3102" s="2">
        <v>4514.6000000000004</v>
      </c>
      <c r="F3102" s="2">
        <v>4419.45</v>
      </c>
      <c r="G3102" s="3">
        <f t="shared" si="146"/>
        <v>-1.2488898756660705E-2</v>
      </c>
      <c r="H3102" s="2">
        <f t="shared" si="144"/>
        <v>95.150000000000546</v>
      </c>
      <c r="I3102" s="3">
        <f t="shared" si="145"/>
        <v>2.1083770039552963E-2</v>
      </c>
    </row>
    <row r="3103" spans="2:9" x14ac:dyDescent="0.25">
      <c r="B3103" s="1">
        <v>39696</v>
      </c>
      <c r="C3103" s="2">
        <v>4352.3</v>
      </c>
      <c r="D3103" s="2">
        <v>4444.7</v>
      </c>
      <c r="E3103" s="2">
        <v>4444.7</v>
      </c>
      <c r="F3103" s="2">
        <v>4328.8999999999996</v>
      </c>
      <c r="G3103" s="3">
        <f t="shared" si="146"/>
        <v>-2.1460288910123082E-2</v>
      </c>
      <c r="H3103" s="2">
        <f t="shared" si="144"/>
        <v>115.80000000000018</v>
      </c>
      <c r="I3103" s="3">
        <f t="shared" si="145"/>
        <v>2.6053501923639432E-2</v>
      </c>
    </row>
    <row r="3104" spans="2:9" x14ac:dyDescent="0.25">
      <c r="B3104" s="1">
        <v>39699</v>
      </c>
      <c r="C3104" s="2">
        <v>4482.3</v>
      </c>
      <c r="D3104" s="2">
        <v>4358.3</v>
      </c>
      <c r="E3104" s="2">
        <v>4558</v>
      </c>
      <c r="F3104" s="2">
        <v>4358.3</v>
      </c>
      <c r="G3104" s="3">
        <f t="shared" si="146"/>
        <v>2.9869264526801942E-2</v>
      </c>
      <c r="H3104" s="2">
        <f t="shared" si="144"/>
        <v>199.69999999999982</v>
      </c>
      <c r="I3104" s="3">
        <f t="shared" si="145"/>
        <v>4.5820618130922565E-2</v>
      </c>
    </row>
    <row r="3105" spans="2:9" x14ac:dyDescent="0.25">
      <c r="B3105" s="1">
        <v>39700</v>
      </c>
      <c r="C3105" s="2">
        <v>4468.7</v>
      </c>
      <c r="D3105" s="2">
        <v>4485.1499999999996</v>
      </c>
      <c r="E3105" s="2">
        <v>4497.5</v>
      </c>
      <c r="F3105" s="2">
        <v>4418.95</v>
      </c>
      <c r="G3105" s="3">
        <f t="shared" si="146"/>
        <v>-3.0341565714031571E-3</v>
      </c>
      <c r="H3105" s="2">
        <f t="shared" si="144"/>
        <v>78.550000000000182</v>
      </c>
      <c r="I3105" s="3">
        <f t="shared" si="145"/>
        <v>1.7513349609266177E-2</v>
      </c>
    </row>
    <row r="3106" spans="2:9" x14ac:dyDescent="0.25">
      <c r="B3106" s="1">
        <v>39701</v>
      </c>
      <c r="C3106" s="2">
        <v>4400.25</v>
      </c>
      <c r="D3106" s="2">
        <v>4467.5</v>
      </c>
      <c r="E3106" s="2">
        <v>4467.5</v>
      </c>
      <c r="F3106" s="2">
        <v>4382.3500000000004</v>
      </c>
      <c r="G3106" s="3">
        <f t="shared" si="146"/>
        <v>-1.5317653903819894E-2</v>
      </c>
      <c r="H3106" s="2">
        <f t="shared" si="144"/>
        <v>85.149999999999636</v>
      </c>
      <c r="I3106" s="3">
        <f t="shared" si="145"/>
        <v>1.9059876888640099E-2</v>
      </c>
    </row>
    <row r="3107" spans="2:9" x14ac:dyDescent="0.25">
      <c r="B3107" s="1">
        <v>39702</v>
      </c>
      <c r="C3107" s="2">
        <v>4290.3</v>
      </c>
      <c r="D3107" s="2">
        <v>4397.25</v>
      </c>
      <c r="E3107" s="2">
        <v>4399.3</v>
      </c>
      <c r="F3107" s="2">
        <v>4272.75</v>
      </c>
      <c r="G3107" s="3">
        <f t="shared" si="146"/>
        <v>-2.4987216635418363E-2</v>
      </c>
      <c r="H3107" s="2">
        <f t="shared" si="144"/>
        <v>126.55000000000018</v>
      </c>
      <c r="I3107" s="3">
        <f t="shared" si="145"/>
        <v>2.8779350730570284E-2</v>
      </c>
    </row>
    <row r="3108" spans="2:9" x14ac:dyDescent="0.25">
      <c r="B3108" s="1">
        <v>39703</v>
      </c>
      <c r="C3108" s="2">
        <v>4228.45</v>
      </c>
      <c r="D3108" s="2">
        <v>4291.6000000000004</v>
      </c>
      <c r="E3108" s="2">
        <v>4323.8999999999996</v>
      </c>
      <c r="F3108" s="2">
        <v>4200.1499999999996</v>
      </c>
      <c r="G3108" s="3">
        <f t="shared" si="146"/>
        <v>-1.4416241288488063E-2</v>
      </c>
      <c r="H3108" s="2">
        <f t="shared" si="144"/>
        <v>123.75</v>
      </c>
      <c r="I3108" s="3">
        <f t="shared" si="145"/>
        <v>2.883539938484481E-2</v>
      </c>
    </row>
    <row r="3109" spans="2:9" x14ac:dyDescent="0.25">
      <c r="B3109" s="1">
        <v>39706</v>
      </c>
      <c r="C3109" s="2">
        <v>4072.9</v>
      </c>
      <c r="D3109" s="2">
        <v>4231.95</v>
      </c>
      <c r="E3109" s="2">
        <v>4237.25</v>
      </c>
      <c r="F3109" s="2">
        <v>3955.4</v>
      </c>
      <c r="G3109" s="3">
        <f t="shared" si="146"/>
        <v>-3.6786529342903385E-2</v>
      </c>
      <c r="H3109" s="2">
        <f t="shared" si="144"/>
        <v>281.84999999999991</v>
      </c>
      <c r="I3109" s="3">
        <f t="shared" si="145"/>
        <v>6.6600503314075049E-2</v>
      </c>
    </row>
    <row r="3110" spans="2:9" x14ac:dyDescent="0.25">
      <c r="B3110" s="1">
        <v>39707</v>
      </c>
      <c r="C3110" s="2">
        <v>4074.9</v>
      </c>
      <c r="D3110" s="2">
        <v>4072.55</v>
      </c>
      <c r="E3110" s="2">
        <v>4090.1</v>
      </c>
      <c r="F3110" s="2">
        <v>3919.35</v>
      </c>
      <c r="G3110" s="3">
        <f t="shared" si="146"/>
        <v>4.9105060276466439E-4</v>
      </c>
      <c r="H3110" s="2">
        <f t="shared" si="144"/>
        <v>170.75</v>
      </c>
      <c r="I3110" s="3">
        <f t="shared" si="145"/>
        <v>4.1927048163926776E-2</v>
      </c>
    </row>
    <row r="3111" spans="2:9" x14ac:dyDescent="0.25">
      <c r="B3111" s="1">
        <v>39708</v>
      </c>
      <c r="C3111" s="2">
        <v>4008.25</v>
      </c>
      <c r="D3111" s="2">
        <v>4074.8</v>
      </c>
      <c r="E3111" s="2">
        <v>4116.7</v>
      </c>
      <c r="F3111" s="2">
        <v>3974.6</v>
      </c>
      <c r="G3111" s="3">
        <f t="shared" si="146"/>
        <v>-1.6356229600726468E-2</v>
      </c>
      <c r="H3111" s="2">
        <f t="shared" si="144"/>
        <v>142.09999999999991</v>
      </c>
      <c r="I3111" s="3">
        <f t="shared" si="145"/>
        <v>3.4872877196426795E-2</v>
      </c>
    </row>
    <row r="3112" spans="2:9" x14ac:dyDescent="0.25">
      <c r="B3112" s="1">
        <v>39709</v>
      </c>
      <c r="C3112" s="2">
        <v>4038.15</v>
      </c>
      <c r="D3112" s="2">
        <v>4005.25</v>
      </c>
      <c r="E3112" s="2">
        <v>4050.1</v>
      </c>
      <c r="F3112" s="2">
        <v>3799.55</v>
      </c>
      <c r="G3112" s="3">
        <f t="shared" si="146"/>
        <v>7.4596145450009921E-3</v>
      </c>
      <c r="H3112" s="2">
        <f t="shared" si="144"/>
        <v>250.54999999999973</v>
      </c>
      <c r="I3112" s="3">
        <f t="shared" si="145"/>
        <v>6.2555396042693889E-2</v>
      </c>
    </row>
    <row r="3113" spans="2:9" x14ac:dyDescent="0.25">
      <c r="B3113" s="1">
        <v>39710</v>
      </c>
      <c r="C3113" s="2">
        <v>4245.25</v>
      </c>
      <c r="D3113" s="2">
        <v>4040.8</v>
      </c>
      <c r="E3113" s="2">
        <v>4262.6499999999996</v>
      </c>
      <c r="F3113" s="2">
        <v>4040.8</v>
      </c>
      <c r="G3113" s="3">
        <f t="shared" si="146"/>
        <v>5.1285861099761076E-2</v>
      </c>
      <c r="H3113" s="2">
        <f t="shared" si="144"/>
        <v>221.84999999999945</v>
      </c>
      <c r="I3113" s="3">
        <f t="shared" si="145"/>
        <v>5.4902494555533421E-2</v>
      </c>
    </row>
    <row r="3114" spans="2:9" x14ac:dyDescent="0.25">
      <c r="B3114" s="1">
        <v>39713</v>
      </c>
      <c r="C3114" s="2">
        <v>4223.05</v>
      </c>
      <c r="D3114" s="2">
        <v>4248.95</v>
      </c>
      <c r="E3114" s="2">
        <v>4303.25</v>
      </c>
      <c r="F3114" s="2">
        <v>4202.3999999999996</v>
      </c>
      <c r="G3114" s="3">
        <f t="shared" si="146"/>
        <v>-5.2293740062422378E-3</v>
      </c>
      <c r="H3114" s="2">
        <f t="shared" si="144"/>
        <v>100.85000000000036</v>
      </c>
      <c r="I3114" s="3">
        <f t="shared" si="145"/>
        <v>2.3735275774014842E-2</v>
      </c>
    </row>
    <row r="3115" spans="2:9" x14ac:dyDescent="0.25">
      <c r="B3115" s="1">
        <v>39714</v>
      </c>
      <c r="C3115" s="2">
        <v>4126.8999999999996</v>
      </c>
      <c r="D3115" s="2">
        <v>4223.8999999999996</v>
      </c>
      <c r="E3115" s="2">
        <v>4224.7</v>
      </c>
      <c r="F3115" s="2">
        <v>4117.8999999999996</v>
      </c>
      <c r="G3115" s="3">
        <f t="shared" si="146"/>
        <v>-2.2767904713418163E-2</v>
      </c>
      <c r="H3115" s="2">
        <f t="shared" si="144"/>
        <v>106.80000000000018</v>
      </c>
      <c r="I3115" s="3">
        <f t="shared" si="145"/>
        <v>2.5284689504959917E-2</v>
      </c>
    </row>
    <row r="3116" spans="2:9" x14ac:dyDescent="0.25">
      <c r="B3116" s="1">
        <v>39715</v>
      </c>
      <c r="C3116" s="2">
        <v>4161.25</v>
      </c>
      <c r="D3116" s="2">
        <v>4125.75</v>
      </c>
      <c r="E3116" s="2">
        <v>4207.95</v>
      </c>
      <c r="F3116" s="2">
        <v>4115.8500000000004</v>
      </c>
      <c r="G3116" s="3">
        <f t="shared" si="146"/>
        <v>8.3234389008699505E-3</v>
      </c>
      <c r="H3116" s="2">
        <f t="shared" si="144"/>
        <v>92.099999999999454</v>
      </c>
      <c r="I3116" s="3">
        <f t="shared" si="145"/>
        <v>2.2323213961097849E-2</v>
      </c>
    </row>
    <row r="3117" spans="2:9" x14ac:dyDescent="0.25">
      <c r="B3117" s="1">
        <v>39716</v>
      </c>
      <c r="C3117" s="2">
        <v>4110.55</v>
      </c>
      <c r="D3117" s="2">
        <v>4162.1499999999996</v>
      </c>
      <c r="E3117" s="2">
        <v>4172.6000000000004</v>
      </c>
      <c r="F3117" s="2">
        <v>4077.5</v>
      </c>
      <c r="G3117" s="3">
        <f t="shared" si="146"/>
        <v>-1.2183838990687867E-2</v>
      </c>
      <c r="H3117" s="2">
        <f t="shared" si="144"/>
        <v>95.100000000000364</v>
      </c>
      <c r="I3117" s="3">
        <f t="shared" si="145"/>
        <v>2.2848768064582095E-2</v>
      </c>
    </row>
    <row r="3118" spans="2:9" x14ac:dyDescent="0.25">
      <c r="B3118" s="1">
        <v>39717</v>
      </c>
      <c r="C3118" s="2">
        <v>3985.25</v>
      </c>
      <c r="D3118" s="2">
        <v>4108.75</v>
      </c>
      <c r="E3118" s="2">
        <v>4110.7</v>
      </c>
      <c r="F3118" s="2">
        <v>3970.35</v>
      </c>
      <c r="G3118" s="3">
        <f t="shared" si="146"/>
        <v>-3.0482538833002892E-2</v>
      </c>
      <c r="H3118" s="2">
        <f t="shared" si="144"/>
        <v>140.34999999999991</v>
      </c>
      <c r="I3118" s="3">
        <f t="shared" si="145"/>
        <v>3.4158807423182211E-2</v>
      </c>
    </row>
    <row r="3119" spans="2:9" x14ac:dyDescent="0.25">
      <c r="B3119" s="1">
        <v>39720</v>
      </c>
      <c r="C3119" s="2">
        <v>3850.05</v>
      </c>
      <c r="D3119" s="2">
        <v>3990.2</v>
      </c>
      <c r="E3119" s="2">
        <v>3997.55</v>
      </c>
      <c r="F3119" s="2">
        <v>3777.3</v>
      </c>
      <c r="G3119" s="3">
        <f t="shared" si="146"/>
        <v>-3.3925098801831699E-2</v>
      </c>
      <c r="H3119" s="2">
        <f t="shared" si="144"/>
        <v>220.25</v>
      </c>
      <c r="I3119" s="3">
        <f t="shared" si="145"/>
        <v>5.5197734449401036E-2</v>
      </c>
    </row>
    <row r="3120" spans="2:9" x14ac:dyDescent="0.25">
      <c r="B3120" s="1">
        <v>39721</v>
      </c>
      <c r="C3120" s="2">
        <v>3921.2</v>
      </c>
      <c r="D3120" s="2">
        <v>3848.7</v>
      </c>
      <c r="E3120" s="2">
        <v>3966.85</v>
      </c>
      <c r="F3120" s="2">
        <v>3715.05</v>
      </c>
      <c r="G3120" s="3">
        <f t="shared" si="146"/>
        <v>1.8480279476889905E-2</v>
      </c>
      <c r="H3120" s="2">
        <f t="shared" si="144"/>
        <v>251.79999999999973</v>
      </c>
      <c r="I3120" s="3">
        <f t="shared" si="145"/>
        <v>6.542468885597727E-2</v>
      </c>
    </row>
    <row r="3121" spans="2:9" x14ac:dyDescent="0.25">
      <c r="B3121" s="1">
        <v>39722</v>
      </c>
      <c r="C3121" s="2">
        <v>3950.75</v>
      </c>
      <c r="D3121" s="2">
        <v>3921.85</v>
      </c>
      <c r="E3121" s="2">
        <v>4000.5</v>
      </c>
      <c r="F3121" s="2">
        <v>3861.25</v>
      </c>
      <c r="G3121" s="3">
        <f t="shared" si="146"/>
        <v>7.5359583800878038E-3</v>
      </c>
      <c r="H3121" s="2">
        <f t="shared" si="144"/>
        <v>139.25</v>
      </c>
      <c r="I3121" s="3">
        <f t="shared" si="145"/>
        <v>3.5506202429975653E-2</v>
      </c>
    </row>
    <row r="3122" spans="2:9" x14ac:dyDescent="0.25">
      <c r="B3122" s="1">
        <v>39724</v>
      </c>
      <c r="C3122" s="2">
        <v>3818.3</v>
      </c>
      <c r="D3122" s="2">
        <v>3953.55</v>
      </c>
      <c r="E3122" s="2">
        <v>3969.55</v>
      </c>
      <c r="F3122" s="2">
        <v>3804.85</v>
      </c>
      <c r="G3122" s="3">
        <f t="shared" si="146"/>
        <v>-3.3525280010124558E-2</v>
      </c>
      <c r="H3122" s="2">
        <f t="shared" si="144"/>
        <v>164.70000000000027</v>
      </c>
      <c r="I3122" s="3">
        <f t="shared" si="145"/>
        <v>4.1658762378115936E-2</v>
      </c>
    </row>
    <row r="3123" spans="2:9" x14ac:dyDescent="0.25">
      <c r="B3123" s="1">
        <v>39727</v>
      </c>
      <c r="C3123" s="2">
        <v>3602.35</v>
      </c>
      <c r="D3123" s="2">
        <v>3817.3</v>
      </c>
      <c r="E3123" s="2">
        <v>3820.85</v>
      </c>
      <c r="F3123" s="2">
        <v>3581.6</v>
      </c>
      <c r="G3123" s="3">
        <f t="shared" si="146"/>
        <v>-5.6556582772438024E-2</v>
      </c>
      <c r="H3123" s="2">
        <f t="shared" si="144"/>
        <v>239.25</v>
      </c>
      <c r="I3123" s="3">
        <f t="shared" si="145"/>
        <v>6.2675189269902815E-2</v>
      </c>
    </row>
    <row r="3124" spans="2:9" x14ac:dyDescent="0.25">
      <c r="B3124" s="1">
        <v>39728</v>
      </c>
      <c r="C3124" s="2">
        <v>3606.6</v>
      </c>
      <c r="D3124" s="2">
        <v>3606.95</v>
      </c>
      <c r="E3124" s="2">
        <v>3732.65</v>
      </c>
      <c r="F3124" s="2">
        <v>3537</v>
      </c>
      <c r="G3124" s="3">
        <f t="shared" si="146"/>
        <v>1.1797854178521305E-3</v>
      </c>
      <c r="H3124" s="2">
        <f t="shared" si="144"/>
        <v>195.65000000000009</v>
      </c>
      <c r="I3124" s="3">
        <f t="shared" si="145"/>
        <v>5.4242504054672257E-2</v>
      </c>
    </row>
    <row r="3125" spans="2:9" x14ac:dyDescent="0.25">
      <c r="B3125" s="1">
        <v>39729</v>
      </c>
      <c r="C3125" s="2">
        <v>3513.65</v>
      </c>
      <c r="D3125" s="2">
        <v>3604.4</v>
      </c>
      <c r="E3125" s="2">
        <v>3604.4</v>
      </c>
      <c r="F3125" s="2">
        <v>3329.45</v>
      </c>
      <c r="G3125" s="3">
        <f t="shared" si="146"/>
        <v>-2.5772195419508592E-2</v>
      </c>
      <c r="H3125" s="2">
        <f t="shared" si="144"/>
        <v>274.95000000000027</v>
      </c>
      <c r="I3125" s="3">
        <f t="shared" si="145"/>
        <v>7.628176672955285E-2</v>
      </c>
    </row>
    <row r="3126" spans="2:9" x14ac:dyDescent="0.25">
      <c r="B3126" s="1">
        <v>39731</v>
      </c>
      <c r="C3126" s="2">
        <v>3279.95</v>
      </c>
      <c r="D3126" s="2">
        <v>3502.05</v>
      </c>
      <c r="E3126" s="2">
        <v>3502.05</v>
      </c>
      <c r="F3126" s="2">
        <v>3198.95</v>
      </c>
      <c r="G3126" s="3">
        <f t="shared" si="146"/>
        <v>-6.6512031648001457E-2</v>
      </c>
      <c r="H3126" s="2">
        <f t="shared" si="144"/>
        <v>303.10000000000036</v>
      </c>
      <c r="I3126" s="3">
        <f t="shared" si="145"/>
        <v>8.6549306834568421E-2</v>
      </c>
    </row>
    <row r="3127" spans="2:9" x14ac:dyDescent="0.25">
      <c r="B3127" s="1">
        <v>39734</v>
      </c>
      <c r="C3127" s="2">
        <v>3490.7</v>
      </c>
      <c r="D3127" s="2">
        <v>3272.9</v>
      </c>
      <c r="E3127" s="2">
        <v>3510.2</v>
      </c>
      <c r="F3127" s="2">
        <v>3272.9</v>
      </c>
      <c r="G3127" s="3">
        <f t="shared" si="146"/>
        <v>6.4254028262626051E-2</v>
      </c>
      <c r="H3127" s="2">
        <f t="shared" si="144"/>
        <v>237.29999999999973</v>
      </c>
      <c r="I3127" s="3">
        <f t="shared" si="145"/>
        <v>7.2504506706590394E-2</v>
      </c>
    </row>
    <row r="3128" spans="2:9" x14ac:dyDescent="0.25">
      <c r="B3128" s="1">
        <v>39735</v>
      </c>
      <c r="C3128" s="2">
        <v>3518.65</v>
      </c>
      <c r="D3128" s="2">
        <v>3494.1</v>
      </c>
      <c r="E3128" s="2">
        <v>3648.25</v>
      </c>
      <c r="F3128" s="2">
        <v>3491.5</v>
      </c>
      <c r="G3128" s="3">
        <f t="shared" si="146"/>
        <v>8.006990002005443E-3</v>
      </c>
      <c r="H3128" s="2">
        <f t="shared" si="144"/>
        <v>156.75</v>
      </c>
      <c r="I3128" s="3">
        <f t="shared" si="145"/>
        <v>4.4861337683523655E-2</v>
      </c>
    </row>
    <row r="3129" spans="2:9" x14ac:dyDescent="0.25">
      <c r="B3129" s="1">
        <v>39736</v>
      </c>
      <c r="C3129" s="2">
        <v>3338.4</v>
      </c>
      <c r="D3129" s="2">
        <v>3517.9</v>
      </c>
      <c r="E3129" s="2">
        <v>3518.5</v>
      </c>
      <c r="F3129" s="2">
        <v>3324.55</v>
      </c>
      <c r="G3129" s="3">
        <f t="shared" si="146"/>
        <v>-5.1227033095079033E-2</v>
      </c>
      <c r="H3129" s="2">
        <f t="shared" si="144"/>
        <v>193.94999999999982</v>
      </c>
      <c r="I3129" s="3">
        <f t="shared" si="145"/>
        <v>5.5132323261036363E-2</v>
      </c>
    </row>
    <row r="3130" spans="2:9" x14ac:dyDescent="0.25">
      <c r="B3130" s="1">
        <v>39737</v>
      </c>
      <c r="C3130" s="2">
        <v>3269.3</v>
      </c>
      <c r="D3130" s="2">
        <v>3333.85</v>
      </c>
      <c r="E3130" s="2">
        <v>3333.85</v>
      </c>
      <c r="F3130" s="2">
        <v>3099.9</v>
      </c>
      <c r="G3130" s="3">
        <f t="shared" si="146"/>
        <v>-2.0698538221902707E-2</v>
      </c>
      <c r="H3130" s="2">
        <f t="shared" si="144"/>
        <v>233.94999999999982</v>
      </c>
      <c r="I3130" s="3">
        <f t="shared" si="145"/>
        <v>7.0174123010933259E-2</v>
      </c>
    </row>
    <row r="3131" spans="2:9" x14ac:dyDescent="0.25">
      <c r="B3131" s="1">
        <v>39738</v>
      </c>
      <c r="C3131" s="2">
        <v>3074.35</v>
      </c>
      <c r="D3131" s="2">
        <v>3269.05</v>
      </c>
      <c r="E3131" s="2">
        <v>3335.95</v>
      </c>
      <c r="F3131" s="2">
        <v>3046.6</v>
      </c>
      <c r="G3131" s="3">
        <f t="shared" si="146"/>
        <v>-5.9630501942311898E-2</v>
      </c>
      <c r="H3131" s="2">
        <f t="shared" si="144"/>
        <v>289.34999999999991</v>
      </c>
      <c r="I3131" s="3">
        <f t="shared" si="145"/>
        <v>8.8511953013872505E-2</v>
      </c>
    </row>
    <row r="3132" spans="2:9" x14ac:dyDescent="0.25">
      <c r="B3132" s="1">
        <v>39741</v>
      </c>
      <c r="C3132" s="2">
        <v>3122.8</v>
      </c>
      <c r="D3132" s="2">
        <v>3108.2</v>
      </c>
      <c r="E3132" s="2">
        <v>3238.4</v>
      </c>
      <c r="F3132" s="2">
        <v>3058.95</v>
      </c>
      <c r="G3132" s="3">
        <f t="shared" si="146"/>
        <v>1.5759428822352817E-2</v>
      </c>
      <c r="H3132" s="2">
        <f t="shared" si="144"/>
        <v>179.45000000000027</v>
      </c>
      <c r="I3132" s="3">
        <f t="shared" si="145"/>
        <v>5.7734380027025377E-2</v>
      </c>
    </row>
    <row r="3133" spans="2:9" x14ac:dyDescent="0.25">
      <c r="B3133" s="1">
        <v>39742</v>
      </c>
      <c r="C3133" s="2">
        <v>3234.9</v>
      </c>
      <c r="D3133" s="2">
        <v>3125.4</v>
      </c>
      <c r="E3133" s="2">
        <v>3254.85</v>
      </c>
      <c r="F3133" s="2">
        <v>3117.35</v>
      </c>
      <c r="G3133" s="3">
        <f t="shared" si="146"/>
        <v>3.5897271679262266E-2</v>
      </c>
      <c r="H3133" s="2">
        <f t="shared" si="144"/>
        <v>137.5</v>
      </c>
      <c r="I3133" s="3">
        <f t="shared" si="145"/>
        <v>4.3994368720803735E-2</v>
      </c>
    </row>
    <row r="3134" spans="2:9" x14ac:dyDescent="0.25">
      <c r="B3134" s="1">
        <v>39743</v>
      </c>
      <c r="C3134" s="2">
        <v>3065.15</v>
      </c>
      <c r="D3134" s="2">
        <v>3234.7</v>
      </c>
      <c r="E3134" s="2">
        <v>3235.75</v>
      </c>
      <c r="F3134" s="2">
        <v>3051.8</v>
      </c>
      <c r="G3134" s="3">
        <f t="shared" si="146"/>
        <v>-5.247457417539958E-2</v>
      </c>
      <c r="H3134" s="2">
        <f t="shared" si="144"/>
        <v>183.94999999999982</v>
      </c>
      <c r="I3134" s="3">
        <f t="shared" si="145"/>
        <v>5.6867715707793559E-2</v>
      </c>
    </row>
    <row r="3135" spans="2:9" x14ac:dyDescent="0.25">
      <c r="B3135" s="1">
        <v>39744</v>
      </c>
      <c r="C3135" s="2">
        <v>2943.15</v>
      </c>
      <c r="D3135" s="2">
        <v>3064.8</v>
      </c>
      <c r="E3135" s="2">
        <v>3085.1</v>
      </c>
      <c r="F3135" s="2">
        <v>2917.15</v>
      </c>
      <c r="G3135" s="3">
        <f t="shared" si="146"/>
        <v>-3.9802293525602384E-2</v>
      </c>
      <c r="H3135" s="2">
        <f t="shared" si="144"/>
        <v>167.94999999999982</v>
      </c>
      <c r="I3135" s="3">
        <f t="shared" si="145"/>
        <v>5.4799660663012208E-2</v>
      </c>
    </row>
    <row r="3136" spans="2:9" x14ac:dyDescent="0.25">
      <c r="B3136" s="1">
        <v>39745</v>
      </c>
      <c r="C3136" s="2">
        <v>2584</v>
      </c>
      <c r="D3136" s="2">
        <v>2936.25</v>
      </c>
      <c r="E3136" s="2">
        <v>2936.25</v>
      </c>
      <c r="F3136" s="2">
        <v>2525.0500000000002</v>
      </c>
      <c r="G3136" s="3">
        <f t="shared" si="146"/>
        <v>-0.12202911846151232</v>
      </c>
      <c r="H3136" s="2">
        <f t="shared" si="144"/>
        <v>411.19999999999982</v>
      </c>
      <c r="I3136" s="3">
        <f t="shared" si="145"/>
        <v>0.14004257130693906</v>
      </c>
    </row>
    <row r="3137" spans="2:9" x14ac:dyDescent="0.25">
      <c r="B3137" s="1">
        <v>39748</v>
      </c>
      <c r="C3137" s="2">
        <v>2524.1999999999998</v>
      </c>
      <c r="D3137" s="2">
        <v>2583.75</v>
      </c>
      <c r="E3137" s="2">
        <v>2585.3000000000002</v>
      </c>
      <c r="F3137" s="2">
        <v>2252.75</v>
      </c>
      <c r="G3137" s="3">
        <f t="shared" si="146"/>
        <v>-2.3142414860681138E-2</v>
      </c>
      <c r="H3137" s="2">
        <f t="shared" si="144"/>
        <v>332.55000000000018</v>
      </c>
      <c r="I3137" s="3">
        <f t="shared" si="145"/>
        <v>0.12870827285921632</v>
      </c>
    </row>
    <row r="3138" spans="2:9" x14ac:dyDescent="0.25">
      <c r="B3138" s="1">
        <v>39749</v>
      </c>
      <c r="C3138" s="2">
        <v>2684.6</v>
      </c>
      <c r="D3138" s="2">
        <v>2526.1999999999998</v>
      </c>
      <c r="E3138" s="2">
        <v>2695.95</v>
      </c>
      <c r="F3138" s="2">
        <v>2526.1999999999998</v>
      </c>
      <c r="G3138" s="3">
        <f t="shared" si="146"/>
        <v>6.3544885508279858E-2</v>
      </c>
      <c r="H3138" s="2">
        <f t="shared" si="144"/>
        <v>169.75</v>
      </c>
      <c r="I3138" s="3">
        <f t="shared" si="145"/>
        <v>6.7195788140289772E-2</v>
      </c>
    </row>
    <row r="3139" spans="2:9" x14ac:dyDescent="0.25">
      <c r="B3139" s="1">
        <v>39750</v>
      </c>
      <c r="C3139" s="2">
        <v>2697.05</v>
      </c>
      <c r="D3139" s="2">
        <v>2685.3</v>
      </c>
      <c r="E3139" s="2">
        <v>2781.25</v>
      </c>
      <c r="F3139" s="2">
        <v>2631.9</v>
      </c>
      <c r="G3139" s="3">
        <f t="shared" si="146"/>
        <v>4.6375623929078014E-3</v>
      </c>
      <c r="H3139" s="2">
        <f t="shared" si="144"/>
        <v>149.34999999999991</v>
      </c>
      <c r="I3139" s="3">
        <f t="shared" si="145"/>
        <v>5.5617621867202885E-2</v>
      </c>
    </row>
    <row r="3140" spans="2:9" x14ac:dyDescent="0.25">
      <c r="B3140" s="1">
        <v>39752</v>
      </c>
      <c r="C3140" s="2">
        <v>2885.6</v>
      </c>
      <c r="D3140" s="2">
        <v>2696.3</v>
      </c>
      <c r="E3140" s="2">
        <v>2921.35</v>
      </c>
      <c r="F3140" s="2">
        <v>2696.3</v>
      </c>
      <c r="G3140" s="3">
        <f t="shared" si="146"/>
        <v>6.9909716171372427E-2</v>
      </c>
      <c r="H3140" s="2">
        <f t="shared" si="144"/>
        <v>225.04999999999973</v>
      </c>
      <c r="I3140" s="3">
        <f t="shared" si="145"/>
        <v>8.3466231502429142E-2</v>
      </c>
    </row>
    <row r="3141" spans="2:9" x14ac:dyDescent="0.25">
      <c r="B3141" s="1">
        <v>39755</v>
      </c>
      <c r="C3141" s="2">
        <v>3043.85</v>
      </c>
      <c r="D3141" s="2">
        <v>2885.4</v>
      </c>
      <c r="E3141" s="2">
        <v>3062.05</v>
      </c>
      <c r="F3141" s="2">
        <v>2885.4</v>
      </c>
      <c r="G3141" s="3">
        <f t="shared" si="146"/>
        <v>5.4841280842805595E-2</v>
      </c>
      <c r="H3141" s="2">
        <f t="shared" ref="H3141:H3204" si="147">E3141-F3141</f>
        <v>176.65000000000009</v>
      </c>
      <c r="I3141" s="3">
        <f t="shared" si="145"/>
        <v>6.122201427878287E-2</v>
      </c>
    </row>
    <row r="3142" spans="2:9" x14ac:dyDescent="0.25">
      <c r="B3142" s="1">
        <v>39756</v>
      </c>
      <c r="C3142" s="2">
        <v>3142.1</v>
      </c>
      <c r="D3142" s="2">
        <v>3050.25</v>
      </c>
      <c r="E3142" s="2">
        <v>3152.3</v>
      </c>
      <c r="F3142" s="2">
        <v>2985</v>
      </c>
      <c r="G3142" s="3">
        <f t="shared" si="146"/>
        <v>3.2278200305534188E-2</v>
      </c>
      <c r="H3142" s="2">
        <f t="shared" si="147"/>
        <v>167.30000000000018</v>
      </c>
      <c r="I3142" s="3">
        <f t="shared" ref="I3142:I3205" si="148">H3142/D3142</f>
        <v>5.4847963281698282E-2</v>
      </c>
    </row>
    <row r="3143" spans="2:9" x14ac:dyDescent="0.25">
      <c r="B3143" s="1">
        <v>39757</v>
      </c>
      <c r="C3143" s="2">
        <v>2994.95</v>
      </c>
      <c r="D3143" s="2">
        <v>3155.75</v>
      </c>
      <c r="E3143" s="2">
        <v>3240.55</v>
      </c>
      <c r="F3143" s="2">
        <v>2971</v>
      </c>
      <c r="G3143" s="3">
        <f t="shared" ref="G3143:G3206" si="149">C3143/C3142-1</f>
        <v>-4.6831736736577478E-2</v>
      </c>
      <c r="H3143" s="2">
        <f t="shared" si="147"/>
        <v>269.55000000000018</v>
      </c>
      <c r="I3143" s="3">
        <f t="shared" si="148"/>
        <v>8.5415511368137589E-2</v>
      </c>
    </row>
    <row r="3144" spans="2:9" x14ac:dyDescent="0.25">
      <c r="B3144" s="1">
        <v>39758</v>
      </c>
      <c r="C3144" s="2">
        <v>2892.65</v>
      </c>
      <c r="D3144" s="2">
        <v>2998.45</v>
      </c>
      <c r="E3144" s="2">
        <v>3007.8</v>
      </c>
      <c r="F3144" s="2">
        <v>2860.25</v>
      </c>
      <c r="G3144" s="3">
        <f t="shared" si="149"/>
        <v>-3.4157498455733681E-2</v>
      </c>
      <c r="H3144" s="2">
        <f t="shared" si="147"/>
        <v>147.55000000000018</v>
      </c>
      <c r="I3144" s="3">
        <f t="shared" si="148"/>
        <v>4.9208757858226815E-2</v>
      </c>
    </row>
    <row r="3145" spans="2:9" x14ac:dyDescent="0.25">
      <c r="B3145" s="1">
        <v>39759</v>
      </c>
      <c r="C3145" s="2">
        <v>2973</v>
      </c>
      <c r="D3145" s="2">
        <v>2893.25</v>
      </c>
      <c r="E3145" s="2">
        <v>3010</v>
      </c>
      <c r="F3145" s="2">
        <v>2860.1</v>
      </c>
      <c r="G3145" s="3">
        <f t="shared" si="149"/>
        <v>2.777729763365766E-2</v>
      </c>
      <c r="H3145" s="2">
        <f t="shared" si="147"/>
        <v>149.90000000000009</v>
      </c>
      <c r="I3145" s="3">
        <f t="shared" si="148"/>
        <v>5.1810247991013594E-2</v>
      </c>
    </row>
    <row r="3146" spans="2:9" x14ac:dyDescent="0.25">
      <c r="B3146" s="1">
        <v>39762</v>
      </c>
      <c r="C3146" s="2">
        <v>3148.25</v>
      </c>
      <c r="D3146" s="2">
        <v>2973.3</v>
      </c>
      <c r="E3146" s="2">
        <v>3161.25</v>
      </c>
      <c r="F3146" s="2">
        <v>2973.3</v>
      </c>
      <c r="G3146" s="3">
        <f t="shared" si="149"/>
        <v>5.8947191389169262E-2</v>
      </c>
      <c r="H3146" s="2">
        <f t="shared" si="147"/>
        <v>187.94999999999982</v>
      </c>
      <c r="I3146" s="3">
        <f t="shared" si="148"/>
        <v>6.3212592069417747E-2</v>
      </c>
    </row>
    <row r="3147" spans="2:9" x14ac:dyDescent="0.25">
      <c r="B3147" s="1">
        <v>39763</v>
      </c>
      <c r="C3147" s="2">
        <v>2938.65</v>
      </c>
      <c r="D3147" s="2">
        <v>3147.2</v>
      </c>
      <c r="E3147" s="2">
        <v>3147.2</v>
      </c>
      <c r="F3147" s="2">
        <v>2919.45</v>
      </c>
      <c r="G3147" s="3">
        <f t="shared" si="149"/>
        <v>-6.6576669578337189E-2</v>
      </c>
      <c r="H3147" s="2">
        <f t="shared" si="147"/>
        <v>227.75</v>
      </c>
      <c r="I3147" s="3">
        <f t="shared" si="148"/>
        <v>7.2365912557193698E-2</v>
      </c>
    </row>
    <row r="3148" spans="2:9" x14ac:dyDescent="0.25">
      <c r="B3148" s="1">
        <v>39764</v>
      </c>
      <c r="C3148" s="2">
        <v>2848.45</v>
      </c>
      <c r="D3148" s="2">
        <v>2937.9</v>
      </c>
      <c r="E3148" s="2">
        <v>2975.2</v>
      </c>
      <c r="F3148" s="2">
        <v>2794.95</v>
      </c>
      <c r="G3148" s="3">
        <f t="shared" si="149"/>
        <v>-3.0694366460789935E-2</v>
      </c>
      <c r="H3148" s="2">
        <f t="shared" si="147"/>
        <v>180.25</v>
      </c>
      <c r="I3148" s="3">
        <f t="shared" si="148"/>
        <v>6.1353347629258995E-2</v>
      </c>
    </row>
    <row r="3149" spans="2:9" x14ac:dyDescent="0.25">
      <c r="B3149" s="1">
        <v>39766</v>
      </c>
      <c r="C3149" s="2">
        <v>2810.35</v>
      </c>
      <c r="D3149" s="2">
        <v>2848</v>
      </c>
      <c r="E3149" s="2">
        <v>2938.8</v>
      </c>
      <c r="F3149" s="2">
        <v>2778.8</v>
      </c>
      <c r="G3149" s="3">
        <f t="shared" si="149"/>
        <v>-1.33756955537222E-2</v>
      </c>
      <c r="H3149" s="2">
        <f t="shared" si="147"/>
        <v>160</v>
      </c>
      <c r="I3149" s="3">
        <f t="shared" si="148"/>
        <v>5.6179775280898875E-2</v>
      </c>
    </row>
    <row r="3150" spans="2:9" x14ac:dyDescent="0.25">
      <c r="B3150" s="1">
        <v>39769</v>
      </c>
      <c r="C3150" s="2">
        <v>2799.55</v>
      </c>
      <c r="D3150" s="2">
        <v>2813.4</v>
      </c>
      <c r="E3150" s="2">
        <v>2835.7</v>
      </c>
      <c r="F3150" s="2">
        <v>2694.5</v>
      </c>
      <c r="G3150" s="3">
        <f t="shared" si="149"/>
        <v>-3.842937712384531E-3</v>
      </c>
      <c r="H3150" s="2">
        <f t="shared" si="147"/>
        <v>141.19999999999982</v>
      </c>
      <c r="I3150" s="3">
        <f t="shared" si="148"/>
        <v>5.0188384161512695E-2</v>
      </c>
    </row>
    <row r="3151" spans="2:9" x14ac:dyDescent="0.25">
      <c r="B3151" s="1">
        <v>39770</v>
      </c>
      <c r="C3151" s="2">
        <v>2683.15</v>
      </c>
      <c r="D3151" s="2">
        <v>2802.45</v>
      </c>
      <c r="E3151" s="2">
        <v>2802.45</v>
      </c>
      <c r="F3151" s="2">
        <v>2664.3</v>
      </c>
      <c r="G3151" s="3">
        <f t="shared" si="149"/>
        <v>-4.1578110767802046E-2</v>
      </c>
      <c r="H3151" s="2">
        <f t="shared" si="147"/>
        <v>138.14999999999964</v>
      </c>
      <c r="I3151" s="3">
        <f t="shared" si="148"/>
        <v>4.929615158165164E-2</v>
      </c>
    </row>
    <row r="3152" spans="2:9" x14ac:dyDescent="0.25">
      <c r="B3152" s="1">
        <v>39771</v>
      </c>
      <c r="C3152" s="2">
        <v>2635</v>
      </c>
      <c r="D3152" s="2">
        <v>2682.75</v>
      </c>
      <c r="E3152" s="2">
        <v>2772.4</v>
      </c>
      <c r="F3152" s="2">
        <v>2617.9</v>
      </c>
      <c r="G3152" s="3">
        <f t="shared" si="149"/>
        <v>-1.7945325457018879E-2</v>
      </c>
      <c r="H3152" s="2">
        <f t="shared" si="147"/>
        <v>154.5</v>
      </c>
      <c r="I3152" s="3">
        <f t="shared" si="148"/>
        <v>5.7590159351411797E-2</v>
      </c>
    </row>
    <row r="3153" spans="2:9" x14ac:dyDescent="0.25">
      <c r="B3153" s="1">
        <v>39772</v>
      </c>
      <c r="C3153" s="2">
        <v>2553.15</v>
      </c>
      <c r="D3153" s="2">
        <v>2634.2</v>
      </c>
      <c r="E3153" s="2">
        <v>2634.2</v>
      </c>
      <c r="F3153" s="2">
        <v>2502.9</v>
      </c>
      <c r="G3153" s="3">
        <f t="shared" si="149"/>
        <v>-3.1062618595825375E-2</v>
      </c>
      <c r="H3153" s="2">
        <f t="shared" si="147"/>
        <v>131.29999999999973</v>
      </c>
      <c r="I3153" s="3">
        <f t="shared" si="148"/>
        <v>4.9844355022397591E-2</v>
      </c>
    </row>
    <row r="3154" spans="2:9" x14ac:dyDescent="0.25">
      <c r="B3154" s="1">
        <v>39773</v>
      </c>
      <c r="C3154" s="2">
        <v>2693.45</v>
      </c>
      <c r="D3154" s="2">
        <v>2553.6</v>
      </c>
      <c r="E3154" s="2">
        <v>2718.6</v>
      </c>
      <c r="F3154" s="2">
        <v>2539.8000000000002</v>
      </c>
      <c r="G3154" s="3">
        <f t="shared" si="149"/>
        <v>5.4951726298885673E-2</v>
      </c>
      <c r="H3154" s="2">
        <f t="shared" si="147"/>
        <v>178.79999999999973</v>
      </c>
      <c r="I3154" s="3">
        <f t="shared" si="148"/>
        <v>7.0018796992481105E-2</v>
      </c>
    </row>
    <row r="3155" spans="2:9" x14ac:dyDescent="0.25">
      <c r="B3155" s="1">
        <v>39776</v>
      </c>
      <c r="C3155" s="2">
        <v>2708.25</v>
      </c>
      <c r="D3155" s="2">
        <v>2690.85</v>
      </c>
      <c r="E3155" s="2">
        <v>2740.35</v>
      </c>
      <c r="F3155" s="2">
        <v>2633.8</v>
      </c>
      <c r="G3155" s="3">
        <f t="shared" si="149"/>
        <v>5.4948114871262721E-3</v>
      </c>
      <c r="H3155" s="2">
        <f t="shared" si="147"/>
        <v>106.54999999999973</v>
      </c>
      <c r="I3155" s="3">
        <f t="shared" si="148"/>
        <v>3.9597153315866634E-2</v>
      </c>
    </row>
    <row r="3156" spans="2:9" x14ac:dyDescent="0.25">
      <c r="B3156" s="1">
        <v>39777</v>
      </c>
      <c r="C3156" s="2">
        <v>2654</v>
      </c>
      <c r="D3156" s="2">
        <v>2708.3</v>
      </c>
      <c r="E3156" s="2">
        <v>2790.7</v>
      </c>
      <c r="F3156" s="2">
        <v>2638.2</v>
      </c>
      <c r="G3156" s="3">
        <f t="shared" si="149"/>
        <v>-2.0031385581094852E-2</v>
      </c>
      <c r="H3156" s="2">
        <f t="shared" si="147"/>
        <v>152.5</v>
      </c>
      <c r="I3156" s="3">
        <f t="shared" si="148"/>
        <v>5.6308385333973338E-2</v>
      </c>
    </row>
    <row r="3157" spans="2:9" x14ac:dyDescent="0.25">
      <c r="B3157" s="1">
        <v>39778</v>
      </c>
      <c r="C3157" s="2">
        <v>2752.25</v>
      </c>
      <c r="D3157" s="2">
        <v>2652.45</v>
      </c>
      <c r="E3157" s="2">
        <v>2762.6</v>
      </c>
      <c r="F3157" s="2">
        <v>2643.35</v>
      </c>
      <c r="G3157" s="3">
        <f t="shared" si="149"/>
        <v>3.7019593067068479E-2</v>
      </c>
      <c r="H3157" s="2">
        <f t="shared" si="147"/>
        <v>119.25</v>
      </c>
      <c r="I3157" s="3">
        <f t="shared" si="148"/>
        <v>4.4958434654753153E-2</v>
      </c>
    </row>
    <row r="3158" spans="2:9" x14ac:dyDescent="0.25">
      <c r="B3158" s="1">
        <v>39780</v>
      </c>
      <c r="C3158" s="2">
        <v>2755.1</v>
      </c>
      <c r="D3158" s="2">
        <v>2745.7</v>
      </c>
      <c r="E3158" s="2">
        <v>2779</v>
      </c>
      <c r="F3158" s="2">
        <v>2690.3</v>
      </c>
      <c r="G3158" s="3">
        <f t="shared" si="149"/>
        <v>1.0355163956763391E-3</v>
      </c>
      <c r="H3158" s="2">
        <f t="shared" si="147"/>
        <v>88.699999999999818</v>
      </c>
      <c r="I3158" s="3">
        <f t="shared" si="148"/>
        <v>3.2305058819244573E-2</v>
      </c>
    </row>
    <row r="3159" spans="2:9" x14ac:dyDescent="0.25">
      <c r="B3159" s="1">
        <v>39783</v>
      </c>
      <c r="C3159" s="2">
        <v>2682.9</v>
      </c>
      <c r="D3159" s="2">
        <v>2755.15</v>
      </c>
      <c r="E3159" s="2">
        <v>2832.85</v>
      </c>
      <c r="F3159" s="2">
        <v>2669.5</v>
      </c>
      <c r="G3159" s="3">
        <f t="shared" si="149"/>
        <v>-2.6205945337737235E-2</v>
      </c>
      <c r="H3159" s="2">
        <f t="shared" si="147"/>
        <v>163.34999999999991</v>
      </c>
      <c r="I3159" s="3">
        <f t="shared" si="148"/>
        <v>5.9288967932780393E-2</v>
      </c>
    </row>
    <row r="3160" spans="2:9" x14ac:dyDescent="0.25">
      <c r="B3160" s="1">
        <v>39784</v>
      </c>
      <c r="C3160" s="2">
        <v>2657.8</v>
      </c>
      <c r="D3160" s="2">
        <v>2672.9</v>
      </c>
      <c r="E3160" s="2">
        <v>2672.9</v>
      </c>
      <c r="F3160" s="2">
        <v>2570.6999999999998</v>
      </c>
      <c r="G3160" s="3">
        <f t="shared" si="149"/>
        <v>-9.355548100935529E-3</v>
      </c>
      <c r="H3160" s="2">
        <f t="shared" si="147"/>
        <v>102.20000000000027</v>
      </c>
      <c r="I3160" s="3">
        <f t="shared" si="148"/>
        <v>3.8235624228366294E-2</v>
      </c>
    </row>
    <row r="3161" spans="2:9" x14ac:dyDescent="0.25">
      <c r="B3161" s="1">
        <v>39785</v>
      </c>
      <c r="C3161" s="2">
        <v>2656.45</v>
      </c>
      <c r="D3161" s="2">
        <v>2657.5</v>
      </c>
      <c r="E3161" s="2">
        <v>2693.65</v>
      </c>
      <c r="F3161" s="2">
        <v>2611.9499999999998</v>
      </c>
      <c r="G3161" s="3">
        <f t="shared" si="149"/>
        <v>-5.0793889683209414E-4</v>
      </c>
      <c r="H3161" s="2">
        <f t="shared" si="147"/>
        <v>81.700000000000273</v>
      </c>
      <c r="I3161" s="3">
        <f t="shared" si="148"/>
        <v>3.0743179680150619E-2</v>
      </c>
    </row>
    <row r="3162" spans="2:9" x14ac:dyDescent="0.25">
      <c r="B3162" s="1">
        <v>39786</v>
      </c>
      <c r="C3162" s="2">
        <v>2788</v>
      </c>
      <c r="D3162" s="2">
        <v>2656.5</v>
      </c>
      <c r="E3162" s="2">
        <v>2793.8</v>
      </c>
      <c r="F3162" s="2">
        <v>2646.35</v>
      </c>
      <c r="G3162" s="3">
        <f t="shared" si="149"/>
        <v>4.9520977244066344E-2</v>
      </c>
      <c r="H3162" s="2">
        <f t="shared" si="147"/>
        <v>147.45000000000027</v>
      </c>
      <c r="I3162" s="3">
        <f t="shared" si="148"/>
        <v>5.5505364201016476E-2</v>
      </c>
    </row>
    <row r="3163" spans="2:9" x14ac:dyDescent="0.25">
      <c r="B3163" s="1">
        <v>39787</v>
      </c>
      <c r="C3163" s="2">
        <v>2714.4</v>
      </c>
      <c r="D3163" s="2">
        <v>2786.65</v>
      </c>
      <c r="E3163" s="2">
        <v>2821.15</v>
      </c>
      <c r="F3163" s="2">
        <v>2701.35</v>
      </c>
      <c r="G3163" s="3">
        <f t="shared" si="149"/>
        <v>-2.6398852223816327E-2</v>
      </c>
      <c r="H3163" s="2">
        <f t="shared" si="147"/>
        <v>119.80000000000018</v>
      </c>
      <c r="I3163" s="3">
        <f t="shared" si="148"/>
        <v>4.2990687743347814E-2</v>
      </c>
    </row>
    <row r="3164" spans="2:9" x14ac:dyDescent="0.25">
      <c r="B3164" s="1">
        <v>39790</v>
      </c>
      <c r="C3164" s="2">
        <v>2784</v>
      </c>
      <c r="D3164" s="2">
        <v>2714.7</v>
      </c>
      <c r="E3164" s="2">
        <v>2861.55</v>
      </c>
      <c r="F3164" s="2">
        <v>2714.7</v>
      </c>
      <c r="G3164" s="3">
        <f t="shared" si="149"/>
        <v>2.564102564102555E-2</v>
      </c>
      <c r="H3164" s="2">
        <f t="shared" si="147"/>
        <v>146.85000000000036</v>
      </c>
      <c r="I3164" s="3">
        <f t="shared" si="148"/>
        <v>5.4094375069068543E-2</v>
      </c>
    </row>
    <row r="3165" spans="2:9" x14ac:dyDescent="0.25">
      <c r="B3165" s="1">
        <v>39792</v>
      </c>
      <c r="C3165" s="2">
        <v>2928.25</v>
      </c>
      <c r="D3165" s="2">
        <v>2785.7</v>
      </c>
      <c r="E3165" s="2">
        <v>2940.15</v>
      </c>
      <c r="F3165" s="2">
        <v>2785.7</v>
      </c>
      <c r="G3165" s="3">
        <f t="shared" si="149"/>
        <v>5.1813936781609282E-2</v>
      </c>
      <c r="H3165" s="2">
        <f t="shared" si="147"/>
        <v>154.45000000000027</v>
      </c>
      <c r="I3165" s="3">
        <f t="shared" si="148"/>
        <v>5.5443874071149181E-2</v>
      </c>
    </row>
    <row r="3166" spans="2:9" x14ac:dyDescent="0.25">
      <c r="B3166" s="1">
        <v>39793</v>
      </c>
      <c r="C3166" s="2">
        <v>2920.15</v>
      </c>
      <c r="D3166" s="2">
        <v>2934.05</v>
      </c>
      <c r="E3166" s="2">
        <v>2945.3</v>
      </c>
      <c r="F3166" s="2">
        <v>2861.55</v>
      </c>
      <c r="G3166" s="3">
        <f t="shared" si="149"/>
        <v>-2.7661572611628049E-3</v>
      </c>
      <c r="H3166" s="2">
        <f t="shared" si="147"/>
        <v>83.75</v>
      </c>
      <c r="I3166" s="3">
        <f t="shared" si="148"/>
        <v>2.8544162505751435E-2</v>
      </c>
    </row>
    <row r="3167" spans="2:9" x14ac:dyDescent="0.25">
      <c r="B3167" s="1">
        <v>39794</v>
      </c>
      <c r="C3167" s="2">
        <v>2921.35</v>
      </c>
      <c r="D3167" s="2">
        <v>2915.35</v>
      </c>
      <c r="E3167" s="2">
        <v>2936.8</v>
      </c>
      <c r="F3167" s="2">
        <v>2812.55</v>
      </c>
      <c r="G3167" s="3">
        <f t="shared" si="149"/>
        <v>4.1093779429135502E-4</v>
      </c>
      <c r="H3167" s="2">
        <f t="shared" si="147"/>
        <v>124.25</v>
      </c>
      <c r="I3167" s="3">
        <f t="shared" si="148"/>
        <v>4.2619239542422006E-2</v>
      </c>
    </row>
    <row r="3168" spans="2:9" x14ac:dyDescent="0.25">
      <c r="B3168" s="1">
        <v>39797</v>
      </c>
      <c r="C3168" s="2">
        <v>2981.2</v>
      </c>
      <c r="D3168" s="2">
        <v>2917.9</v>
      </c>
      <c r="E3168" s="2">
        <v>3012.1</v>
      </c>
      <c r="F3168" s="2">
        <v>2917.9</v>
      </c>
      <c r="G3168" s="3">
        <f t="shared" si="149"/>
        <v>2.0487103565132614E-2</v>
      </c>
      <c r="H3168" s="2">
        <f t="shared" si="147"/>
        <v>94.199999999999818</v>
      </c>
      <c r="I3168" s="3">
        <f t="shared" si="148"/>
        <v>3.2283491552143599E-2</v>
      </c>
    </row>
    <row r="3169" spans="2:9" x14ac:dyDescent="0.25">
      <c r="B3169" s="1">
        <v>39798</v>
      </c>
      <c r="C3169" s="2">
        <v>3041.75</v>
      </c>
      <c r="D3169" s="2">
        <v>2983.6</v>
      </c>
      <c r="E3169" s="2">
        <v>3052.55</v>
      </c>
      <c r="F3169" s="2">
        <v>2963.3</v>
      </c>
      <c r="G3169" s="3">
        <f t="shared" si="149"/>
        <v>2.0310613175902326E-2</v>
      </c>
      <c r="H3169" s="2">
        <f t="shared" si="147"/>
        <v>89.25</v>
      </c>
      <c r="I3169" s="3">
        <f t="shared" si="148"/>
        <v>2.9913527282477544E-2</v>
      </c>
    </row>
    <row r="3170" spans="2:9" x14ac:dyDescent="0.25">
      <c r="B3170" s="1">
        <v>39799</v>
      </c>
      <c r="C3170" s="2">
        <v>2954.35</v>
      </c>
      <c r="D3170" s="2">
        <v>3040.45</v>
      </c>
      <c r="E3170" s="2">
        <v>3076.2</v>
      </c>
      <c r="F3170" s="2">
        <v>2943.5</v>
      </c>
      <c r="G3170" s="3">
        <f t="shared" si="149"/>
        <v>-2.8733459357277891E-2</v>
      </c>
      <c r="H3170" s="2">
        <f t="shared" si="147"/>
        <v>132.69999999999982</v>
      </c>
      <c r="I3170" s="3">
        <f t="shared" si="148"/>
        <v>4.3644855202354858E-2</v>
      </c>
    </row>
    <row r="3171" spans="2:9" x14ac:dyDescent="0.25">
      <c r="B3171" s="1">
        <v>39800</v>
      </c>
      <c r="C3171" s="2">
        <v>3060.75</v>
      </c>
      <c r="D3171" s="2">
        <v>2955.35</v>
      </c>
      <c r="E3171" s="2">
        <v>3072.55</v>
      </c>
      <c r="F3171" s="2">
        <v>2922.65</v>
      </c>
      <c r="G3171" s="3">
        <f t="shared" si="149"/>
        <v>3.6014690202582633E-2</v>
      </c>
      <c r="H3171" s="2">
        <f t="shared" si="147"/>
        <v>149.90000000000009</v>
      </c>
      <c r="I3171" s="3">
        <f t="shared" si="148"/>
        <v>5.072157274096134E-2</v>
      </c>
    </row>
    <row r="3172" spans="2:9" x14ac:dyDescent="0.25">
      <c r="B3172" s="1">
        <v>39801</v>
      </c>
      <c r="C3172" s="2">
        <v>3077.5</v>
      </c>
      <c r="D3172" s="2">
        <v>3063</v>
      </c>
      <c r="E3172" s="2">
        <v>3106.8</v>
      </c>
      <c r="F3172" s="2">
        <v>3036.3</v>
      </c>
      <c r="G3172" s="3">
        <f t="shared" si="149"/>
        <v>5.472514906477155E-3</v>
      </c>
      <c r="H3172" s="2">
        <f t="shared" si="147"/>
        <v>70.5</v>
      </c>
      <c r="I3172" s="3">
        <f t="shared" si="148"/>
        <v>2.3016650342801176E-2</v>
      </c>
    </row>
    <row r="3173" spans="2:9" x14ac:dyDescent="0.25">
      <c r="B3173" s="1">
        <v>39804</v>
      </c>
      <c r="C3173" s="2">
        <v>3039.3</v>
      </c>
      <c r="D3173" s="2">
        <v>3077.25</v>
      </c>
      <c r="E3173" s="2">
        <v>3110.45</v>
      </c>
      <c r="F3173" s="2">
        <v>3027.8</v>
      </c>
      <c r="G3173" s="3">
        <f t="shared" si="149"/>
        <v>-1.2412672623883014E-2</v>
      </c>
      <c r="H3173" s="2">
        <f t="shared" si="147"/>
        <v>82.649999999999636</v>
      </c>
      <c r="I3173" s="3">
        <f t="shared" si="148"/>
        <v>2.6858396295393498E-2</v>
      </c>
    </row>
    <row r="3174" spans="2:9" x14ac:dyDescent="0.25">
      <c r="B3174" s="1">
        <v>39805</v>
      </c>
      <c r="C3174" s="2">
        <v>2968.65</v>
      </c>
      <c r="D3174" s="2">
        <v>3039.25</v>
      </c>
      <c r="E3174" s="2">
        <v>3040</v>
      </c>
      <c r="F3174" s="2">
        <v>2957.05</v>
      </c>
      <c r="G3174" s="3">
        <f t="shared" si="149"/>
        <v>-2.3245484157536356E-2</v>
      </c>
      <c r="H3174" s="2">
        <f t="shared" si="147"/>
        <v>82.949999999999818</v>
      </c>
      <c r="I3174" s="3">
        <f t="shared" si="148"/>
        <v>2.7292917660607E-2</v>
      </c>
    </row>
    <row r="3175" spans="2:9" x14ac:dyDescent="0.25">
      <c r="B3175" s="1">
        <v>39806</v>
      </c>
      <c r="C3175" s="2">
        <v>2916.85</v>
      </c>
      <c r="D3175" s="2">
        <v>2967.4</v>
      </c>
      <c r="E3175" s="2">
        <v>2968</v>
      </c>
      <c r="F3175" s="2">
        <v>2900.45</v>
      </c>
      <c r="G3175" s="3">
        <f t="shared" si="149"/>
        <v>-1.7449008808717803E-2</v>
      </c>
      <c r="H3175" s="2">
        <f t="shared" si="147"/>
        <v>67.550000000000182</v>
      </c>
      <c r="I3175" s="3">
        <f t="shared" si="148"/>
        <v>2.2764035856305244E-2</v>
      </c>
    </row>
    <row r="3176" spans="2:9" x14ac:dyDescent="0.25">
      <c r="B3176" s="1">
        <v>39808</v>
      </c>
      <c r="C3176" s="2">
        <v>2857.25</v>
      </c>
      <c r="D3176" s="2">
        <v>2919.85</v>
      </c>
      <c r="E3176" s="2">
        <v>2960.95</v>
      </c>
      <c r="F3176" s="2">
        <v>2844.8</v>
      </c>
      <c r="G3176" s="3">
        <f t="shared" si="149"/>
        <v>-2.0433001354200564E-2</v>
      </c>
      <c r="H3176" s="2">
        <f t="shared" si="147"/>
        <v>116.14999999999964</v>
      </c>
      <c r="I3176" s="3">
        <f t="shared" si="148"/>
        <v>3.9779440724694637E-2</v>
      </c>
    </row>
    <row r="3177" spans="2:9" x14ac:dyDescent="0.25">
      <c r="B3177" s="1">
        <v>39811</v>
      </c>
      <c r="C3177" s="2">
        <v>2922.2</v>
      </c>
      <c r="D3177" s="2">
        <v>2857.15</v>
      </c>
      <c r="E3177" s="2">
        <v>2931.8</v>
      </c>
      <c r="F3177" s="2">
        <v>2812.9</v>
      </c>
      <c r="G3177" s="3">
        <f t="shared" si="149"/>
        <v>2.2731647563216217E-2</v>
      </c>
      <c r="H3177" s="2">
        <f t="shared" si="147"/>
        <v>118.90000000000009</v>
      </c>
      <c r="I3177" s="3">
        <f t="shared" si="148"/>
        <v>4.1614895962760121E-2</v>
      </c>
    </row>
    <row r="3178" spans="2:9" x14ac:dyDescent="0.25">
      <c r="B3178" s="1">
        <v>39812</v>
      </c>
      <c r="C3178" s="2">
        <v>2979.5</v>
      </c>
      <c r="D3178" s="2">
        <v>2922.55</v>
      </c>
      <c r="E3178" s="2">
        <v>2999.15</v>
      </c>
      <c r="F3178" s="2">
        <v>2899.75</v>
      </c>
      <c r="G3178" s="3">
        <f t="shared" si="149"/>
        <v>1.9608514133187427E-2</v>
      </c>
      <c r="H3178" s="2">
        <f t="shared" si="147"/>
        <v>99.400000000000091</v>
      </c>
      <c r="I3178" s="3">
        <f t="shared" si="148"/>
        <v>3.4011394159210305E-2</v>
      </c>
    </row>
    <row r="3179" spans="2:9" x14ac:dyDescent="0.25">
      <c r="B3179" s="1">
        <v>39813</v>
      </c>
      <c r="C3179" s="2">
        <v>2959.15</v>
      </c>
      <c r="D3179" s="2">
        <v>2979.8</v>
      </c>
      <c r="E3179" s="2">
        <v>3002.65</v>
      </c>
      <c r="F3179" s="2">
        <v>2937.35</v>
      </c>
      <c r="G3179" s="3">
        <f t="shared" si="149"/>
        <v>-6.8300050344016761E-3</v>
      </c>
      <c r="H3179" s="2">
        <f t="shared" si="147"/>
        <v>65.300000000000182</v>
      </c>
      <c r="I3179" s="3">
        <f t="shared" si="148"/>
        <v>2.1914222431035701E-2</v>
      </c>
    </row>
    <row r="3180" spans="2:9" x14ac:dyDescent="0.25">
      <c r="B3180" s="1">
        <v>39814</v>
      </c>
      <c r="C3180" s="2">
        <v>3033.45</v>
      </c>
      <c r="D3180" s="2">
        <v>2963.3</v>
      </c>
      <c r="E3180" s="2">
        <v>3039.25</v>
      </c>
      <c r="F3180" s="2">
        <v>2963.3</v>
      </c>
      <c r="G3180" s="3">
        <f t="shared" si="149"/>
        <v>2.5108561580183375E-2</v>
      </c>
      <c r="H3180" s="2">
        <f t="shared" si="147"/>
        <v>75.949999999999818</v>
      </c>
      <c r="I3180" s="3">
        <f t="shared" si="148"/>
        <v>2.5630209563662069E-2</v>
      </c>
    </row>
    <row r="3181" spans="2:9" x14ac:dyDescent="0.25">
      <c r="B3181" s="1">
        <v>39815</v>
      </c>
      <c r="C3181" s="2">
        <v>3046.75</v>
      </c>
      <c r="D3181" s="2">
        <v>3034.6</v>
      </c>
      <c r="E3181" s="2">
        <v>3079.85</v>
      </c>
      <c r="F3181" s="2">
        <v>3021.8</v>
      </c>
      <c r="G3181" s="3">
        <f t="shared" si="149"/>
        <v>4.3844467520479657E-3</v>
      </c>
      <c r="H3181" s="2">
        <f t="shared" si="147"/>
        <v>58.049999999999727</v>
      </c>
      <c r="I3181" s="3">
        <f t="shared" si="148"/>
        <v>1.9129374546892418E-2</v>
      </c>
    </row>
    <row r="3182" spans="2:9" x14ac:dyDescent="0.25">
      <c r="B3182" s="1">
        <v>39818</v>
      </c>
      <c r="C3182" s="2">
        <v>3121.45</v>
      </c>
      <c r="D3182" s="2">
        <v>3058.75</v>
      </c>
      <c r="E3182" s="2">
        <v>3131.95</v>
      </c>
      <c r="F3182" s="2">
        <v>3056.45</v>
      </c>
      <c r="G3182" s="3">
        <f t="shared" si="149"/>
        <v>2.4517928940674505E-2</v>
      </c>
      <c r="H3182" s="2">
        <f t="shared" si="147"/>
        <v>75.5</v>
      </c>
      <c r="I3182" s="3">
        <f t="shared" si="148"/>
        <v>2.4683285655905191E-2</v>
      </c>
    </row>
    <row r="3183" spans="2:9" x14ac:dyDescent="0.25">
      <c r="B3183" s="1">
        <v>39819</v>
      </c>
      <c r="C3183" s="2">
        <v>3112.8</v>
      </c>
      <c r="D3183" s="2">
        <v>3121.5</v>
      </c>
      <c r="E3183" s="2">
        <v>3141.8</v>
      </c>
      <c r="F3183" s="2">
        <v>3056.1</v>
      </c>
      <c r="G3183" s="3">
        <f t="shared" si="149"/>
        <v>-2.7711480241553454E-3</v>
      </c>
      <c r="H3183" s="2">
        <f t="shared" si="147"/>
        <v>85.700000000000273</v>
      </c>
      <c r="I3183" s="3">
        <f t="shared" si="148"/>
        <v>2.7454749319237633E-2</v>
      </c>
    </row>
    <row r="3184" spans="2:9" x14ac:dyDescent="0.25">
      <c r="B3184" s="1">
        <v>39820</v>
      </c>
      <c r="C3184" s="2">
        <v>2920.4</v>
      </c>
      <c r="D3184" s="2">
        <v>3112.8</v>
      </c>
      <c r="E3184" s="2">
        <v>3147.2</v>
      </c>
      <c r="F3184" s="2">
        <v>2888.2</v>
      </c>
      <c r="G3184" s="3">
        <f t="shared" si="149"/>
        <v>-6.1809303520945824E-2</v>
      </c>
      <c r="H3184" s="2">
        <f t="shared" si="147"/>
        <v>259</v>
      </c>
      <c r="I3184" s="3">
        <f t="shared" si="148"/>
        <v>8.3204831662811618E-2</v>
      </c>
    </row>
    <row r="3185" spans="2:9" x14ac:dyDescent="0.25">
      <c r="B3185" s="1">
        <v>39822</v>
      </c>
      <c r="C3185" s="2">
        <v>2873</v>
      </c>
      <c r="D3185" s="2">
        <v>2919.95</v>
      </c>
      <c r="E3185" s="2">
        <v>2929.85</v>
      </c>
      <c r="F3185" s="2">
        <v>2810.25</v>
      </c>
      <c r="G3185" s="3">
        <f t="shared" si="149"/>
        <v>-1.6230653335159606E-2</v>
      </c>
      <c r="H3185" s="2">
        <f t="shared" si="147"/>
        <v>119.59999999999991</v>
      </c>
      <c r="I3185" s="3">
        <f t="shared" si="148"/>
        <v>4.095960547269642E-2</v>
      </c>
    </row>
    <row r="3186" spans="2:9" x14ac:dyDescent="0.25">
      <c r="B3186" s="1">
        <v>39825</v>
      </c>
      <c r="C3186" s="2">
        <v>2773.1</v>
      </c>
      <c r="D3186" s="2">
        <v>2868.85</v>
      </c>
      <c r="E3186" s="2">
        <v>2869.2</v>
      </c>
      <c r="F3186" s="2">
        <v>2748.55</v>
      </c>
      <c r="G3186" s="3">
        <f t="shared" si="149"/>
        <v>-3.4772015315001736E-2</v>
      </c>
      <c r="H3186" s="2">
        <f t="shared" si="147"/>
        <v>120.64999999999964</v>
      </c>
      <c r="I3186" s="3">
        <f t="shared" si="148"/>
        <v>4.2055178904438932E-2</v>
      </c>
    </row>
    <row r="3187" spans="2:9" x14ac:dyDescent="0.25">
      <c r="B3187" s="1">
        <v>39826</v>
      </c>
      <c r="C3187" s="2">
        <v>2744.95</v>
      </c>
      <c r="D3187" s="2">
        <v>2775</v>
      </c>
      <c r="E3187" s="2">
        <v>2802.6</v>
      </c>
      <c r="F3187" s="2">
        <v>2720.8</v>
      </c>
      <c r="G3187" s="3">
        <f t="shared" si="149"/>
        <v>-1.0151094443042075E-2</v>
      </c>
      <c r="H3187" s="2">
        <f t="shared" si="147"/>
        <v>81.799999999999727</v>
      </c>
      <c r="I3187" s="3">
        <f t="shared" si="148"/>
        <v>2.9477477477477379E-2</v>
      </c>
    </row>
    <row r="3188" spans="2:9" x14ac:dyDescent="0.25">
      <c r="B3188" s="1">
        <v>39827</v>
      </c>
      <c r="C3188" s="2">
        <v>2835.3</v>
      </c>
      <c r="D3188" s="2">
        <v>2748.4</v>
      </c>
      <c r="E3188" s="2">
        <v>2853.25</v>
      </c>
      <c r="F3188" s="2">
        <v>2748.4</v>
      </c>
      <c r="G3188" s="3">
        <f t="shared" si="149"/>
        <v>3.2914989344068335E-2</v>
      </c>
      <c r="H3188" s="2">
        <f t="shared" si="147"/>
        <v>104.84999999999991</v>
      </c>
      <c r="I3188" s="3">
        <f t="shared" si="148"/>
        <v>3.8149468781836671E-2</v>
      </c>
    </row>
    <row r="3189" spans="2:9" x14ac:dyDescent="0.25">
      <c r="B3189" s="1">
        <v>39828</v>
      </c>
      <c r="C3189" s="2">
        <v>2736.7</v>
      </c>
      <c r="D3189" s="2">
        <v>2832.3</v>
      </c>
      <c r="E3189" s="2">
        <v>2832.3</v>
      </c>
      <c r="F3189" s="2">
        <v>2701.75</v>
      </c>
      <c r="G3189" s="3">
        <f t="shared" si="149"/>
        <v>-3.4775861460868418E-2</v>
      </c>
      <c r="H3189" s="2">
        <f t="shared" si="147"/>
        <v>130.55000000000018</v>
      </c>
      <c r="I3189" s="3">
        <f t="shared" si="148"/>
        <v>4.6093281078981807E-2</v>
      </c>
    </row>
    <row r="3190" spans="2:9" x14ac:dyDescent="0.25">
      <c r="B3190" s="1">
        <v>39829</v>
      </c>
      <c r="C3190" s="2">
        <v>2828.45</v>
      </c>
      <c r="D3190" s="2">
        <v>2737</v>
      </c>
      <c r="E3190" s="2">
        <v>2835.65</v>
      </c>
      <c r="F3190" s="2">
        <v>2724.2</v>
      </c>
      <c r="G3190" s="3">
        <f t="shared" si="149"/>
        <v>3.352577922315203E-2</v>
      </c>
      <c r="H3190" s="2">
        <f t="shared" si="147"/>
        <v>111.45000000000027</v>
      </c>
      <c r="I3190" s="3">
        <f t="shared" si="148"/>
        <v>4.07197661673366E-2</v>
      </c>
    </row>
    <row r="3191" spans="2:9" x14ac:dyDescent="0.25">
      <c r="B3191" s="1">
        <v>39832</v>
      </c>
      <c r="C3191" s="2">
        <v>2846.2</v>
      </c>
      <c r="D3191" s="2">
        <v>2828.7</v>
      </c>
      <c r="E3191" s="2">
        <v>2868.2</v>
      </c>
      <c r="F3191" s="2">
        <v>2819.9</v>
      </c>
      <c r="G3191" s="3">
        <f t="shared" si="149"/>
        <v>6.275521928971628E-3</v>
      </c>
      <c r="H3191" s="2">
        <f t="shared" si="147"/>
        <v>48.299999999999727</v>
      </c>
      <c r="I3191" s="3">
        <f t="shared" si="148"/>
        <v>1.7074981440237471E-2</v>
      </c>
    </row>
    <row r="3192" spans="2:9" x14ac:dyDescent="0.25">
      <c r="B3192" s="1">
        <v>39833</v>
      </c>
      <c r="C3192" s="2">
        <v>2796.6</v>
      </c>
      <c r="D3192" s="2">
        <v>2842.9</v>
      </c>
      <c r="E3192" s="2">
        <v>2842.9</v>
      </c>
      <c r="F3192" s="2">
        <v>2758</v>
      </c>
      <c r="G3192" s="3">
        <f t="shared" si="149"/>
        <v>-1.7426744431171315E-2</v>
      </c>
      <c r="H3192" s="2">
        <f t="shared" si="147"/>
        <v>84.900000000000091</v>
      </c>
      <c r="I3192" s="3">
        <f t="shared" si="148"/>
        <v>2.9863871398923665E-2</v>
      </c>
    </row>
    <row r="3193" spans="2:9" x14ac:dyDescent="0.25">
      <c r="B3193" s="1">
        <v>39834</v>
      </c>
      <c r="C3193" s="2">
        <v>2706.15</v>
      </c>
      <c r="D3193" s="2">
        <v>2777.4</v>
      </c>
      <c r="E3193" s="2">
        <v>2787.3</v>
      </c>
      <c r="F3193" s="2">
        <v>2690.2</v>
      </c>
      <c r="G3193" s="3">
        <f t="shared" si="149"/>
        <v>-3.2342844883072264E-2</v>
      </c>
      <c r="H3193" s="2">
        <f t="shared" si="147"/>
        <v>97.100000000000364</v>
      </c>
      <c r="I3193" s="3">
        <f t="shared" si="148"/>
        <v>3.496075466263425E-2</v>
      </c>
    </row>
    <row r="3194" spans="2:9" x14ac:dyDescent="0.25">
      <c r="B3194" s="1">
        <v>39835</v>
      </c>
      <c r="C3194" s="2">
        <v>2713.8</v>
      </c>
      <c r="D3194" s="2">
        <v>2714.7</v>
      </c>
      <c r="E3194" s="2">
        <v>2744.85</v>
      </c>
      <c r="F3194" s="2">
        <v>2681.4</v>
      </c>
      <c r="G3194" s="3">
        <f t="shared" si="149"/>
        <v>2.8268942963249888E-3</v>
      </c>
      <c r="H3194" s="2">
        <f t="shared" si="147"/>
        <v>63.449999999999818</v>
      </c>
      <c r="I3194" s="3">
        <f t="shared" si="148"/>
        <v>2.3372748369985569E-2</v>
      </c>
    </row>
    <row r="3195" spans="2:9" x14ac:dyDescent="0.25">
      <c r="B3195" s="1">
        <v>39836</v>
      </c>
      <c r="C3195" s="2">
        <v>2678.55</v>
      </c>
      <c r="D3195" s="2">
        <v>2705.45</v>
      </c>
      <c r="E3195" s="2">
        <v>2765.55</v>
      </c>
      <c r="F3195" s="2">
        <v>2661.65</v>
      </c>
      <c r="G3195" s="3">
        <f t="shared" si="149"/>
        <v>-1.2989166482423209E-2</v>
      </c>
      <c r="H3195" s="2">
        <f t="shared" si="147"/>
        <v>103.90000000000009</v>
      </c>
      <c r="I3195" s="3">
        <f t="shared" si="148"/>
        <v>3.8403962372248648E-2</v>
      </c>
    </row>
    <row r="3196" spans="2:9" x14ac:dyDescent="0.25">
      <c r="B3196" s="1">
        <v>39840</v>
      </c>
      <c r="C3196" s="2">
        <v>2771.35</v>
      </c>
      <c r="D3196" s="2">
        <v>2686.05</v>
      </c>
      <c r="E3196" s="2">
        <v>2777.3</v>
      </c>
      <c r="F3196" s="2">
        <v>2685.25</v>
      </c>
      <c r="G3196" s="3">
        <f t="shared" si="149"/>
        <v>3.4645610498217128E-2</v>
      </c>
      <c r="H3196" s="2">
        <f t="shared" si="147"/>
        <v>92.050000000000182</v>
      </c>
      <c r="I3196" s="3">
        <f t="shared" si="148"/>
        <v>3.4269652463654876E-2</v>
      </c>
    </row>
    <row r="3197" spans="2:9" x14ac:dyDescent="0.25">
      <c r="B3197" s="1">
        <v>39841</v>
      </c>
      <c r="C3197" s="2">
        <v>2849.5</v>
      </c>
      <c r="D3197" s="2">
        <v>2771.1</v>
      </c>
      <c r="E3197" s="2">
        <v>2855.4</v>
      </c>
      <c r="F3197" s="2">
        <v>2765.6</v>
      </c>
      <c r="G3197" s="3">
        <f t="shared" si="149"/>
        <v>2.8199253071607755E-2</v>
      </c>
      <c r="H3197" s="2">
        <f t="shared" si="147"/>
        <v>89.800000000000182</v>
      </c>
      <c r="I3197" s="3">
        <f t="shared" si="148"/>
        <v>3.2405903792717759E-2</v>
      </c>
    </row>
    <row r="3198" spans="2:9" x14ac:dyDescent="0.25">
      <c r="B3198" s="1">
        <v>39842</v>
      </c>
      <c r="C3198" s="2">
        <v>2823.95</v>
      </c>
      <c r="D3198" s="2">
        <v>2849.35</v>
      </c>
      <c r="E3198" s="2">
        <v>2873.85</v>
      </c>
      <c r="F3198" s="2">
        <v>2795.35</v>
      </c>
      <c r="G3198" s="3">
        <f t="shared" si="149"/>
        <v>-8.9664853483067963E-3</v>
      </c>
      <c r="H3198" s="2">
        <f t="shared" si="147"/>
        <v>78.5</v>
      </c>
      <c r="I3198" s="3">
        <f t="shared" si="148"/>
        <v>2.7550143015073615E-2</v>
      </c>
    </row>
    <row r="3199" spans="2:9" x14ac:dyDescent="0.25">
      <c r="B3199" s="1">
        <v>39843</v>
      </c>
      <c r="C3199" s="2">
        <v>2874.8</v>
      </c>
      <c r="D3199" s="2">
        <v>2824.05</v>
      </c>
      <c r="E3199" s="2">
        <v>2881</v>
      </c>
      <c r="F3199" s="2">
        <v>2774.1</v>
      </c>
      <c r="G3199" s="3">
        <f t="shared" si="149"/>
        <v>1.8006692753058884E-2</v>
      </c>
      <c r="H3199" s="2">
        <f t="shared" si="147"/>
        <v>106.90000000000009</v>
      </c>
      <c r="I3199" s="3">
        <f t="shared" si="148"/>
        <v>3.7853437439138854E-2</v>
      </c>
    </row>
    <row r="3200" spans="2:9" x14ac:dyDescent="0.25">
      <c r="B3200" s="1">
        <v>39846</v>
      </c>
      <c r="C3200" s="2">
        <v>2766.65</v>
      </c>
      <c r="D3200" s="2">
        <v>2872.35</v>
      </c>
      <c r="E3200" s="2">
        <v>2873.45</v>
      </c>
      <c r="F3200" s="2">
        <v>2760.7</v>
      </c>
      <c r="G3200" s="3">
        <f t="shared" si="149"/>
        <v>-3.7620008348406841E-2</v>
      </c>
      <c r="H3200" s="2">
        <f t="shared" si="147"/>
        <v>112.75</v>
      </c>
      <c r="I3200" s="3">
        <f t="shared" si="148"/>
        <v>3.9253572858460845E-2</v>
      </c>
    </row>
    <row r="3201" spans="2:9" x14ac:dyDescent="0.25">
      <c r="B3201" s="1">
        <v>39847</v>
      </c>
      <c r="C3201" s="2">
        <v>2783.9</v>
      </c>
      <c r="D3201" s="2">
        <v>2773.5</v>
      </c>
      <c r="E3201" s="2">
        <v>2831.7</v>
      </c>
      <c r="F3201" s="2">
        <v>2752.9</v>
      </c>
      <c r="G3201" s="3">
        <f t="shared" si="149"/>
        <v>6.2349773191405777E-3</v>
      </c>
      <c r="H3201" s="2">
        <f t="shared" si="147"/>
        <v>78.799999999999727</v>
      </c>
      <c r="I3201" s="3">
        <f t="shared" si="148"/>
        <v>2.8411754101315929E-2</v>
      </c>
    </row>
    <row r="3202" spans="2:9" x14ac:dyDescent="0.25">
      <c r="B3202" s="1">
        <v>39848</v>
      </c>
      <c r="C3202" s="2">
        <v>2803.05</v>
      </c>
      <c r="D3202" s="2">
        <v>2780.7</v>
      </c>
      <c r="E3202" s="2">
        <v>2842.2</v>
      </c>
      <c r="F3202" s="2">
        <v>2780.7</v>
      </c>
      <c r="G3202" s="3">
        <f t="shared" si="149"/>
        <v>6.8788390387586329E-3</v>
      </c>
      <c r="H3202" s="2">
        <f t="shared" si="147"/>
        <v>61.5</v>
      </c>
      <c r="I3202" s="3">
        <f t="shared" si="148"/>
        <v>2.2116733196677098E-2</v>
      </c>
    </row>
    <row r="3203" spans="2:9" x14ac:dyDescent="0.25">
      <c r="B3203" s="1">
        <v>39849</v>
      </c>
      <c r="C3203" s="2">
        <v>2780.05</v>
      </c>
      <c r="D3203" s="2">
        <v>2802.75</v>
      </c>
      <c r="E3203" s="2">
        <v>2816.8</v>
      </c>
      <c r="F3203" s="2">
        <v>2754.85</v>
      </c>
      <c r="G3203" s="3">
        <f t="shared" si="149"/>
        <v>-8.2053477462050717E-3</v>
      </c>
      <c r="H3203" s="2">
        <f t="shared" si="147"/>
        <v>61.950000000000273</v>
      </c>
      <c r="I3203" s="3">
        <f t="shared" si="148"/>
        <v>2.2103291410222201E-2</v>
      </c>
    </row>
    <row r="3204" spans="2:9" x14ac:dyDescent="0.25">
      <c r="B3204" s="1">
        <v>39850</v>
      </c>
      <c r="C3204" s="2">
        <v>2843.1</v>
      </c>
      <c r="D3204" s="2">
        <v>2779.35</v>
      </c>
      <c r="E3204" s="2">
        <v>2852.5</v>
      </c>
      <c r="F3204" s="2">
        <v>2778.65</v>
      </c>
      <c r="G3204" s="3">
        <f t="shared" si="149"/>
        <v>2.2679448211363029E-2</v>
      </c>
      <c r="H3204" s="2">
        <f t="shared" si="147"/>
        <v>73.849999999999909</v>
      </c>
      <c r="I3204" s="3">
        <f t="shared" si="148"/>
        <v>2.6570960836166699E-2</v>
      </c>
    </row>
    <row r="3205" spans="2:9" x14ac:dyDescent="0.25">
      <c r="B3205" s="1">
        <v>39853</v>
      </c>
      <c r="C3205" s="2">
        <v>2919.9</v>
      </c>
      <c r="D3205" s="2">
        <v>2843.05</v>
      </c>
      <c r="E3205" s="2">
        <v>2926.75</v>
      </c>
      <c r="F3205" s="2">
        <v>2840.15</v>
      </c>
      <c r="G3205" s="3">
        <f t="shared" si="149"/>
        <v>2.7012767753508582E-2</v>
      </c>
      <c r="H3205" s="2">
        <f t="shared" ref="H3205:H3268" si="150">E3205-F3205</f>
        <v>86.599999999999909</v>
      </c>
      <c r="I3205" s="3">
        <f t="shared" si="148"/>
        <v>3.0460245159247955E-2</v>
      </c>
    </row>
    <row r="3206" spans="2:9" x14ac:dyDescent="0.25">
      <c r="B3206" s="1">
        <v>39854</v>
      </c>
      <c r="C3206" s="2">
        <v>2934.5</v>
      </c>
      <c r="D3206" s="2">
        <v>2919.7</v>
      </c>
      <c r="E3206" s="2">
        <v>2957.4</v>
      </c>
      <c r="F3206" s="2">
        <v>2891.75</v>
      </c>
      <c r="G3206" s="3">
        <f t="shared" si="149"/>
        <v>5.0001712387410802E-3</v>
      </c>
      <c r="H3206" s="2">
        <f t="shared" si="150"/>
        <v>65.650000000000091</v>
      </c>
      <c r="I3206" s="3">
        <f t="shared" ref="I3206:I3269" si="151">H3206/D3206</f>
        <v>2.2485186834263825E-2</v>
      </c>
    </row>
    <row r="3207" spans="2:9" x14ac:dyDescent="0.25">
      <c r="B3207" s="1">
        <v>39855</v>
      </c>
      <c r="C3207" s="2">
        <v>2925.7</v>
      </c>
      <c r="D3207" s="2">
        <v>2933</v>
      </c>
      <c r="E3207" s="2">
        <v>2937.5</v>
      </c>
      <c r="F3207" s="2">
        <v>2877.6</v>
      </c>
      <c r="G3207" s="3">
        <f t="shared" ref="G3207:G3270" si="152">C3207/C3206-1</f>
        <v>-2.9988072925541953E-3</v>
      </c>
      <c r="H3207" s="2">
        <f t="shared" si="150"/>
        <v>59.900000000000091</v>
      </c>
      <c r="I3207" s="3">
        <f t="shared" si="151"/>
        <v>2.0422775315376777E-2</v>
      </c>
    </row>
    <row r="3208" spans="2:9" x14ac:dyDescent="0.25">
      <c r="B3208" s="1">
        <v>39856</v>
      </c>
      <c r="C3208" s="2">
        <v>2893.05</v>
      </c>
      <c r="D3208" s="2">
        <v>2927.4</v>
      </c>
      <c r="E3208" s="2">
        <v>2939</v>
      </c>
      <c r="F3208" s="2">
        <v>2886.55</v>
      </c>
      <c r="G3208" s="3">
        <f t="shared" si="152"/>
        <v>-1.1159722459582189E-2</v>
      </c>
      <c r="H3208" s="2">
        <f t="shared" si="150"/>
        <v>52.449999999999818</v>
      </c>
      <c r="I3208" s="3">
        <f t="shared" si="151"/>
        <v>1.7916922866707596E-2</v>
      </c>
    </row>
    <row r="3209" spans="2:9" x14ac:dyDescent="0.25">
      <c r="B3209" s="1">
        <v>39857</v>
      </c>
      <c r="C3209" s="2">
        <v>2948.35</v>
      </c>
      <c r="D3209" s="2">
        <v>2896.95</v>
      </c>
      <c r="E3209" s="2">
        <v>2969.75</v>
      </c>
      <c r="F3209" s="2">
        <v>2896.85</v>
      </c>
      <c r="G3209" s="3">
        <f t="shared" si="152"/>
        <v>1.9114775064378309E-2</v>
      </c>
      <c r="H3209" s="2">
        <f t="shared" si="150"/>
        <v>72.900000000000091</v>
      </c>
      <c r="I3209" s="3">
        <f t="shared" si="151"/>
        <v>2.5164397038264414E-2</v>
      </c>
    </row>
    <row r="3210" spans="2:9" x14ac:dyDescent="0.25">
      <c r="B3210" s="1">
        <v>39860</v>
      </c>
      <c r="C3210" s="2">
        <v>2848.5</v>
      </c>
      <c r="D3210" s="2">
        <v>2948.25</v>
      </c>
      <c r="E3210" s="2">
        <v>2953.2</v>
      </c>
      <c r="F3210" s="2">
        <v>2839.1</v>
      </c>
      <c r="G3210" s="3">
        <f t="shared" si="152"/>
        <v>-3.3866399850764006E-2</v>
      </c>
      <c r="H3210" s="2">
        <f t="shared" si="150"/>
        <v>114.09999999999991</v>
      </c>
      <c r="I3210" s="3">
        <f t="shared" si="151"/>
        <v>3.870092427711351E-2</v>
      </c>
    </row>
    <row r="3211" spans="2:9" x14ac:dyDescent="0.25">
      <c r="B3211" s="1">
        <v>39861</v>
      </c>
      <c r="C3211" s="2">
        <v>2770.5</v>
      </c>
      <c r="D3211" s="2">
        <v>2853.85</v>
      </c>
      <c r="E3211" s="2">
        <v>2854.65</v>
      </c>
      <c r="F3211" s="2">
        <v>2757.3</v>
      </c>
      <c r="G3211" s="3">
        <f t="shared" si="152"/>
        <v>-2.7382833070036861E-2</v>
      </c>
      <c r="H3211" s="2">
        <f t="shared" si="150"/>
        <v>97.349999999999909</v>
      </c>
      <c r="I3211" s="3">
        <f t="shared" si="151"/>
        <v>3.4111813865479935E-2</v>
      </c>
    </row>
    <row r="3212" spans="2:9" x14ac:dyDescent="0.25">
      <c r="B3212" s="1">
        <v>39862</v>
      </c>
      <c r="C3212" s="2">
        <v>2776.15</v>
      </c>
      <c r="D3212" s="2">
        <v>2755.15</v>
      </c>
      <c r="E3212" s="2">
        <v>2806.5</v>
      </c>
      <c r="F3212" s="2">
        <v>2736.65</v>
      </c>
      <c r="G3212" s="3">
        <f t="shared" si="152"/>
        <v>2.0393430788667732E-3</v>
      </c>
      <c r="H3212" s="2">
        <f t="shared" si="150"/>
        <v>69.849999999999909</v>
      </c>
      <c r="I3212" s="3">
        <f t="shared" si="151"/>
        <v>2.5352521641289913E-2</v>
      </c>
    </row>
    <row r="3213" spans="2:9" x14ac:dyDescent="0.25">
      <c r="B3213" s="1">
        <v>39863</v>
      </c>
      <c r="C3213" s="2">
        <v>2789.35</v>
      </c>
      <c r="D3213" s="2">
        <v>2776.7</v>
      </c>
      <c r="E3213" s="2">
        <v>2802.15</v>
      </c>
      <c r="F3213" s="2">
        <v>2767.6</v>
      </c>
      <c r="G3213" s="3">
        <f t="shared" si="152"/>
        <v>4.7547863047745498E-3</v>
      </c>
      <c r="H3213" s="2">
        <f t="shared" si="150"/>
        <v>34.550000000000182</v>
      </c>
      <c r="I3213" s="3">
        <f t="shared" si="151"/>
        <v>1.2442827817193138E-2</v>
      </c>
    </row>
    <row r="3214" spans="2:9" x14ac:dyDescent="0.25">
      <c r="B3214" s="1">
        <v>39864</v>
      </c>
      <c r="C3214" s="2">
        <v>2736.45</v>
      </c>
      <c r="D3214" s="2">
        <v>2789.3</v>
      </c>
      <c r="E3214" s="2">
        <v>2789.3</v>
      </c>
      <c r="F3214" s="2">
        <v>2709.3</v>
      </c>
      <c r="G3214" s="3">
        <f t="shared" si="152"/>
        <v>-1.8964991843978041E-2</v>
      </c>
      <c r="H3214" s="2">
        <f t="shared" si="150"/>
        <v>80</v>
      </c>
      <c r="I3214" s="3">
        <f t="shared" si="151"/>
        <v>2.8681031083067434E-2</v>
      </c>
    </row>
    <row r="3215" spans="2:9" x14ac:dyDescent="0.25">
      <c r="B3215" s="1">
        <v>39868</v>
      </c>
      <c r="C3215" s="2">
        <v>2733.9</v>
      </c>
      <c r="D3215" s="2">
        <v>2737.25</v>
      </c>
      <c r="E3215" s="2">
        <v>2746.2</v>
      </c>
      <c r="F3215" s="2">
        <v>2677.55</v>
      </c>
      <c r="G3215" s="3">
        <f t="shared" si="152"/>
        <v>-9.3186427670877148E-4</v>
      </c>
      <c r="H3215" s="2">
        <f t="shared" si="150"/>
        <v>68.649999999999636</v>
      </c>
      <c r="I3215" s="3">
        <f t="shared" si="151"/>
        <v>2.5079915974061427E-2</v>
      </c>
    </row>
    <row r="3216" spans="2:9" x14ac:dyDescent="0.25">
      <c r="B3216" s="1">
        <v>39869</v>
      </c>
      <c r="C3216" s="2">
        <v>2762.5</v>
      </c>
      <c r="D3216" s="2">
        <v>2733.45</v>
      </c>
      <c r="E3216" s="2">
        <v>2789.35</v>
      </c>
      <c r="F3216" s="2">
        <v>2733.45</v>
      </c>
      <c r="G3216" s="3">
        <f t="shared" si="152"/>
        <v>1.0461245839277211E-2</v>
      </c>
      <c r="H3216" s="2">
        <f t="shared" si="150"/>
        <v>55.900000000000091</v>
      </c>
      <c r="I3216" s="3">
        <f t="shared" si="151"/>
        <v>2.0450346631546251E-2</v>
      </c>
    </row>
    <row r="3217" spans="2:9" x14ac:dyDescent="0.25">
      <c r="B3217" s="1">
        <v>39870</v>
      </c>
      <c r="C3217" s="2">
        <v>2785.65</v>
      </c>
      <c r="D3217" s="2">
        <v>2762.2</v>
      </c>
      <c r="E3217" s="2">
        <v>2797.8</v>
      </c>
      <c r="F3217" s="2">
        <v>2731.9</v>
      </c>
      <c r="G3217" s="3">
        <f t="shared" si="152"/>
        <v>8.3800904977375801E-3</v>
      </c>
      <c r="H3217" s="2">
        <f t="shared" si="150"/>
        <v>65.900000000000091</v>
      </c>
      <c r="I3217" s="3">
        <f t="shared" si="151"/>
        <v>2.3857794511621205E-2</v>
      </c>
    </row>
    <row r="3218" spans="2:9" x14ac:dyDescent="0.25">
      <c r="B3218" s="1">
        <v>39871</v>
      </c>
      <c r="C3218" s="2">
        <v>2763.65</v>
      </c>
      <c r="D3218" s="2">
        <v>2785.7</v>
      </c>
      <c r="E3218" s="2">
        <v>2787.2</v>
      </c>
      <c r="F3218" s="2">
        <v>2708.45</v>
      </c>
      <c r="G3218" s="3">
        <f t="shared" si="152"/>
        <v>-7.8976181501624332E-3</v>
      </c>
      <c r="H3218" s="2">
        <f t="shared" si="150"/>
        <v>78.75</v>
      </c>
      <c r="I3218" s="3">
        <f t="shared" si="151"/>
        <v>2.8269375740388413E-2</v>
      </c>
    </row>
    <row r="3219" spans="2:9" x14ac:dyDescent="0.25">
      <c r="B3219" s="1">
        <v>39874</v>
      </c>
      <c r="C3219" s="2">
        <v>2674.6</v>
      </c>
      <c r="D3219" s="2">
        <v>2764.6</v>
      </c>
      <c r="E3219" s="2">
        <v>2764.6</v>
      </c>
      <c r="F3219" s="2">
        <v>2659.55</v>
      </c>
      <c r="G3219" s="3">
        <f t="shared" si="152"/>
        <v>-3.2221880484142429E-2</v>
      </c>
      <c r="H3219" s="2">
        <f t="shared" si="150"/>
        <v>105.04999999999973</v>
      </c>
      <c r="I3219" s="3">
        <f t="shared" si="151"/>
        <v>3.7998263763292968E-2</v>
      </c>
    </row>
    <row r="3220" spans="2:9" x14ac:dyDescent="0.25">
      <c r="B3220" s="1">
        <v>39875</v>
      </c>
      <c r="C3220" s="2">
        <v>2622.4</v>
      </c>
      <c r="D3220" s="2">
        <v>2672.15</v>
      </c>
      <c r="E3220" s="2">
        <v>2688.5</v>
      </c>
      <c r="F3220" s="2">
        <v>2611.5500000000002</v>
      </c>
      <c r="G3220" s="3">
        <f t="shared" si="152"/>
        <v>-1.9516937112091459E-2</v>
      </c>
      <c r="H3220" s="2">
        <f t="shared" si="150"/>
        <v>76.949999999999818</v>
      </c>
      <c r="I3220" s="3">
        <f t="shared" si="151"/>
        <v>2.8797036094530552E-2</v>
      </c>
    </row>
    <row r="3221" spans="2:9" x14ac:dyDescent="0.25">
      <c r="B3221" s="1">
        <v>39876</v>
      </c>
      <c r="C3221" s="2">
        <v>2645.2</v>
      </c>
      <c r="D3221" s="2">
        <v>2611.9499999999998</v>
      </c>
      <c r="E3221" s="2">
        <v>2655.7</v>
      </c>
      <c r="F3221" s="2">
        <v>2611.9499999999998</v>
      </c>
      <c r="G3221" s="3">
        <f t="shared" si="152"/>
        <v>8.6943258084195563E-3</v>
      </c>
      <c r="H3221" s="2">
        <f t="shared" si="150"/>
        <v>43.75</v>
      </c>
      <c r="I3221" s="3">
        <f t="shared" si="151"/>
        <v>1.6749937785945367E-2</v>
      </c>
    </row>
    <row r="3222" spans="2:9" x14ac:dyDescent="0.25">
      <c r="B3222" s="1">
        <v>39877</v>
      </c>
      <c r="C3222" s="2">
        <v>2576.6999999999998</v>
      </c>
      <c r="D3222" s="2">
        <v>2645.9</v>
      </c>
      <c r="E3222" s="2">
        <v>2663.9</v>
      </c>
      <c r="F3222" s="2">
        <v>2564.1</v>
      </c>
      <c r="G3222" s="3">
        <f t="shared" si="152"/>
        <v>-2.589596249810977E-2</v>
      </c>
      <c r="H3222" s="2">
        <f t="shared" si="150"/>
        <v>99.800000000000182</v>
      </c>
      <c r="I3222" s="3">
        <f t="shared" si="151"/>
        <v>3.7718734646056233E-2</v>
      </c>
    </row>
    <row r="3223" spans="2:9" x14ac:dyDescent="0.25">
      <c r="B3223" s="1">
        <v>39878</v>
      </c>
      <c r="C3223" s="2">
        <v>2620.15</v>
      </c>
      <c r="D3223" s="2">
        <v>2576.75</v>
      </c>
      <c r="E3223" s="2">
        <v>2628.1</v>
      </c>
      <c r="F3223" s="2">
        <v>2539.4499999999998</v>
      </c>
      <c r="G3223" s="3">
        <f t="shared" si="152"/>
        <v>1.6862653781969383E-2</v>
      </c>
      <c r="H3223" s="2">
        <f t="shared" si="150"/>
        <v>88.650000000000091</v>
      </c>
      <c r="I3223" s="3">
        <f t="shared" si="151"/>
        <v>3.4403803240516187E-2</v>
      </c>
    </row>
    <row r="3224" spans="2:9" x14ac:dyDescent="0.25">
      <c r="B3224" s="1">
        <v>39881</v>
      </c>
      <c r="C3224" s="2">
        <v>2573.15</v>
      </c>
      <c r="D3224" s="2">
        <v>2620.1</v>
      </c>
      <c r="E3224" s="2">
        <v>2621.25</v>
      </c>
      <c r="F3224" s="2">
        <v>2555.6</v>
      </c>
      <c r="G3224" s="3">
        <f t="shared" si="152"/>
        <v>-1.79379043184551E-2</v>
      </c>
      <c r="H3224" s="2">
        <f t="shared" si="150"/>
        <v>65.650000000000091</v>
      </c>
      <c r="I3224" s="3">
        <f t="shared" si="151"/>
        <v>2.5056295561238156E-2</v>
      </c>
    </row>
    <row r="3225" spans="2:9" x14ac:dyDescent="0.25">
      <c r="B3225" s="1">
        <v>39884</v>
      </c>
      <c r="C3225" s="2">
        <v>2617.4499999999998</v>
      </c>
      <c r="D3225" s="2">
        <v>2574.5</v>
      </c>
      <c r="E3225" s="2">
        <v>2646.1</v>
      </c>
      <c r="F3225" s="2">
        <v>2574.5</v>
      </c>
      <c r="G3225" s="3">
        <f t="shared" si="152"/>
        <v>1.7216252453218672E-2</v>
      </c>
      <c r="H3225" s="2">
        <f t="shared" si="150"/>
        <v>71.599999999999909</v>
      </c>
      <c r="I3225" s="3">
        <f t="shared" si="151"/>
        <v>2.7811225480675824E-2</v>
      </c>
    </row>
    <row r="3226" spans="2:9" x14ac:dyDescent="0.25">
      <c r="B3226" s="1">
        <v>39885</v>
      </c>
      <c r="C3226" s="2">
        <v>2719.25</v>
      </c>
      <c r="D3226" s="2">
        <v>2616.6</v>
      </c>
      <c r="E3226" s="2">
        <v>2726.15</v>
      </c>
      <c r="F3226" s="2">
        <v>2616.6</v>
      </c>
      <c r="G3226" s="3">
        <f t="shared" si="152"/>
        <v>3.8892815526562208E-2</v>
      </c>
      <c r="H3226" s="2">
        <f t="shared" si="150"/>
        <v>109.55000000000018</v>
      </c>
      <c r="I3226" s="3">
        <f t="shared" si="151"/>
        <v>4.1867308721241378E-2</v>
      </c>
    </row>
    <row r="3227" spans="2:9" x14ac:dyDescent="0.25">
      <c r="B3227" s="1">
        <v>39888</v>
      </c>
      <c r="C3227" s="2">
        <v>2777.25</v>
      </c>
      <c r="D3227" s="2">
        <v>2716.05</v>
      </c>
      <c r="E3227" s="2">
        <v>2781.95</v>
      </c>
      <c r="F3227" s="2">
        <v>2701.95</v>
      </c>
      <c r="G3227" s="3">
        <f t="shared" si="152"/>
        <v>2.1329410683092798E-2</v>
      </c>
      <c r="H3227" s="2">
        <f t="shared" si="150"/>
        <v>80</v>
      </c>
      <c r="I3227" s="3">
        <f t="shared" si="151"/>
        <v>2.9454538760332098E-2</v>
      </c>
    </row>
    <row r="3228" spans="2:9" x14ac:dyDescent="0.25">
      <c r="B3228" s="1">
        <v>39889</v>
      </c>
      <c r="C3228" s="2">
        <v>2757.45</v>
      </c>
      <c r="D3228" s="2">
        <v>2776.35</v>
      </c>
      <c r="E3228" s="2">
        <v>2805.6</v>
      </c>
      <c r="F3228" s="2">
        <v>2738.7</v>
      </c>
      <c r="G3228" s="3">
        <f t="shared" si="152"/>
        <v>-7.1293545773697398E-3</v>
      </c>
      <c r="H3228" s="2">
        <f t="shared" si="150"/>
        <v>66.900000000000091</v>
      </c>
      <c r="I3228" s="3">
        <f t="shared" si="151"/>
        <v>2.4096385542168707E-2</v>
      </c>
    </row>
    <row r="3229" spans="2:9" x14ac:dyDescent="0.25">
      <c r="B3229" s="1">
        <v>39890</v>
      </c>
      <c r="C3229" s="2">
        <v>2794.7</v>
      </c>
      <c r="D3229" s="2">
        <v>2757.65</v>
      </c>
      <c r="E3229" s="2">
        <v>2836.05</v>
      </c>
      <c r="F3229" s="2">
        <v>2752.25</v>
      </c>
      <c r="G3229" s="3">
        <f t="shared" si="152"/>
        <v>1.3508857821538101E-2</v>
      </c>
      <c r="H3229" s="2">
        <f t="shared" si="150"/>
        <v>83.800000000000182</v>
      </c>
      <c r="I3229" s="3">
        <f t="shared" si="151"/>
        <v>3.0388192845357525E-2</v>
      </c>
    </row>
    <row r="3230" spans="2:9" x14ac:dyDescent="0.25">
      <c r="B3230" s="1">
        <v>39891</v>
      </c>
      <c r="C3230" s="2">
        <v>2807.15</v>
      </c>
      <c r="D3230" s="2">
        <v>2797.05</v>
      </c>
      <c r="E3230" s="2">
        <v>2822.25</v>
      </c>
      <c r="F3230" s="2">
        <v>2771.35</v>
      </c>
      <c r="G3230" s="3">
        <f t="shared" si="152"/>
        <v>4.4548609868682032E-3</v>
      </c>
      <c r="H3230" s="2">
        <f t="shared" si="150"/>
        <v>50.900000000000091</v>
      </c>
      <c r="I3230" s="3">
        <f t="shared" si="151"/>
        <v>1.8197744051768858E-2</v>
      </c>
    </row>
    <row r="3231" spans="2:9" x14ac:dyDescent="0.25">
      <c r="B3231" s="1">
        <v>39892</v>
      </c>
      <c r="C3231" s="2">
        <v>2807.05</v>
      </c>
      <c r="D3231" s="2">
        <v>2807.35</v>
      </c>
      <c r="E3231" s="2">
        <v>2816.1</v>
      </c>
      <c r="F3231" s="2">
        <v>2773.65</v>
      </c>
      <c r="G3231" s="3">
        <f t="shared" si="152"/>
        <v>-3.5623319024624678E-5</v>
      </c>
      <c r="H3231" s="2">
        <f t="shared" si="150"/>
        <v>42.449999999999818</v>
      </c>
      <c r="I3231" s="3">
        <f t="shared" si="151"/>
        <v>1.5121021604003712E-2</v>
      </c>
    </row>
    <row r="3232" spans="2:9" x14ac:dyDescent="0.25">
      <c r="B3232" s="1">
        <v>39895</v>
      </c>
      <c r="C3232" s="2">
        <v>2939.9</v>
      </c>
      <c r="D3232" s="2">
        <v>2807.25</v>
      </c>
      <c r="E3232" s="2">
        <v>2949.75</v>
      </c>
      <c r="F3232" s="2">
        <v>2807.25</v>
      </c>
      <c r="G3232" s="3">
        <f t="shared" si="152"/>
        <v>4.732726527849529E-2</v>
      </c>
      <c r="H3232" s="2">
        <f t="shared" si="150"/>
        <v>142.5</v>
      </c>
      <c r="I3232" s="3">
        <f t="shared" si="151"/>
        <v>5.0761421319796954E-2</v>
      </c>
    </row>
    <row r="3233" spans="2:9" x14ac:dyDescent="0.25">
      <c r="B3233" s="1">
        <v>39896</v>
      </c>
      <c r="C3233" s="2">
        <v>2938.7</v>
      </c>
      <c r="D3233" s="2">
        <v>2923.8</v>
      </c>
      <c r="E3233" s="2">
        <v>3017.4</v>
      </c>
      <c r="F3233" s="2">
        <v>2914.5</v>
      </c>
      <c r="G3233" s="3">
        <f t="shared" si="152"/>
        <v>-4.0817714888274903E-4</v>
      </c>
      <c r="H3233" s="2">
        <f t="shared" si="150"/>
        <v>102.90000000000009</v>
      </c>
      <c r="I3233" s="3">
        <f t="shared" si="151"/>
        <v>3.5193925713113104E-2</v>
      </c>
    </row>
    <row r="3234" spans="2:9" x14ac:dyDescent="0.25">
      <c r="B3234" s="1">
        <v>39897</v>
      </c>
      <c r="C3234" s="2">
        <v>2984.35</v>
      </c>
      <c r="D3234" s="2">
        <v>2938.8</v>
      </c>
      <c r="E3234" s="2">
        <v>2996.5</v>
      </c>
      <c r="F3234" s="2">
        <v>2923.3</v>
      </c>
      <c r="G3234" s="3">
        <f t="shared" si="152"/>
        <v>1.5534079695103342E-2</v>
      </c>
      <c r="H3234" s="2">
        <f t="shared" si="150"/>
        <v>73.199999999999818</v>
      </c>
      <c r="I3234" s="3">
        <f t="shared" si="151"/>
        <v>2.4908125765618558E-2</v>
      </c>
    </row>
    <row r="3235" spans="2:9" x14ac:dyDescent="0.25">
      <c r="B3235" s="1">
        <v>39898</v>
      </c>
      <c r="C3235" s="2">
        <v>3082.25</v>
      </c>
      <c r="D3235" s="2">
        <v>2982.25</v>
      </c>
      <c r="E3235" s="2">
        <v>3103.35</v>
      </c>
      <c r="F3235" s="2">
        <v>2982.25</v>
      </c>
      <c r="G3235" s="3">
        <f t="shared" si="152"/>
        <v>3.2804463283462093E-2</v>
      </c>
      <c r="H3235" s="2">
        <f t="shared" si="150"/>
        <v>121.09999999999991</v>
      </c>
      <c r="I3235" s="3">
        <f t="shared" si="151"/>
        <v>4.0606924302120852E-2</v>
      </c>
    </row>
    <row r="3236" spans="2:9" x14ac:dyDescent="0.25">
      <c r="B3236" s="1">
        <v>39899</v>
      </c>
      <c r="C3236" s="2">
        <v>3108.65</v>
      </c>
      <c r="D3236" s="2">
        <v>3079.4</v>
      </c>
      <c r="E3236" s="2">
        <v>3123.35</v>
      </c>
      <c r="F3236" s="2">
        <v>3055.9</v>
      </c>
      <c r="G3236" s="3">
        <f t="shared" si="152"/>
        <v>8.5651715467596201E-3</v>
      </c>
      <c r="H3236" s="2">
        <f t="shared" si="150"/>
        <v>67.449999999999818</v>
      </c>
      <c r="I3236" s="3">
        <f t="shared" si="151"/>
        <v>2.1903617587841727E-2</v>
      </c>
    </row>
    <row r="3237" spans="2:9" x14ac:dyDescent="0.25">
      <c r="B3237" s="1">
        <v>39902</v>
      </c>
      <c r="C3237" s="2">
        <v>2978.15</v>
      </c>
      <c r="D3237" s="2">
        <v>3108.75</v>
      </c>
      <c r="E3237" s="2">
        <v>3110.2</v>
      </c>
      <c r="F3237" s="2">
        <v>2962.4</v>
      </c>
      <c r="G3237" s="3">
        <f t="shared" si="152"/>
        <v>-4.1979637463207542E-2</v>
      </c>
      <c r="H3237" s="2">
        <f t="shared" si="150"/>
        <v>147.79999999999973</v>
      </c>
      <c r="I3237" s="3">
        <f t="shared" si="151"/>
        <v>4.7543224768797659E-2</v>
      </c>
    </row>
    <row r="3238" spans="2:9" x14ac:dyDescent="0.25">
      <c r="B3238" s="1">
        <v>39903</v>
      </c>
      <c r="C3238" s="2">
        <v>3020.95</v>
      </c>
      <c r="D3238" s="2">
        <v>2981.7</v>
      </c>
      <c r="E3238" s="2">
        <v>3054.3</v>
      </c>
      <c r="F3238" s="2">
        <v>2966.4</v>
      </c>
      <c r="G3238" s="3">
        <f t="shared" si="152"/>
        <v>1.437133791111922E-2</v>
      </c>
      <c r="H3238" s="2">
        <f t="shared" si="150"/>
        <v>87.900000000000091</v>
      </c>
      <c r="I3238" s="3">
        <f t="shared" si="151"/>
        <v>2.9479826944360632E-2</v>
      </c>
    </row>
    <row r="3239" spans="2:9" x14ac:dyDescent="0.25">
      <c r="B3239" s="1">
        <v>39904</v>
      </c>
      <c r="C3239" s="2">
        <v>3060.35</v>
      </c>
      <c r="D3239" s="2">
        <v>3023.85</v>
      </c>
      <c r="E3239" s="2">
        <v>3069.3</v>
      </c>
      <c r="F3239" s="2">
        <v>2965.7</v>
      </c>
      <c r="G3239" s="3">
        <f t="shared" si="152"/>
        <v>1.3042254919809926E-2</v>
      </c>
      <c r="H3239" s="2">
        <f t="shared" si="150"/>
        <v>103.60000000000036</v>
      </c>
      <c r="I3239" s="3">
        <f t="shared" si="151"/>
        <v>3.4260958711576424E-2</v>
      </c>
    </row>
    <row r="3240" spans="2:9" x14ac:dyDescent="0.25">
      <c r="B3240" s="1">
        <v>39905</v>
      </c>
      <c r="C3240" s="2">
        <v>3211.05</v>
      </c>
      <c r="D3240" s="2">
        <v>3061.05</v>
      </c>
      <c r="E3240" s="2">
        <v>3228.75</v>
      </c>
      <c r="F3240" s="2">
        <v>3061.05</v>
      </c>
      <c r="G3240" s="3">
        <f t="shared" si="152"/>
        <v>4.9242733674253136E-2</v>
      </c>
      <c r="H3240" s="2">
        <f t="shared" si="150"/>
        <v>167.69999999999982</v>
      </c>
      <c r="I3240" s="3">
        <f t="shared" si="151"/>
        <v>5.4785122751996804E-2</v>
      </c>
    </row>
    <row r="3241" spans="2:9" x14ac:dyDescent="0.25">
      <c r="B3241" s="1">
        <v>39909</v>
      </c>
      <c r="C3241" s="2">
        <v>3256.6</v>
      </c>
      <c r="D3241" s="2">
        <v>3211.35</v>
      </c>
      <c r="E3241" s="2">
        <v>3303.9</v>
      </c>
      <c r="F3241" s="2">
        <v>3211.35</v>
      </c>
      <c r="G3241" s="3">
        <f t="shared" si="152"/>
        <v>1.4185391071456221E-2</v>
      </c>
      <c r="H3241" s="2">
        <f t="shared" si="150"/>
        <v>92.550000000000182</v>
      </c>
      <c r="I3241" s="3">
        <f t="shared" si="151"/>
        <v>2.8819655285160502E-2</v>
      </c>
    </row>
    <row r="3242" spans="2:9" x14ac:dyDescent="0.25">
      <c r="B3242" s="1">
        <v>39911</v>
      </c>
      <c r="C3242" s="2">
        <v>3342.95</v>
      </c>
      <c r="D3242" s="2">
        <v>3255.35</v>
      </c>
      <c r="E3242" s="2">
        <v>3357.05</v>
      </c>
      <c r="F3242" s="2">
        <v>3149.25</v>
      </c>
      <c r="G3242" s="3">
        <f t="shared" si="152"/>
        <v>2.6515384142971277E-2</v>
      </c>
      <c r="H3242" s="2">
        <f t="shared" si="150"/>
        <v>207.80000000000018</v>
      </c>
      <c r="I3242" s="3">
        <f t="shared" si="151"/>
        <v>6.3833381971216671E-2</v>
      </c>
    </row>
    <row r="3243" spans="2:9" x14ac:dyDescent="0.25">
      <c r="B3243" s="1">
        <v>39912</v>
      </c>
      <c r="C3243" s="2">
        <v>3342.05</v>
      </c>
      <c r="D3243" s="2">
        <v>3346</v>
      </c>
      <c r="E3243" s="2">
        <v>3401.15</v>
      </c>
      <c r="F3243" s="2">
        <v>3307.05</v>
      </c>
      <c r="G3243" s="3">
        <f t="shared" si="152"/>
        <v>-2.6922329080592E-4</v>
      </c>
      <c r="H3243" s="2">
        <f t="shared" si="150"/>
        <v>94.099999999999909</v>
      </c>
      <c r="I3243" s="3">
        <f t="shared" si="151"/>
        <v>2.8123132098027467E-2</v>
      </c>
    </row>
    <row r="3244" spans="2:9" x14ac:dyDescent="0.25">
      <c r="B3244" s="1">
        <v>39916</v>
      </c>
      <c r="C3244" s="2">
        <v>3382.6</v>
      </c>
      <c r="D3244" s="2">
        <v>3342.2</v>
      </c>
      <c r="E3244" s="2">
        <v>3417.8</v>
      </c>
      <c r="F3244" s="2">
        <v>3334.15</v>
      </c>
      <c r="G3244" s="3">
        <f t="shared" si="152"/>
        <v>1.2133271495040399E-2</v>
      </c>
      <c r="H3244" s="2">
        <f t="shared" si="150"/>
        <v>83.650000000000091</v>
      </c>
      <c r="I3244" s="3">
        <f t="shared" si="151"/>
        <v>2.5028424391119651E-2</v>
      </c>
    </row>
    <row r="3245" spans="2:9" x14ac:dyDescent="0.25">
      <c r="B3245" s="1">
        <v>39918</v>
      </c>
      <c r="C3245" s="2">
        <v>3484.15</v>
      </c>
      <c r="D3245" s="2">
        <v>3381.45</v>
      </c>
      <c r="E3245" s="2">
        <v>3497.55</v>
      </c>
      <c r="F3245" s="2">
        <v>3311.8</v>
      </c>
      <c r="G3245" s="3">
        <f t="shared" si="152"/>
        <v>3.0021285401762077E-2</v>
      </c>
      <c r="H3245" s="2">
        <f t="shared" si="150"/>
        <v>185.75</v>
      </c>
      <c r="I3245" s="3">
        <f t="shared" si="151"/>
        <v>5.4932055774889472E-2</v>
      </c>
    </row>
    <row r="3246" spans="2:9" x14ac:dyDescent="0.25">
      <c r="B3246" s="1">
        <v>39919</v>
      </c>
      <c r="C3246" s="2">
        <v>3369.5</v>
      </c>
      <c r="D3246" s="2">
        <v>3484.35</v>
      </c>
      <c r="E3246" s="2">
        <v>3511.25</v>
      </c>
      <c r="F3246" s="2">
        <v>3354.2</v>
      </c>
      <c r="G3246" s="3">
        <f t="shared" si="152"/>
        <v>-3.2906160756569047E-2</v>
      </c>
      <c r="H3246" s="2">
        <f t="shared" si="150"/>
        <v>157.05000000000018</v>
      </c>
      <c r="I3246" s="3">
        <f t="shared" si="151"/>
        <v>4.5072969133410877E-2</v>
      </c>
    </row>
    <row r="3247" spans="2:9" x14ac:dyDescent="0.25">
      <c r="B3247" s="1">
        <v>39920</v>
      </c>
      <c r="C3247" s="2">
        <v>3384.4</v>
      </c>
      <c r="D3247" s="2">
        <v>3369.5</v>
      </c>
      <c r="E3247" s="2">
        <v>3489.85</v>
      </c>
      <c r="F3247" s="2">
        <v>3359.25</v>
      </c>
      <c r="G3247" s="3">
        <f t="shared" si="152"/>
        <v>4.4220210713756813E-3</v>
      </c>
      <c r="H3247" s="2">
        <f t="shared" si="150"/>
        <v>130.59999999999991</v>
      </c>
      <c r="I3247" s="3">
        <f t="shared" si="151"/>
        <v>3.87594598605134E-2</v>
      </c>
    </row>
    <row r="3248" spans="2:9" x14ac:dyDescent="0.25">
      <c r="B3248" s="1">
        <v>39923</v>
      </c>
      <c r="C3248" s="2">
        <v>3377.1</v>
      </c>
      <c r="D3248" s="2">
        <v>3384.75</v>
      </c>
      <c r="E3248" s="2">
        <v>3441.1</v>
      </c>
      <c r="F3248" s="2">
        <v>3339.45</v>
      </c>
      <c r="G3248" s="3">
        <f t="shared" si="152"/>
        <v>-2.1569554426191795E-3</v>
      </c>
      <c r="H3248" s="2">
        <f t="shared" si="150"/>
        <v>101.65000000000009</v>
      </c>
      <c r="I3248" s="3">
        <f t="shared" si="151"/>
        <v>3.0031760100450576E-2</v>
      </c>
    </row>
    <row r="3249" spans="2:9" x14ac:dyDescent="0.25">
      <c r="B3249" s="1">
        <v>39924</v>
      </c>
      <c r="C3249" s="2">
        <v>3365.3</v>
      </c>
      <c r="D3249" s="2">
        <v>3376.85</v>
      </c>
      <c r="E3249" s="2">
        <v>3414.7</v>
      </c>
      <c r="F3249" s="2">
        <v>3309.35</v>
      </c>
      <c r="G3249" s="3">
        <f t="shared" si="152"/>
        <v>-3.4941221758312269E-3</v>
      </c>
      <c r="H3249" s="2">
        <f t="shared" si="150"/>
        <v>105.34999999999991</v>
      </c>
      <c r="I3249" s="3">
        <f t="shared" si="151"/>
        <v>3.1197713845743789E-2</v>
      </c>
    </row>
    <row r="3250" spans="2:9" x14ac:dyDescent="0.25">
      <c r="B3250" s="1">
        <v>39925</v>
      </c>
      <c r="C3250" s="2">
        <v>3330.3</v>
      </c>
      <c r="D3250" s="2">
        <v>3364.6</v>
      </c>
      <c r="E3250" s="2">
        <v>3401.1</v>
      </c>
      <c r="F3250" s="2">
        <v>3296.9</v>
      </c>
      <c r="G3250" s="3">
        <f t="shared" si="152"/>
        <v>-1.0400261492288898E-2</v>
      </c>
      <c r="H3250" s="2">
        <f t="shared" si="150"/>
        <v>104.19999999999982</v>
      </c>
      <c r="I3250" s="3">
        <f t="shared" si="151"/>
        <v>3.0969506033406591E-2</v>
      </c>
    </row>
    <row r="3251" spans="2:9" x14ac:dyDescent="0.25">
      <c r="B3251" s="1">
        <v>39926</v>
      </c>
      <c r="C3251" s="2">
        <v>3423.7</v>
      </c>
      <c r="D3251" s="2">
        <v>3330.5</v>
      </c>
      <c r="E3251" s="2">
        <v>3439.9</v>
      </c>
      <c r="F3251" s="2">
        <v>3310.5</v>
      </c>
      <c r="G3251" s="3">
        <f t="shared" si="152"/>
        <v>2.8045521424496123E-2</v>
      </c>
      <c r="H3251" s="2">
        <f t="shared" si="150"/>
        <v>129.40000000000009</v>
      </c>
      <c r="I3251" s="3">
        <f t="shared" si="151"/>
        <v>3.8853025071310644E-2</v>
      </c>
    </row>
    <row r="3252" spans="2:9" x14ac:dyDescent="0.25">
      <c r="B3252" s="1">
        <v>39927</v>
      </c>
      <c r="C3252" s="2">
        <v>3480.75</v>
      </c>
      <c r="D3252" s="2">
        <v>3423.6</v>
      </c>
      <c r="E3252" s="2">
        <v>3491.35</v>
      </c>
      <c r="F3252" s="2">
        <v>3402.9</v>
      </c>
      <c r="G3252" s="3">
        <f t="shared" si="152"/>
        <v>1.6663259047229761E-2</v>
      </c>
      <c r="H3252" s="2">
        <f t="shared" si="150"/>
        <v>88.449999999999818</v>
      </c>
      <c r="I3252" s="3">
        <f t="shared" si="151"/>
        <v>2.5835377964715453E-2</v>
      </c>
    </row>
    <row r="3253" spans="2:9" x14ac:dyDescent="0.25">
      <c r="B3253" s="1">
        <v>39930</v>
      </c>
      <c r="C3253" s="2">
        <v>3470</v>
      </c>
      <c r="D3253" s="2">
        <v>3481.3</v>
      </c>
      <c r="E3253" s="2">
        <v>3517.25</v>
      </c>
      <c r="F3253" s="2">
        <v>3435.3</v>
      </c>
      <c r="G3253" s="3">
        <f t="shared" si="152"/>
        <v>-3.0884148531207245E-3</v>
      </c>
      <c r="H3253" s="2">
        <f t="shared" si="150"/>
        <v>81.949999999999818</v>
      </c>
      <c r="I3253" s="3">
        <f t="shared" si="151"/>
        <v>2.3540056875305148E-2</v>
      </c>
    </row>
    <row r="3254" spans="2:9" x14ac:dyDescent="0.25">
      <c r="B3254" s="1">
        <v>39931</v>
      </c>
      <c r="C3254" s="2">
        <v>3362.35</v>
      </c>
      <c r="D3254" s="2">
        <v>3469.5</v>
      </c>
      <c r="E3254" s="2">
        <v>3471.95</v>
      </c>
      <c r="F3254" s="2">
        <v>3351.5</v>
      </c>
      <c r="G3254" s="3">
        <f t="shared" si="152"/>
        <v>-3.10230547550433E-2</v>
      </c>
      <c r="H3254" s="2">
        <f t="shared" si="150"/>
        <v>120.44999999999982</v>
      </c>
      <c r="I3254" s="3">
        <f t="shared" si="151"/>
        <v>3.4716817985300422E-2</v>
      </c>
    </row>
    <row r="3255" spans="2:9" x14ac:dyDescent="0.25">
      <c r="B3255" s="1">
        <v>39932</v>
      </c>
      <c r="C3255" s="2">
        <v>3473.95</v>
      </c>
      <c r="D3255" s="2">
        <v>3371.65</v>
      </c>
      <c r="E3255" s="2">
        <v>3486.4</v>
      </c>
      <c r="F3255" s="2">
        <v>3366.7</v>
      </c>
      <c r="G3255" s="3">
        <f t="shared" si="152"/>
        <v>3.3191071720671594E-2</v>
      </c>
      <c r="H3255" s="2">
        <f t="shared" si="150"/>
        <v>119.70000000000027</v>
      </c>
      <c r="I3255" s="3">
        <f t="shared" si="151"/>
        <v>3.5501905595183444E-2</v>
      </c>
    </row>
    <row r="3256" spans="2:9" x14ac:dyDescent="0.25">
      <c r="B3256" s="1">
        <v>39937</v>
      </c>
      <c r="C3256" s="2">
        <v>3654</v>
      </c>
      <c r="D3256" s="2">
        <v>3478.7</v>
      </c>
      <c r="E3256" s="2">
        <v>3664.5</v>
      </c>
      <c r="F3256" s="2">
        <v>3478.7</v>
      </c>
      <c r="G3256" s="3">
        <f t="shared" si="152"/>
        <v>5.1828610083622495E-2</v>
      </c>
      <c r="H3256" s="2">
        <f t="shared" si="150"/>
        <v>185.80000000000018</v>
      </c>
      <c r="I3256" s="3">
        <f t="shared" si="151"/>
        <v>5.3410756891942447E-2</v>
      </c>
    </row>
    <row r="3257" spans="2:9" x14ac:dyDescent="0.25">
      <c r="B3257" s="1">
        <v>39938</v>
      </c>
      <c r="C3257" s="2">
        <v>3661.9</v>
      </c>
      <c r="D3257" s="2">
        <v>3664.5</v>
      </c>
      <c r="E3257" s="2">
        <v>3682.2</v>
      </c>
      <c r="F3257" s="2">
        <v>3618.75</v>
      </c>
      <c r="G3257" s="3">
        <f t="shared" si="152"/>
        <v>2.1620142309797252E-3</v>
      </c>
      <c r="H3257" s="2">
        <f t="shared" si="150"/>
        <v>63.449999999999818</v>
      </c>
      <c r="I3257" s="3">
        <f t="shared" si="151"/>
        <v>1.7314776913630731E-2</v>
      </c>
    </row>
    <row r="3258" spans="2:9" x14ac:dyDescent="0.25">
      <c r="B3258" s="1">
        <v>39939</v>
      </c>
      <c r="C3258" s="2">
        <v>3625.05</v>
      </c>
      <c r="D3258" s="2">
        <v>3662</v>
      </c>
      <c r="E3258" s="2">
        <v>3717.05</v>
      </c>
      <c r="F3258" s="2">
        <v>3608.65</v>
      </c>
      <c r="G3258" s="3">
        <f t="shared" si="152"/>
        <v>-1.0063082006608548E-2</v>
      </c>
      <c r="H3258" s="2">
        <f t="shared" si="150"/>
        <v>108.40000000000009</v>
      </c>
      <c r="I3258" s="3">
        <f t="shared" si="151"/>
        <v>2.9601310759148031E-2</v>
      </c>
    </row>
    <row r="3259" spans="2:9" x14ac:dyDescent="0.25">
      <c r="B3259" s="1">
        <v>39940</v>
      </c>
      <c r="C3259" s="2">
        <v>3683.9</v>
      </c>
      <c r="D3259" s="2">
        <v>3617.15</v>
      </c>
      <c r="E3259" s="2">
        <v>3692.05</v>
      </c>
      <c r="F3259" s="2">
        <v>3617.15</v>
      </c>
      <c r="G3259" s="3">
        <f t="shared" si="152"/>
        <v>1.6234258837809046E-2</v>
      </c>
      <c r="H3259" s="2">
        <f t="shared" si="150"/>
        <v>74.900000000000091</v>
      </c>
      <c r="I3259" s="3">
        <f t="shared" si="151"/>
        <v>2.0706910136433405E-2</v>
      </c>
    </row>
    <row r="3260" spans="2:9" x14ac:dyDescent="0.25">
      <c r="B3260" s="1">
        <v>39941</v>
      </c>
      <c r="C3260" s="2">
        <v>3620.7</v>
      </c>
      <c r="D3260" s="2">
        <v>3681.8</v>
      </c>
      <c r="E3260" s="2">
        <v>3711.25</v>
      </c>
      <c r="F3260" s="2">
        <v>3582.85</v>
      </c>
      <c r="G3260" s="3">
        <f t="shared" si="152"/>
        <v>-1.7155731697386045E-2</v>
      </c>
      <c r="H3260" s="2">
        <f t="shared" si="150"/>
        <v>128.40000000000009</v>
      </c>
      <c r="I3260" s="3">
        <f t="shared" si="151"/>
        <v>3.487424629257431E-2</v>
      </c>
    </row>
    <row r="3261" spans="2:9" x14ac:dyDescent="0.25">
      <c r="B3261" s="1">
        <v>39944</v>
      </c>
      <c r="C3261" s="2">
        <v>3554.6</v>
      </c>
      <c r="D3261" s="2">
        <v>3615.75</v>
      </c>
      <c r="E3261" s="2">
        <v>3660.2</v>
      </c>
      <c r="F3261" s="2">
        <v>3534.55</v>
      </c>
      <c r="G3261" s="3">
        <f t="shared" si="152"/>
        <v>-1.8256138315795312E-2</v>
      </c>
      <c r="H3261" s="2">
        <f t="shared" si="150"/>
        <v>125.64999999999964</v>
      </c>
      <c r="I3261" s="3">
        <f t="shared" si="151"/>
        <v>3.4750743275945413E-2</v>
      </c>
    </row>
    <row r="3262" spans="2:9" x14ac:dyDescent="0.25">
      <c r="B3262" s="1">
        <v>39945</v>
      </c>
      <c r="C3262" s="2">
        <v>3681.1</v>
      </c>
      <c r="D3262" s="2">
        <v>3554.65</v>
      </c>
      <c r="E3262" s="2">
        <v>3691.65</v>
      </c>
      <c r="F3262" s="2">
        <v>3534.2</v>
      </c>
      <c r="G3262" s="3">
        <f t="shared" si="152"/>
        <v>3.5587689191470151E-2</v>
      </c>
      <c r="H3262" s="2">
        <f t="shared" si="150"/>
        <v>157.45000000000027</v>
      </c>
      <c r="I3262" s="3">
        <f t="shared" si="151"/>
        <v>4.4294093651977062E-2</v>
      </c>
    </row>
    <row r="3263" spans="2:9" x14ac:dyDescent="0.25">
      <c r="B3263" s="1">
        <v>39946</v>
      </c>
      <c r="C3263" s="2">
        <v>3635.25</v>
      </c>
      <c r="D3263" s="2">
        <v>3668.75</v>
      </c>
      <c r="E3263" s="2">
        <v>3709.6</v>
      </c>
      <c r="F3263" s="2">
        <v>3610.2</v>
      </c>
      <c r="G3263" s="3">
        <f t="shared" si="152"/>
        <v>-1.2455516014234891E-2</v>
      </c>
      <c r="H3263" s="2">
        <f t="shared" si="150"/>
        <v>99.400000000000091</v>
      </c>
      <c r="I3263" s="3">
        <f t="shared" si="151"/>
        <v>2.7093696763202751E-2</v>
      </c>
    </row>
    <row r="3264" spans="2:9" x14ac:dyDescent="0.25">
      <c r="B3264" s="1">
        <v>39947</v>
      </c>
      <c r="C3264" s="2">
        <v>3593.45</v>
      </c>
      <c r="D3264" s="2">
        <v>3631.9</v>
      </c>
      <c r="E3264" s="2">
        <v>3631.9</v>
      </c>
      <c r="F3264" s="2">
        <v>3537.6</v>
      </c>
      <c r="G3264" s="3">
        <f t="shared" si="152"/>
        <v>-1.1498521422185548E-2</v>
      </c>
      <c r="H3264" s="2">
        <f t="shared" si="150"/>
        <v>94.300000000000182</v>
      </c>
      <c r="I3264" s="3">
        <f t="shared" si="151"/>
        <v>2.5964371265728731E-2</v>
      </c>
    </row>
    <row r="3265" spans="2:9" x14ac:dyDescent="0.25">
      <c r="B3265" s="1">
        <v>39948</v>
      </c>
      <c r="C3265" s="2">
        <v>3671.65</v>
      </c>
      <c r="D3265" s="2">
        <v>3597.85</v>
      </c>
      <c r="E3265" s="2">
        <v>3686.25</v>
      </c>
      <c r="F3265" s="2">
        <v>3597.85</v>
      </c>
      <c r="G3265" s="3">
        <f t="shared" si="152"/>
        <v>2.1761816638606435E-2</v>
      </c>
      <c r="H3265" s="2">
        <f t="shared" si="150"/>
        <v>88.400000000000091</v>
      </c>
      <c r="I3265" s="3">
        <f t="shared" si="151"/>
        <v>2.4570229442583792E-2</v>
      </c>
    </row>
    <row r="3266" spans="2:9" x14ac:dyDescent="0.25">
      <c r="B3266" s="1">
        <v>39951</v>
      </c>
      <c r="C3266" s="2">
        <v>4323.1499999999996</v>
      </c>
      <c r="D3266" s="2">
        <v>3673.15</v>
      </c>
      <c r="E3266" s="2">
        <v>4384.3</v>
      </c>
      <c r="F3266" s="2">
        <v>3673.15</v>
      </c>
      <c r="G3266" s="3">
        <f t="shared" si="152"/>
        <v>0.17744066019364579</v>
      </c>
      <c r="H3266" s="2">
        <f t="shared" si="150"/>
        <v>711.15000000000009</v>
      </c>
      <c r="I3266" s="3">
        <f t="shared" si="151"/>
        <v>0.19360766644433255</v>
      </c>
    </row>
    <row r="3267" spans="2:9" x14ac:dyDescent="0.25">
      <c r="B3267" s="1">
        <v>39952</v>
      </c>
      <c r="C3267" s="2">
        <v>4318.45</v>
      </c>
      <c r="D3267" s="2">
        <v>4324.95</v>
      </c>
      <c r="E3267" s="2">
        <v>4509.3999999999996</v>
      </c>
      <c r="F3267" s="2">
        <v>4167.6499999999996</v>
      </c>
      <c r="G3267" s="3">
        <f t="shared" si="152"/>
        <v>-1.0871702346667567E-3</v>
      </c>
      <c r="H3267" s="2">
        <f t="shared" si="150"/>
        <v>341.75</v>
      </c>
      <c r="I3267" s="3">
        <f t="shared" si="151"/>
        <v>7.9018254546295338E-2</v>
      </c>
    </row>
    <row r="3268" spans="2:9" x14ac:dyDescent="0.25">
      <c r="B3268" s="1">
        <v>39953</v>
      </c>
      <c r="C3268" s="2">
        <v>4270.3</v>
      </c>
      <c r="D3268" s="2">
        <v>4318.75</v>
      </c>
      <c r="E3268" s="2">
        <v>4362.8500000000004</v>
      </c>
      <c r="F3268" s="2">
        <v>4244.7</v>
      </c>
      <c r="G3268" s="3">
        <f t="shared" si="152"/>
        <v>-1.1149833852423852E-2</v>
      </c>
      <c r="H3268" s="2">
        <f t="shared" si="150"/>
        <v>118.15000000000055</v>
      </c>
      <c r="I3268" s="3">
        <f t="shared" si="151"/>
        <v>2.7357452966715032E-2</v>
      </c>
    </row>
    <row r="3269" spans="2:9" x14ac:dyDescent="0.25">
      <c r="B3269" s="1">
        <v>39954</v>
      </c>
      <c r="C3269" s="2">
        <v>4210.8999999999996</v>
      </c>
      <c r="D3269" s="2">
        <v>4270.3500000000004</v>
      </c>
      <c r="E3269" s="2">
        <v>4319</v>
      </c>
      <c r="F3269" s="2">
        <v>4199.2</v>
      </c>
      <c r="G3269" s="3">
        <f t="shared" si="152"/>
        <v>-1.3910029740299423E-2</v>
      </c>
      <c r="H3269" s="2">
        <f t="shared" ref="H3269:H3332" si="153">E3269-F3269</f>
        <v>119.80000000000018</v>
      </c>
      <c r="I3269" s="3">
        <f t="shared" si="151"/>
        <v>2.8053906588452977E-2</v>
      </c>
    </row>
    <row r="3270" spans="2:9" x14ac:dyDescent="0.25">
      <c r="B3270" s="1">
        <v>39955</v>
      </c>
      <c r="C3270" s="2">
        <v>4238.5</v>
      </c>
      <c r="D3270" s="2">
        <v>4211.8500000000004</v>
      </c>
      <c r="E3270" s="2">
        <v>4249.5</v>
      </c>
      <c r="F3270" s="2">
        <v>4155.8500000000004</v>
      </c>
      <c r="G3270" s="3">
        <f t="shared" si="152"/>
        <v>6.5544182953762853E-3</v>
      </c>
      <c r="H3270" s="2">
        <f t="shared" si="153"/>
        <v>93.649999999999636</v>
      </c>
      <c r="I3270" s="3">
        <f t="shared" ref="I3270:I3333" si="154">H3270/D3270</f>
        <v>2.2234884908056942E-2</v>
      </c>
    </row>
    <row r="3271" spans="2:9" x14ac:dyDescent="0.25">
      <c r="B3271" s="1">
        <v>39958</v>
      </c>
      <c r="C3271" s="2">
        <v>4237.55</v>
      </c>
      <c r="D3271" s="2">
        <v>4238.1000000000004</v>
      </c>
      <c r="E3271" s="2">
        <v>4270.05</v>
      </c>
      <c r="F3271" s="2">
        <v>4205.1000000000004</v>
      </c>
      <c r="G3271" s="3">
        <f t="shared" ref="G3271:G3334" si="155">C3271/C3270-1</f>
        <v>-2.2413589713332627E-4</v>
      </c>
      <c r="H3271" s="2">
        <f t="shared" si="153"/>
        <v>64.949999999999818</v>
      </c>
      <c r="I3271" s="3">
        <f t="shared" si="154"/>
        <v>1.5325263679478968E-2</v>
      </c>
    </row>
    <row r="3272" spans="2:9" x14ac:dyDescent="0.25">
      <c r="B3272" s="1">
        <v>39959</v>
      </c>
      <c r="C3272" s="2">
        <v>4116.7</v>
      </c>
      <c r="D3272" s="2">
        <v>4239.55</v>
      </c>
      <c r="E3272" s="2">
        <v>4256.05</v>
      </c>
      <c r="F3272" s="2">
        <v>4092.25</v>
      </c>
      <c r="G3272" s="3">
        <f t="shared" si="155"/>
        <v>-2.8518837535840391E-2</v>
      </c>
      <c r="H3272" s="2">
        <f t="shared" si="153"/>
        <v>163.80000000000018</v>
      </c>
      <c r="I3272" s="3">
        <f t="shared" si="154"/>
        <v>3.8636176009246306E-2</v>
      </c>
    </row>
    <row r="3273" spans="2:9" x14ac:dyDescent="0.25">
      <c r="B3273" s="1">
        <v>39960</v>
      </c>
      <c r="C3273" s="2">
        <v>4276.05</v>
      </c>
      <c r="D3273" s="2">
        <v>4117.3</v>
      </c>
      <c r="E3273" s="2">
        <v>4286.45</v>
      </c>
      <c r="F3273" s="2">
        <v>4115.25</v>
      </c>
      <c r="G3273" s="3">
        <f t="shared" si="155"/>
        <v>3.8708188597663229E-2</v>
      </c>
      <c r="H3273" s="2">
        <f t="shared" si="153"/>
        <v>171.19999999999982</v>
      </c>
      <c r="I3273" s="3">
        <f t="shared" si="154"/>
        <v>4.1580647511718798E-2</v>
      </c>
    </row>
    <row r="3274" spans="2:9" x14ac:dyDescent="0.25">
      <c r="B3274" s="1">
        <v>39961</v>
      </c>
      <c r="C3274" s="2">
        <v>4337.1000000000004</v>
      </c>
      <c r="D3274" s="2">
        <v>4276.1499999999996</v>
      </c>
      <c r="E3274" s="2">
        <v>4354.8500000000004</v>
      </c>
      <c r="F3274" s="2">
        <v>4254.8500000000004</v>
      </c>
      <c r="G3274" s="3">
        <f t="shared" si="155"/>
        <v>1.4277195074893889E-2</v>
      </c>
      <c r="H3274" s="2">
        <f t="shared" si="153"/>
        <v>100</v>
      </c>
      <c r="I3274" s="3">
        <f t="shared" si="154"/>
        <v>2.3385522023315366E-2</v>
      </c>
    </row>
    <row r="3275" spans="2:9" x14ac:dyDescent="0.25">
      <c r="B3275" s="1">
        <v>39962</v>
      </c>
      <c r="C3275" s="2">
        <v>4448.95</v>
      </c>
      <c r="D3275" s="2">
        <v>4340.75</v>
      </c>
      <c r="E3275" s="2">
        <v>4488.05</v>
      </c>
      <c r="F3275" s="2">
        <v>4340.75</v>
      </c>
      <c r="G3275" s="3">
        <f t="shared" si="155"/>
        <v>2.5789121763390099E-2</v>
      </c>
      <c r="H3275" s="2">
        <f t="shared" si="153"/>
        <v>147.30000000000018</v>
      </c>
      <c r="I3275" s="3">
        <f t="shared" si="154"/>
        <v>3.3934227955998431E-2</v>
      </c>
    </row>
    <row r="3276" spans="2:9" x14ac:dyDescent="0.25">
      <c r="B3276" s="1">
        <v>39965</v>
      </c>
      <c r="C3276" s="2">
        <v>4529.8999999999996</v>
      </c>
      <c r="D3276" s="2">
        <v>4450.3999999999996</v>
      </c>
      <c r="E3276" s="2">
        <v>4545.3999999999996</v>
      </c>
      <c r="F3276" s="2">
        <v>4450.3999999999996</v>
      </c>
      <c r="G3276" s="3">
        <f t="shared" si="155"/>
        <v>1.8195304510052912E-2</v>
      </c>
      <c r="H3276" s="2">
        <f t="shared" si="153"/>
        <v>95</v>
      </c>
      <c r="I3276" s="3">
        <f t="shared" si="154"/>
        <v>2.1346395829588354E-2</v>
      </c>
    </row>
    <row r="3277" spans="2:9" x14ac:dyDescent="0.25">
      <c r="B3277" s="1">
        <v>39966</v>
      </c>
      <c r="C3277" s="2">
        <v>4525.25</v>
      </c>
      <c r="D3277" s="2">
        <v>4530.45</v>
      </c>
      <c r="E3277" s="2">
        <v>4586.3999999999996</v>
      </c>
      <c r="F3277" s="2">
        <v>4451.3</v>
      </c>
      <c r="G3277" s="3">
        <f t="shared" si="155"/>
        <v>-1.0265127265501883E-3</v>
      </c>
      <c r="H3277" s="2">
        <f t="shared" si="153"/>
        <v>135.09999999999945</v>
      </c>
      <c r="I3277" s="3">
        <f t="shared" si="154"/>
        <v>2.9820437263406385E-2</v>
      </c>
    </row>
    <row r="3278" spans="2:9" x14ac:dyDescent="0.25">
      <c r="B3278" s="1">
        <v>39967</v>
      </c>
      <c r="C3278" s="2">
        <v>4530.7</v>
      </c>
      <c r="D3278" s="2">
        <v>4525.5</v>
      </c>
      <c r="E3278" s="2">
        <v>4574.8999999999996</v>
      </c>
      <c r="F3278" s="2">
        <v>4478.6000000000004</v>
      </c>
      <c r="G3278" s="3">
        <f t="shared" si="155"/>
        <v>1.2043533506436166E-3</v>
      </c>
      <c r="H3278" s="2">
        <f t="shared" si="153"/>
        <v>96.299999999999272</v>
      </c>
      <c r="I3278" s="3">
        <f t="shared" si="154"/>
        <v>2.127941663904525E-2</v>
      </c>
    </row>
    <row r="3279" spans="2:9" x14ac:dyDescent="0.25">
      <c r="B3279" s="1">
        <v>39968</v>
      </c>
      <c r="C3279" s="2">
        <v>4572.6499999999996</v>
      </c>
      <c r="D3279" s="2">
        <v>4530.3</v>
      </c>
      <c r="E3279" s="2">
        <v>4582.2</v>
      </c>
      <c r="F3279" s="2">
        <v>4453.45</v>
      </c>
      <c r="G3279" s="3">
        <f t="shared" si="155"/>
        <v>9.2590548921800409E-3</v>
      </c>
      <c r="H3279" s="2">
        <f t="shared" si="153"/>
        <v>128.75</v>
      </c>
      <c r="I3279" s="3">
        <f t="shared" si="154"/>
        <v>2.8419751451338762E-2</v>
      </c>
    </row>
    <row r="3280" spans="2:9" x14ac:dyDescent="0.25">
      <c r="B3280" s="1">
        <v>39969</v>
      </c>
      <c r="C3280" s="2">
        <v>4586.8999999999996</v>
      </c>
      <c r="D3280" s="2">
        <v>4573.3</v>
      </c>
      <c r="E3280" s="2">
        <v>4636.8500000000004</v>
      </c>
      <c r="F3280" s="2">
        <v>4561.95</v>
      </c>
      <c r="G3280" s="3">
        <f t="shared" si="155"/>
        <v>3.116354848938796E-3</v>
      </c>
      <c r="H3280" s="2">
        <f t="shared" si="153"/>
        <v>74.900000000000546</v>
      </c>
      <c r="I3280" s="3">
        <f t="shared" si="154"/>
        <v>1.6377670391183728E-2</v>
      </c>
    </row>
    <row r="3281" spans="2:9" x14ac:dyDescent="0.25">
      <c r="B3281" s="1">
        <v>39972</v>
      </c>
      <c r="C3281" s="2">
        <v>4429.8999999999996</v>
      </c>
      <c r="D3281" s="2">
        <v>4582.3500000000004</v>
      </c>
      <c r="E3281" s="2">
        <v>4611.3999999999996</v>
      </c>
      <c r="F3281" s="2">
        <v>4404.6499999999996</v>
      </c>
      <c r="G3281" s="3">
        <f t="shared" si="155"/>
        <v>-3.4227909917373345E-2</v>
      </c>
      <c r="H3281" s="2">
        <f t="shared" si="153"/>
        <v>206.75</v>
      </c>
      <c r="I3281" s="3">
        <f t="shared" si="154"/>
        <v>4.511877093630997E-2</v>
      </c>
    </row>
    <row r="3282" spans="2:9" x14ac:dyDescent="0.25">
      <c r="B3282" s="1">
        <v>39973</v>
      </c>
      <c r="C3282" s="2">
        <v>4550.95</v>
      </c>
      <c r="D3282" s="2">
        <v>4427.75</v>
      </c>
      <c r="E3282" s="2">
        <v>4562.45</v>
      </c>
      <c r="F3282" s="2">
        <v>4365.1000000000004</v>
      </c>
      <c r="G3282" s="3">
        <f t="shared" si="155"/>
        <v>2.7325673265762296E-2</v>
      </c>
      <c r="H3282" s="2">
        <f t="shared" si="153"/>
        <v>197.34999999999945</v>
      </c>
      <c r="I3282" s="3">
        <f t="shared" si="154"/>
        <v>4.4571170459036635E-2</v>
      </c>
    </row>
    <row r="3283" spans="2:9" x14ac:dyDescent="0.25">
      <c r="B3283" s="1">
        <v>39974</v>
      </c>
      <c r="C3283" s="2">
        <v>4655.25</v>
      </c>
      <c r="D3283" s="2">
        <v>4551.7</v>
      </c>
      <c r="E3283" s="2">
        <v>4688.95</v>
      </c>
      <c r="F3283" s="2">
        <v>4551.7</v>
      </c>
      <c r="G3283" s="3">
        <f t="shared" si="155"/>
        <v>2.2918291785231748E-2</v>
      </c>
      <c r="H3283" s="2">
        <f t="shared" si="153"/>
        <v>137.25</v>
      </c>
      <c r="I3283" s="3">
        <f t="shared" si="154"/>
        <v>3.0153568996199222E-2</v>
      </c>
    </row>
    <row r="3284" spans="2:9" x14ac:dyDescent="0.25">
      <c r="B3284" s="1">
        <v>39975</v>
      </c>
      <c r="C3284" s="2">
        <v>4637.7</v>
      </c>
      <c r="D3284" s="2">
        <v>4657.3999999999996</v>
      </c>
      <c r="E3284" s="2">
        <v>4679.55</v>
      </c>
      <c r="F3284" s="2">
        <v>4586.1499999999996</v>
      </c>
      <c r="G3284" s="3">
        <f t="shared" si="155"/>
        <v>-3.7699371677138993E-3</v>
      </c>
      <c r="H3284" s="2">
        <f t="shared" si="153"/>
        <v>93.400000000000546</v>
      </c>
      <c r="I3284" s="3">
        <f t="shared" si="154"/>
        <v>2.0054107441920502E-2</v>
      </c>
    </row>
    <row r="3285" spans="2:9" x14ac:dyDescent="0.25">
      <c r="B3285" s="1">
        <v>39976</v>
      </c>
      <c r="C3285" s="2">
        <v>4583.3999999999996</v>
      </c>
      <c r="D3285" s="2">
        <v>4637.55</v>
      </c>
      <c r="E3285" s="2">
        <v>4693.2</v>
      </c>
      <c r="F3285" s="2">
        <v>4566.1499999999996</v>
      </c>
      <c r="G3285" s="3">
        <f t="shared" si="155"/>
        <v>-1.1708389934665941E-2</v>
      </c>
      <c r="H3285" s="2">
        <f t="shared" si="153"/>
        <v>127.05000000000018</v>
      </c>
      <c r="I3285" s="3">
        <f t="shared" si="154"/>
        <v>2.7395931041174798E-2</v>
      </c>
    </row>
    <row r="3286" spans="2:9" x14ac:dyDescent="0.25">
      <c r="B3286" s="1">
        <v>39979</v>
      </c>
      <c r="C3286" s="2">
        <v>4484</v>
      </c>
      <c r="D3286" s="2">
        <v>4584.6499999999996</v>
      </c>
      <c r="E3286" s="2">
        <v>4601.05</v>
      </c>
      <c r="F3286" s="2">
        <v>4469.6000000000004</v>
      </c>
      <c r="G3286" s="3">
        <f t="shared" si="155"/>
        <v>-2.1686957280621311E-2</v>
      </c>
      <c r="H3286" s="2">
        <f t="shared" si="153"/>
        <v>131.44999999999982</v>
      </c>
      <c r="I3286" s="3">
        <f t="shared" si="154"/>
        <v>2.8671763384336826E-2</v>
      </c>
    </row>
    <row r="3287" spans="2:9" x14ac:dyDescent="0.25">
      <c r="B3287" s="1">
        <v>39980</v>
      </c>
      <c r="C3287" s="2">
        <v>4517.8</v>
      </c>
      <c r="D3287" s="2">
        <v>4478.1000000000004</v>
      </c>
      <c r="E3287" s="2">
        <v>4537.95</v>
      </c>
      <c r="F3287" s="2">
        <v>4405.95</v>
      </c>
      <c r="G3287" s="3">
        <f t="shared" si="155"/>
        <v>7.5379125780552503E-3</v>
      </c>
      <c r="H3287" s="2">
        <f t="shared" si="153"/>
        <v>132</v>
      </c>
      <c r="I3287" s="3">
        <f t="shared" si="154"/>
        <v>2.9476787030213704E-2</v>
      </c>
    </row>
    <row r="3288" spans="2:9" x14ac:dyDescent="0.25">
      <c r="B3288" s="1">
        <v>39981</v>
      </c>
      <c r="C3288" s="2">
        <v>4356.1499999999996</v>
      </c>
      <c r="D3288" s="2">
        <v>4515.3500000000004</v>
      </c>
      <c r="E3288" s="2">
        <v>4517.8</v>
      </c>
      <c r="F3288" s="2">
        <v>4332.8</v>
      </c>
      <c r="G3288" s="3">
        <f t="shared" si="155"/>
        <v>-3.5780689716233716E-2</v>
      </c>
      <c r="H3288" s="2">
        <f t="shared" si="153"/>
        <v>185</v>
      </c>
      <c r="I3288" s="3">
        <f t="shared" si="154"/>
        <v>4.0971353272725254E-2</v>
      </c>
    </row>
    <row r="3289" spans="2:9" x14ac:dyDescent="0.25">
      <c r="B3289" s="1">
        <v>39982</v>
      </c>
      <c r="C3289" s="2">
        <v>4251.3999999999996</v>
      </c>
      <c r="D3289" s="2">
        <v>4352.95</v>
      </c>
      <c r="E3289" s="2">
        <v>4375.3</v>
      </c>
      <c r="F3289" s="2">
        <v>4222.1499999999996</v>
      </c>
      <c r="G3289" s="3">
        <f t="shared" si="155"/>
        <v>-2.404646304649749E-2</v>
      </c>
      <c r="H3289" s="2">
        <f t="shared" si="153"/>
        <v>153.15000000000055</v>
      </c>
      <c r="I3289" s="3">
        <f t="shared" si="154"/>
        <v>3.5183036791141764E-2</v>
      </c>
    </row>
    <row r="3290" spans="2:9" x14ac:dyDescent="0.25">
      <c r="B3290" s="1">
        <v>39983</v>
      </c>
      <c r="C3290" s="2">
        <v>4313.6000000000004</v>
      </c>
      <c r="D3290" s="2">
        <v>4251.1000000000004</v>
      </c>
      <c r="E3290" s="2">
        <v>4326.2</v>
      </c>
      <c r="F3290" s="2">
        <v>4206.7</v>
      </c>
      <c r="G3290" s="3">
        <f t="shared" si="155"/>
        <v>1.4630474667168603E-2</v>
      </c>
      <c r="H3290" s="2">
        <f t="shared" si="153"/>
        <v>119.5</v>
      </c>
      <c r="I3290" s="3">
        <f t="shared" si="154"/>
        <v>2.8110371433276091E-2</v>
      </c>
    </row>
    <row r="3291" spans="2:9" x14ac:dyDescent="0.25">
      <c r="B3291" s="1">
        <v>39986</v>
      </c>
      <c r="C3291" s="2">
        <v>4235.25</v>
      </c>
      <c r="D3291" s="2">
        <v>4314.2</v>
      </c>
      <c r="E3291" s="2">
        <v>4352.25</v>
      </c>
      <c r="F3291" s="2">
        <v>4221.8999999999996</v>
      </c>
      <c r="G3291" s="3">
        <f t="shared" si="155"/>
        <v>-1.8163482937685549E-2</v>
      </c>
      <c r="H3291" s="2">
        <f t="shared" si="153"/>
        <v>130.35000000000036</v>
      </c>
      <c r="I3291" s="3">
        <f t="shared" si="154"/>
        <v>3.0214176440591621E-2</v>
      </c>
    </row>
    <row r="3292" spans="2:9" x14ac:dyDescent="0.25">
      <c r="B3292" s="1">
        <v>39987</v>
      </c>
      <c r="C3292" s="2">
        <v>4247</v>
      </c>
      <c r="D3292" s="2">
        <v>4223.3</v>
      </c>
      <c r="E3292" s="2">
        <v>4267.45</v>
      </c>
      <c r="F3292" s="2">
        <v>4143.25</v>
      </c>
      <c r="G3292" s="3">
        <f t="shared" si="155"/>
        <v>2.77433445487274E-3</v>
      </c>
      <c r="H3292" s="2">
        <f t="shared" si="153"/>
        <v>124.19999999999982</v>
      </c>
      <c r="I3292" s="3">
        <f t="shared" si="154"/>
        <v>2.9408282622593662E-2</v>
      </c>
    </row>
    <row r="3293" spans="2:9" x14ac:dyDescent="0.25">
      <c r="B3293" s="1">
        <v>39988</v>
      </c>
      <c r="C3293" s="2">
        <v>4292.95</v>
      </c>
      <c r="D3293" s="2">
        <v>4247.3</v>
      </c>
      <c r="E3293" s="2">
        <v>4307</v>
      </c>
      <c r="F3293" s="2">
        <v>4218.25</v>
      </c>
      <c r="G3293" s="3">
        <f t="shared" si="155"/>
        <v>1.0819401930774575E-2</v>
      </c>
      <c r="H3293" s="2">
        <f t="shared" si="153"/>
        <v>88.75</v>
      </c>
      <c r="I3293" s="3">
        <f t="shared" si="154"/>
        <v>2.089562781060909E-2</v>
      </c>
    </row>
    <row r="3294" spans="2:9" x14ac:dyDescent="0.25">
      <c r="B3294" s="1">
        <v>39989</v>
      </c>
      <c r="C3294" s="2">
        <v>4241.8500000000004</v>
      </c>
      <c r="D3294" s="2">
        <v>4293.8500000000004</v>
      </c>
      <c r="E3294" s="2">
        <v>4337.95</v>
      </c>
      <c r="F3294" s="2">
        <v>4221.1499999999996</v>
      </c>
      <c r="G3294" s="3">
        <f t="shared" si="155"/>
        <v>-1.1903236702034636E-2</v>
      </c>
      <c r="H3294" s="2">
        <f t="shared" si="153"/>
        <v>116.80000000000018</v>
      </c>
      <c r="I3294" s="3">
        <f t="shared" si="154"/>
        <v>2.7201695448140988E-2</v>
      </c>
    </row>
    <row r="3295" spans="2:9" x14ac:dyDescent="0.25">
      <c r="B3295" s="1">
        <v>39990</v>
      </c>
      <c r="C3295" s="2">
        <v>4375.5</v>
      </c>
      <c r="D3295" s="2">
        <v>4243.95</v>
      </c>
      <c r="E3295" s="2">
        <v>4383.75</v>
      </c>
      <c r="F3295" s="2">
        <v>4243.95</v>
      </c>
      <c r="G3295" s="3">
        <f t="shared" si="155"/>
        <v>3.150747904805673E-2</v>
      </c>
      <c r="H3295" s="2">
        <f t="shared" si="153"/>
        <v>139.80000000000018</v>
      </c>
      <c r="I3295" s="3">
        <f t="shared" si="154"/>
        <v>3.2941010143851882E-2</v>
      </c>
    </row>
    <row r="3296" spans="2:9" x14ac:dyDescent="0.25">
      <c r="B3296" s="1">
        <v>39993</v>
      </c>
      <c r="C3296" s="2">
        <v>4390.95</v>
      </c>
      <c r="D3296" s="2">
        <v>4375.3999999999996</v>
      </c>
      <c r="E3296" s="2">
        <v>4439.95</v>
      </c>
      <c r="F3296" s="2">
        <v>4350.8999999999996</v>
      </c>
      <c r="G3296" s="3">
        <f t="shared" si="155"/>
        <v>3.5310250257112319E-3</v>
      </c>
      <c r="H3296" s="2">
        <f t="shared" si="153"/>
        <v>89.050000000000182</v>
      </c>
      <c r="I3296" s="3">
        <f t="shared" si="154"/>
        <v>2.0352424921150108E-2</v>
      </c>
    </row>
    <row r="3297" spans="2:9" x14ac:dyDescent="0.25">
      <c r="B3297" s="1">
        <v>39994</v>
      </c>
      <c r="C3297" s="2">
        <v>4291.1000000000004</v>
      </c>
      <c r="D3297" s="2">
        <v>4391.5</v>
      </c>
      <c r="E3297" s="2">
        <v>4426.75</v>
      </c>
      <c r="F3297" s="2">
        <v>4267.3500000000004</v>
      </c>
      <c r="G3297" s="3">
        <f t="shared" si="155"/>
        <v>-2.2739953768546539E-2</v>
      </c>
      <c r="H3297" s="2">
        <f t="shared" si="153"/>
        <v>159.39999999999964</v>
      </c>
      <c r="I3297" s="3">
        <f t="shared" si="154"/>
        <v>3.6297392690424604E-2</v>
      </c>
    </row>
    <row r="3298" spans="2:9" x14ac:dyDescent="0.25">
      <c r="B3298" s="1">
        <v>39995</v>
      </c>
      <c r="C3298" s="2">
        <v>4340.8999999999996</v>
      </c>
      <c r="D3298" s="2">
        <v>4292.3</v>
      </c>
      <c r="E3298" s="2">
        <v>4362.3</v>
      </c>
      <c r="F3298" s="2">
        <v>4249.7</v>
      </c>
      <c r="G3298" s="3">
        <f t="shared" si="155"/>
        <v>1.1605415860734825E-2</v>
      </c>
      <c r="H3298" s="2">
        <f t="shared" si="153"/>
        <v>112.60000000000036</v>
      </c>
      <c r="I3298" s="3">
        <f t="shared" si="154"/>
        <v>2.6233021922978439E-2</v>
      </c>
    </row>
    <row r="3299" spans="2:9" x14ac:dyDescent="0.25">
      <c r="B3299" s="1">
        <v>39996</v>
      </c>
      <c r="C3299" s="2">
        <v>4348.8500000000004</v>
      </c>
      <c r="D3299" s="2">
        <v>4373.5</v>
      </c>
      <c r="E3299" s="2">
        <v>4383.6499999999996</v>
      </c>
      <c r="F3299" s="2">
        <v>4288.75</v>
      </c>
      <c r="G3299" s="3">
        <f t="shared" si="155"/>
        <v>1.8314174479947543E-3</v>
      </c>
      <c r="H3299" s="2">
        <f t="shared" si="153"/>
        <v>94.899999999999636</v>
      </c>
      <c r="I3299" s="3">
        <f t="shared" si="154"/>
        <v>2.1698868183377074E-2</v>
      </c>
    </row>
    <row r="3300" spans="2:9" x14ac:dyDescent="0.25">
      <c r="B3300" s="1">
        <v>39997</v>
      </c>
      <c r="C3300" s="2">
        <v>4424.25</v>
      </c>
      <c r="D3300" s="2">
        <v>4347.3</v>
      </c>
      <c r="E3300" s="2">
        <v>4434.45</v>
      </c>
      <c r="F3300" s="2">
        <v>4298.95</v>
      </c>
      <c r="G3300" s="3">
        <f t="shared" si="155"/>
        <v>1.7337916920565188E-2</v>
      </c>
      <c r="H3300" s="2">
        <f t="shared" si="153"/>
        <v>135.5</v>
      </c>
      <c r="I3300" s="3">
        <f t="shared" si="154"/>
        <v>3.116877142134198E-2</v>
      </c>
    </row>
    <row r="3301" spans="2:9" x14ac:dyDescent="0.25">
      <c r="B3301" s="1">
        <v>40000</v>
      </c>
      <c r="C3301" s="2">
        <v>4165.7</v>
      </c>
      <c r="D3301" s="2">
        <v>4429.6000000000004</v>
      </c>
      <c r="E3301" s="2">
        <v>4479.8</v>
      </c>
      <c r="F3301" s="2">
        <v>4133.7</v>
      </c>
      <c r="G3301" s="3">
        <f t="shared" si="155"/>
        <v>-5.8439283494377658E-2</v>
      </c>
      <c r="H3301" s="2">
        <f t="shared" si="153"/>
        <v>346.10000000000036</v>
      </c>
      <c r="I3301" s="3">
        <f t="shared" si="154"/>
        <v>7.8133465775690886E-2</v>
      </c>
    </row>
    <row r="3302" spans="2:9" x14ac:dyDescent="0.25">
      <c r="B3302" s="1">
        <v>40001</v>
      </c>
      <c r="C3302" s="2">
        <v>4202.1499999999996</v>
      </c>
      <c r="D3302" s="2">
        <v>4166</v>
      </c>
      <c r="E3302" s="2">
        <v>4231.8</v>
      </c>
      <c r="F3302" s="2">
        <v>4155.5</v>
      </c>
      <c r="G3302" s="3">
        <f t="shared" si="155"/>
        <v>8.7500300069616177E-3</v>
      </c>
      <c r="H3302" s="2">
        <f t="shared" si="153"/>
        <v>76.300000000000182</v>
      </c>
      <c r="I3302" s="3">
        <f t="shared" si="154"/>
        <v>1.8314930388862262E-2</v>
      </c>
    </row>
    <row r="3303" spans="2:9" x14ac:dyDescent="0.25">
      <c r="B3303" s="1">
        <v>40002</v>
      </c>
      <c r="C3303" s="2">
        <v>4078.9</v>
      </c>
      <c r="D3303" s="2">
        <v>4201.8500000000004</v>
      </c>
      <c r="E3303" s="2">
        <v>4201.8500000000004</v>
      </c>
      <c r="F3303" s="2">
        <v>4061.1</v>
      </c>
      <c r="G3303" s="3">
        <f t="shared" si="155"/>
        <v>-2.9330223813999856E-2</v>
      </c>
      <c r="H3303" s="2">
        <f t="shared" si="153"/>
        <v>140.75000000000045</v>
      </c>
      <c r="I3303" s="3">
        <f t="shared" si="154"/>
        <v>3.3497150064852495E-2</v>
      </c>
    </row>
    <row r="3304" spans="2:9" x14ac:dyDescent="0.25">
      <c r="B3304" s="1">
        <v>40003</v>
      </c>
      <c r="C3304" s="2">
        <v>4080.95</v>
      </c>
      <c r="D3304" s="2">
        <v>4078.75</v>
      </c>
      <c r="E3304" s="2">
        <v>4114.8999999999996</v>
      </c>
      <c r="F3304" s="2">
        <v>4039.85</v>
      </c>
      <c r="G3304" s="3">
        <f t="shared" si="155"/>
        <v>5.0258648164946962E-4</v>
      </c>
      <c r="H3304" s="2">
        <f t="shared" si="153"/>
        <v>75.049999999999727</v>
      </c>
      <c r="I3304" s="3">
        <f t="shared" si="154"/>
        <v>1.8400245173153473E-2</v>
      </c>
    </row>
    <row r="3305" spans="2:9" x14ac:dyDescent="0.25">
      <c r="B3305" s="1">
        <v>40004</v>
      </c>
      <c r="C3305" s="2">
        <v>4003.9</v>
      </c>
      <c r="D3305" s="2">
        <v>4081.4</v>
      </c>
      <c r="E3305" s="2">
        <v>4129.95</v>
      </c>
      <c r="F3305" s="2">
        <v>3976.8</v>
      </c>
      <c r="G3305" s="3">
        <f t="shared" si="155"/>
        <v>-1.8880407748195771E-2</v>
      </c>
      <c r="H3305" s="2">
        <f t="shared" si="153"/>
        <v>153.14999999999964</v>
      </c>
      <c r="I3305" s="3">
        <f t="shared" si="154"/>
        <v>3.7523888861665022E-2</v>
      </c>
    </row>
    <row r="3306" spans="2:9" x14ac:dyDescent="0.25">
      <c r="B3306" s="1">
        <v>40007</v>
      </c>
      <c r="C3306" s="2">
        <v>3974.05</v>
      </c>
      <c r="D3306" s="2">
        <v>4003.4</v>
      </c>
      <c r="E3306" s="2">
        <v>4003.4</v>
      </c>
      <c r="F3306" s="2">
        <v>3918.75</v>
      </c>
      <c r="G3306" s="3">
        <f t="shared" si="155"/>
        <v>-7.4552311496290935E-3</v>
      </c>
      <c r="H3306" s="2">
        <f t="shared" si="153"/>
        <v>84.650000000000091</v>
      </c>
      <c r="I3306" s="3">
        <f t="shared" si="154"/>
        <v>2.1144527151920889E-2</v>
      </c>
    </row>
    <row r="3307" spans="2:9" x14ac:dyDescent="0.25">
      <c r="B3307" s="1">
        <v>40008</v>
      </c>
      <c r="C3307" s="2">
        <v>4111.3999999999996</v>
      </c>
      <c r="D3307" s="2">
        <v>3974.1</v>
      </c>
      <c r="E3307" s="2">
        <v>4128.8999999999996</v>
      </c>
      <c r="F3307" s="2">
        <v>3974.1</v>
      </c>
      <c r="G3307" s="3">
        <f t="shared" si="155"/>
        <v>3.4561719153004988E-2</v>
      </c>
      <c r="H3307" s="2">
        <f t="shared" si="153"/>
        <v>154.79999999999973</v>
      </c>
      <c r="I3307" s="3">
        <f t="shared" si="154"/>
        <v>3.8952215595983927E-2</v>
      </c>
    </row>
    <row r="3308" spans="2:9" x14ac:dyDescent="0.25">
      <c r="B3308" s="1">
        <v>40009</v>
      </c>
      <c r="C3308" s="2">
        <v>4233.5</v>
      </c>
      <c r="D3308" s="2">
        <v>4120.8</v>
      </c>
      <c r="E3308" s="2">
        <v>4249.55</v>
      </c>
      <c r="F3308" s="2">
        <v>4118.75</v>
      </c>
      <c r="G3308" s="3">
        <f t="shared" si="155"/>
        <v>2.9697913119618669E-2</v>
      </c>
      <c r="H3308" s="2">
        <f t="shared" si="153"/>
        <v>130.80000000000018</v>
      </c>
      <c r="I3308" s="3">
        <f t="shared" si="154"/>
        <v>3.1741409435061194E-2</v>
      </c>
    </row>
    <row r="3309" spans="2:9" x14ac:dyDescent="0.25">
      <c r="B3309" s="1">
        <v>40010</v>
      </c>
      <c r="C3309" s="2">
        <v>4231.3999999999996</v>
      </c>
      <c r="D3309" s="2">
        <v>4223.5</v>
      </c>
      <c r="E3309" s="2">
        <v>4305</v>
      </c>
      <c r="F3309" s="2">
        <v>4205.5</v>
      </c>
      <c r="G3309" s="3">
        <f t="shared" si="155"/>
        <v>-4.9604346285592182E-4</v>
      </c>
      <c r="H3309" s="2">
        <f t="shared" si="153"/>
        <v>99.5</v>
      </c>
      <c r="I3309" s="3">
        <f t="shared" si="154"/>
        <v>2.355865987924707E-2</v>
      </c>
    </row>
    <row r="3310" spans="2:9" x14ac:dyDescent="0.25">
      <c r="B3310" s="1">
        <v>40011</v>
      </c>
      <c r="C3310" s="2">
        <v>4374.95</v>
      </c>
      <c r="D3310" s="2">
        <v>4231.45</v>
      </c>
      <c r="E3310" s="2">
        <v>4390.3999999999996</v>
      </c>
      <c r="F3310" s="2">
        <v>4230.1499999999996</v>
      </c>
      <c r="G3310" s="3">
        <f t="shared" si="155"/>
        <v>3.3924942099541555E-2</v>
      </c>
      <c r="H3310" s="2">
        <f t="shared" si="153"/>
        <v>160.25</v>
      </c>
      <c r="I3310" s="3">
        <f t="shared" si="154"/>
        <v>3.7871178910302616E-2</v>
      </c>
    </row>
    <row r="3311" spans="2:9" x14ac:dyDescent="0.25">
      <c r="B3311" s="1">
        <v>40014</v>
      </c>
      <c r="C3311" s="2">
        <v>4502.25</v>
      </c>
      <c r="D3311" s="2">
        <v>4377.8999999999996</v>
      </c>
      <c r="E3311" s="2">
        <v>4510.3</v>
      </c>
      <c r="F3311" s="2">
        <v>4377.8999999999996</v>
      </c>
      <c r="G3311" s="3">
        <f t="shared" si="155"/>
        <v>2.9097475399718853E-2</v>
      </c>
      <c r="H3311" s="2">
        <f t="shared" si="153"/>
        <v>132.40000000000055</v>
      </c>
      <c r="I3311" s="3">
        <f t="shared" si="154"/>
        <v>3.0242810479910585E-2</v>
      </c>
    </row>
    <row r="3312" spans="2:9" x14ac:dyDescent="0.25">
      <c r="B3312" s="1">
        <v>40015</v>
      </c>
      <c r="C3312" s="2">
        <v>4469.1000000000004</v>
      </c>
      <c r="D3312" s="2">
        <v>4501.5</v>
      </c>
      <c r="E3312" s="2">
        <v>4524</v>
      </c>
      <c r="F3312" s="2">
        <v>4436.6000000000004</v>
      </c>
      <c r="G3312" s="3">
        <f t="shared" si="155"/>
        <v>-7.3629851740795171E-3</v>
      </c>
      <c r="H3312" s="2">
        <f t="shared" si="153"/>
        <v>87.399999999999636</v>
      </c>
      <c r="I3312" s="3">
        <f t="shared" si="154"/>
        <v>1.9415750305453658E-2</v>
      </c>
    </row>
    <row r="3313" spans="2:9" x14ac:dyDescent="0.25">
      <c r="B3313" s="1">
        <v>40016</v>
      </c>
      <c r="C3313" s="2">
        <v>4398.8999999999996</v>
      </c>
      <c r="D3313" s="2">
        <v>4469.3</v>
      </c>
      <c r="E3313" s="2">
        <v>4557.95</v>
      </c>
      <c r="F3313" s="2">
        <v>4380.45</v>
      </c>
      <c r="G3313" s="3">
        <f t="shared" si="155"/>
        <v>-1.5707860643082716E-2</v>
      </c>
      <c r="H3313" s="2">
        <f t="shared" si="153"/>
        <v>177.5</v>
      </c>
      <c r="I3313" s="3">
        <f t="shared" si="154"/>
        <v>3.9715391672073927E-2</v>
      </c>
    </row>
    <row r="3314" spans="2:9" x14ac:dyDescent="0.25">
      <c r="B3314" s="1">
        <v>40017</v>
      </c>
      <c r="C3314" s="2">
        <v>4523.75</v>
      </c>
      <c r="D3314" s="2">
        <v>4409.7</v>
      </c>
      <c r="E3314" s="2">
        <v>4532.3999999999996</v>
      </c>
      <c r="F3314" s="2">
        <v>4405.95</v>
      </c>
      <c r="G3314" s="3">
        <f t="shared" si="155"/>
        <v>2.8382095523881157E-2</v>
      </c>
      <c r="H3314" s="2">
        <f t="shared" si="153"/>
        <v>126.44999999999982</v>
      </c>
      <c r="I3314" s="3">
        <f t="shared" si="154"/>
        <v>2.8675420096605172E-2</v>
      </c>
    </row>
    <row r="3315" spans="2:9" x14ac:dyDescent="0.25">
      <c r="B3315" s="1">
        <v>40018</v>
      </c>
      <c r="C3315" s="2">
        <v>4568.55</v>
      </c>
      <c r="D3315" s="2">
        <v>4524.8</v>
      </c>
      <c r="E3315" s="2">
        <v>4578.75</v>
      </c>
      <c r="F3315" s="2">
        <v>4504.8500000000004</v>
      </c>
      <c r="G3315" s="3">
        <f t="shared" si="155"/>
        <v>9.9032882011604872E-3</v>
      </c>
      <c r="H3315" s="2">
        <f t="shared" si="153"/>
        <v>73.899999999999636</v>
      </c>
      <c r="I3315" s="3">
        <f t="shared" si="154"/>
        <v>1.6332213578500628E-2</v>
      </c>
    </row>
    <row r="3316" spans="2:9" x14ac:dyDescent="0.25">
      <c r="B3316" s="1">
        <v>40021</v>
      </c>
      <c r="C3316" s="2">
        <v>4572.3</v>
      </c>
      <c r="D3316" s="2">
        <v>4568.6499999999996</v>
      </c>
      <c r="E3316" s="2">
        <v>4596.75</v>
      </c>
      <c r="F3316" s="2">
        <v>4528.5</v>
      </c>
      <c r="G3316" s="3">
        <f t="shared" si="155"/>
        <v>8.2082936599148226E-4</v>
      </c>
      <c r="H3316" s="2">
        <f t="shared" si="153"/>
        <v>68.25</v>
      </c>
      <c r="I3316" s="3">
        <f t="shared" si="154"/>
        <v>1.4938767469602619E-2</v>
      </c>
    </row>
    <row r="3317" spans="2:9" x14ac:dyDescent="0.25">
      <c r="B3317" s="1">
        <v>40022</v>
      </c>
      <c r="C3317" s="2">
        <v>4564.1000000000004</v>
      </c>
      <c r="D3317" s="2">
        <v>4572.8</v>
      </c>
      <c r="E3317" s="2">
        <v>4599.8999999999996</v>
      </c>
      <c r="F3317" s="2">
        <v>4529.1499999999996</v>
      </c>
      <c r="G3317" s="3">
        <f t="shared" si="155"/>
        <v>-1.793408131574914E-3</v>
      </c>
      <c r="H3317" s="2">
        <f t="shared" si="153"/>
        <v>70.75</v>
      </c>
      <c r="I3317" s="3">
        <f t="shared" si="154"/>
        <v>1.5471920923722883E-2</v>
      </c>
    </row>
    <row r="3318" spans="2:9" x14ac:dyDescent="0.25">
      <c r="B3318" s="1">
        <v>40023</v>
      </c>
      <c r="C3318" s="2">
        <v>4513.5</v>
      </c>
      <c r="D3318" s="2">
        <v>4565.8</v>
      </c>
      <c r="E3318" s="2">
        <v>4573.8500000000004</v>
      </c>
      <c r="F3318" s="2">
        <v>4420.8</v>
      </c>
      <c r="G3318" s="3">
        <f t="shared" si="155"/>
        <v>-1.1086523082316391E-2</v>
      </c>
      <c r="H3318" s="2">
        <f t="shared" si="153"/>
        <v>153.05000000000018</v>
      </c>
      <c r="I3318" s="3">
        <f t="shared" si="154"/>
        <v>3.3520960182224405E-2</v>
      </c>
    </row>
    <row r="3319" spans="2:9" x14ac:dyDescent="0.25">
      <c r="B3319" s="1">
        <v>40024</v>
      </c>
      <c r="C3319" s="2">
        <v>4571.45</v>
      </c>
      <c r="D3319" s="2">
        <v>4513.1000000000004</v>
      </c>
      <c r="E3319" s="2">
        <v>4582.3500000000004</v>
      </c>
      <c r="F3319" s="2">
        <v>4474.5</v>
      </c>
      <c r="G3319" s="3">
        <f t="shared" si="155"/>
        <v>1.2839259997784458E-2</v>
      </c>
      <c r="H3319" s="2">
        <f t="shared" si="153"/>
        <v>107.85000000000036</v>
      </c>
      <c r="I3319" s="3">
        <f t="shared" si="154"/>
        <v>2.3897099554629934E-2</v>
      </c>
    </row>
    <row r="3320" spans="2:9" x14ac:dyDescent="0.25">
      <c r="B3320" s="1">
        <v>40025</v>
      </c>
      <c r="C3320" s="2">
        <v>4636.45</v>
      </c>
      <c r="D3320" s="2">
        <v>4571.6000000000004</v>
      </c>
      <c r="E3320" s="2">
        <v>4669.75</v>
      </c>
      <c r="F3320" s="2">
        <v>4571.6000000000004</v>
      </c>
      <c r="G3320" s="3">
        <f t="shared" si="155"/>
        <v>1.4218683349921823E-2</v>
      </c>
      <c r="H3320" s="2">
        <f t="shared" si="153"/>
        <v>98.149999999999636</v>
      </c>
      <c r="I3320" s="3">
        <f t="shared" si="154"/>
        <v>2.1469507393472663E-2</v>
      </c>
    </row>
    <row r="3321" spans="2:9" x14ac:dyDescent="0.25">
      <c r="B3321" s="1">
        <v>40028</v>
      </c>
      <c r="C3321" s="2">
        <v>4711.3999999999996</v>
      </c>
      <c r="D3321" s="2">
        <v>4633.8</v>
      </c>
      <c r="E3321" s="2">
        <v>4723.75</v>
      </c>
      <c r="F3321" s="2">
        <v>4617.75</v>
      </c>
      <c r="G3321" s="3">
        <f t="shared" si="155"/>
        <v>1.6165385154590206E-2</v>
      </c>
      <c r="H3321" s="2">
        <f t="shared" si="153"/>
        <v>106</v>
      </c>
      <c r="I3321" s="3">
        <f t="shared" si="154"/>
        <v>2.2875393845224221E-2</v>
      </c>
    </row>
    <row r="3322" spans="2:9" x14ac:dyDescent="0.25">
      <c r="B3322" s="1">
        <v>40029</v>
      </c>
      <c r="C3322" s="2">
        <v>4680.5</v>
      </c>
      <c r="D3322" s="2">
        <v>4706.25</v>
      </c>
      <c r="E3322" s="2">
        <v>4731.45</v>
      </c>
      <c r="F3322" s="2">
        <v>4642.6000000000004</v>
      </c>
      <c r="G3322" s="3">
        <f t="shared" si="155"/>
        <v>-6.5585600882963613E-3</v>
      </c>
      <c r="H3322" s="2">
        <f t="shared" si="153"/>
        <v>88.849999999999454</v>
      </c>
      <c r="I3322" s="3">
        <f t="shared" si="154"/>
        <v>1.8879150066400948E-2</v>
      </c>
    </row>
    <row r="3323" spans="2:9" x14ac:dyDescent="0.25">
      <c r="B3323" s="1">
        <v>40030</v>
      </c>
      <c r="C3323" s="2">
        <v>4694.1499999999996</v>
      </c>
      <c r="D3323" s="2">
        <v>4680.95</v>
      </c>
      <c r="E3323" s="2">
        <v>4717.2</v>
      </c>
      <c r="F3323" s="2">
        <v>4629.8500000000004</v>
      </c>
      <c r="G3323" s="3">
        <f t="shared" si="155"/>
        <v>2.9163550902679969E-3</v>
      </c>
      <c r="H3323" s="2">
        <f t="shared" si="153"/>
        <v>87.349999999999454</v>
      </c>
      <c r="I3323" s="3">
        <f t="shared" si="154"/>
        <v>1.8660741943408807E-2</v>
      </c>
    </row>
    <row r="3324" spans="2:9" x14ac:dyDescent="0.25">
      <c r="B3324" s="1">
        <v>40031</v>
      </c>
      <c r="C3324" s="2">
        <v>4585.5</v>
      </c>
      <c r="D3324" s="2">
        <v>4694.3500000000004</v>
      </c>
      <c r="E3324" s="2">
        <v>4718.1499999999996</v>
      </c>
      <c r="F3324" s="2">
        <v>4559.2</v>
      </c>
      <c r="G3324" s="3">
        <f t="shared" si="155"/>
        <v>-2.3145830448536908E-2</v>
      </c>
      <c r="H3324" s="2">
        <f t="shared" si="153"/>
        <v>158.94999999999982</v>
      </c>
      <c r="I3324" s="3">
        <f t="shared" si="154"/>
        <v>3.3859852801772304E-2</v>
      </c>
    </row>
    <row r="3325" spans="2:9" x14ac:dyDescent="0.25">
      <c r="B3325" s="1">
        <v>40032</v>
      </c>
      <c r="C3325" s="2">
        <v>4481.3999999999996</v>
      </c>
      <c r="D3325" s="2">
        <v>4591.8999999999996</v>
      </c>
      <c r="E3325" s="2">
        <v>4591.8999999999996</v>
      </c>
      <c r="F3325" s="2">
        <v>4463.95</v>
      </c>
      <c r="G3325" s="3">
        <f t="shared" si="155"/>
        <v>-2.2701995420346788E-2</v>
      </c>
      <c r="H3325" s="2">
        <f t="shared" si="153"/>
        <v>127.94999999999982</v>
      </c>
      <c r="I3325" s="3">
        <f t="shared" si="154"/>
        <v>2.7864282758770842E-2</v>
      </c>
    </row>
    <row r="3326" spans="2:9" x14ac:dyDescent="0.25">
      <c r="B3326" s="1">
        <v>40035</v>
      </c>
      <c r="C3326" s="2">
        <v>4437.6499999999996</v>
      </c>
      <c r="D3326" s="2">
        <v>4486.5</v>
      </c>
      <c r="E3326" s="2">
        <v>4562.5</v>
      </c>
      <c r="F3326" s="2">
        <v>4399.8500000000004</v>
      </c>
      <c r="G3326" s="3">
        <f t="shared" si="155"/>
        <v>-9.7625741955639223E-3</v>
      </c>
      <c r="H3326" s="2">
        <f t="shared" si="153"/>
        <v>162.64999999999964</v>
      </c>
      <c r="I3326" s="3">
        <f t="shared" si="154"/>
        <v>3.6253204056614204E-2</v>
      </c>
    </row>
    <row r="3327" spans="2:9" x14ac:dyDescent="0.25">
      <c r="B3327" s="1">
        <v>40036</v>
      </c>
      <c r="C3327" s="2">
        <v>4471.3500000000004</v>
      </c>
      <c r="D3327" s="2">
        <v>4435</v>
      </c>
      <c r="E3327" s="2">
        <v>4510.8</v>
      </c>
      <c r="F3327" s="2">
        <v>4398.8999999999996</v>
      </c>
      <c r="G3327" s="3">
        <f t="shared" si="155"/>
        <v>7.5941094948905885E-3</v>
      </c>
      <c r="H3327" s="2">
        <f t="shared" si="153"/>
        <v>111.90000000000055</v>
      </c>
      <c r="I3327" s="3">
        <f t="shared" si="154"/>
        <v>2.5231116121758861E-2</v>
      </c>
    </row>
    <row r="3328" spans="2:9" x14ac:dyDescent="0.25">
      <c r="B3328" s="1">
        <v>40037</v>
      </c>
      <c r="C3328" s="2">
        <v>4457.5</v>
      </c>
      <c r="D3328" s="2">
        <v>4473.8</v>
      </c>
      <c r="E3328" s="2">
        <v>4473.8</v>
      </c>
      <c r="F3328" s="2">
        <v>4359.3999999999996</v>
      </c>
      <c r="G3328" s="3">
        <f t="shared" si="155"/>
        <v>-3.0974985183446213E-3</v>
      </c>
      <c r="H3328" s="2">
        <f t="shared" si="153"/>
        <v>114.40000000000055</v>
      </c>
      <c r="I3328" s="3">
        <f t="shared" si="154"/>
        <v>2.5571102865573011E-2</v>
      </c>
    </row>
    <row r="3329" spans="2:9" x14ac:dyDescent="0.25">
      <c r="B3329" s="1">
        <v>40038</v>
      </c>
      <c r="C3329" s="2">
        <v>4605</v>
      </c>
      <c r="D3329" s="2">
        <v>4458.55</v>
      </c>
      <c r="E3329" s="2">
        <v>4614.1499999999996</v>
      </c>
      <c r="F3329" s="2">
        <v>4458.55</v>
      </c>
      <c r="G3329" s="3">
        <f t="shared" si="155"/>
        <v>3.3090297251822776E-2</v>
      </c>
      <c r="H3329" s="2">
        <f t="shared" si="153"/>
        <v>155.59999999999945</v>
      </c>
      <c r="I3329" s="3">
        <f t="shared" si="154"/>
        <v>3.4899238541678222E-2</v>
      </c>
    </row>
    <row r="3330" spans="2:9" x14ac:dyDescent="0.25">
      <c r="B3330" s="1">
        <v>40039</v>
      </c>
      <c r="C3330" s="2">
        <v>4580.05</v>
      </c>
      <c r="D3330" s="2">
        <v>4605.1499999999996</v>
      </c>
      <c r="E3330" s="2">
        <v>4619</v>
      </c>
      <c r="F3330" s="2">
        <v>4559.3500000000004</v>
      </c>
      <c r="G3330" s="3">
        <f t="shared" si="155"/>
        <v>-5.4180238870792374E-3</v>
      </c>
      <c r="H3330" s="2">
        <f t="shared" si="153"/>
        <v>59.649999999999636</v>
      </c>
      <c r="I3330" s="3">
        <f t="shared" si="154"/>
        <v>1.2952889699575398E-2</v>
      </c>
    </row>
    <row r="3331" spans="2:9" x14ac:dyDescent="0.25">
      <c r="B3331" s="1">
        <v>40042</v>
      </c>
      <c r="C3331" s="2">
        <v>4387.8999999999996</v>
      </c>
      <c r="D3331" s="2">
        <v>4578.8</v>
      </c>
      <c r="E3331" s="2">
        <v>4578.8</v>
      </c>
      <c r="F3331" s="2">
        <v>4374.6000000000004</v>
      </c>
      <c r="G3331" s="3">
        <f t="shared" si="155"/>
        <v>-4.1953690461894677E-2</v>
      </c>
      <c r="H3331" s="2">
        <f t="shared" si="153"/>
        <v>204.19999999999982</v>
      </c>
      <c r="I3331" s="3">
        <f t="shared" si="154"/>
        <v>4.459683759937097E-2</v>
      </c>
    </row>
    <row r="3332" spans="2:9" x14ac:dyDescent="0.25">
      <c r="B3332" s="1">
        <v>40043</v>
      </c>
      <c r="C3332" s="2">
        <v>4458.8999999999996</v>
      </c>
      <c r="D3332" s="2">
        <v>4389.5</v>
      </c>
      <c r="E3332" s="2">
        <v>4491.45</v>
      </c>
      <c r="F3332" s="2">
        <v>4372.6499999999996</v>
      </c>
      <c r="G3332" s="3">
        <f t="shared" si="155"/>
        <v>1.6180861004124969E-2</v>
      </c>
      <c r="H3332" s="2">
        <f t="shared" si="153"/>
        <v>118.80000000000018</v>
      </c>
      <c r="I3332" s="3">
        <f t="shared" si="154"/>
        <v>2.7064585943729395E-2</v>
      </c>
    </row>
    <row r="3333" spans="2:9" x14ac:dyDescent="0.25">
      <c r="B3333" s="1">
        <v>40044</v>
      </c>
      <c r="C3333" s="2">
        <v>4394.1000000000004</v>
      </c>
      <c r="D3333" s="2">
        <v>4457.75</v>
      </c>
      <c r="E3333" s="2">
        <v>4477.55</v>
      </c>
      <c r="F3333" s="2">
        <v>4353.45</v>
      </c>
      <c r="G3333" s="3">
        <f t="shared" si="155"/>
        <v>-1.4532732288232375E-2</v>
      </c>
      <c r="H3333" s="2">
        <f t="shared" ref="H3333:H3396" si="156">E3333-F3333</f>
        <v>124.10000000000036</v>
      </c>
      <c r="I3333" s="3">
        <f t="shared" si="154"/>
        <v>2.7839156525152904E-2</v>
      </c>
    </row>
    <row r="3334" spans="2:9" x14ac:dyDescent="0.25">
      <c r="B3334" s="1">
        <v>40045</v>
      </c>
      <c r="C3334" s="2">
        <v>4453.45</v>
      </c>
      <c r="D3334" s="2">
        <v>4394.3500000000004</v>
      </c>
      <c r="E3334" s="2">
        <v>4492.8</v>
      </c>
      <c r="F3334" s="2">
        <v>4394.3500000000004</v>
      </c>
      <c r="G3334" s="3">
        <f t="shared" si="155"/>
        <v>1.350674768439486E-2</v>
      </c>
      <c r="H3334" s="2">
        <f t="shared" si="156"/>
        <v>98.449999999999818</v>
      </c>
      <c r="I3334" s="3">
        <f t="shared" ref="I3334:I3397" si="157">H3334/D3334</f>
        <v>2.2403768475428631E-2</v>
      </c>
    </row>
    <row r="3335" spans="2:9" x14ac:dyDescent="0.25">
      <c r="B3335" s="1">
        <v>40046</v>
      </c>
      <c r="C3335" s="2">
        <v>4528.8</v>
      </c>
      <c r="D3335" s="2">
        <v>4453.45</v>
      </c>
      <c r="E3335" s="2">
        <v>4538.7</v>
      </c>
      <c r="F3335" s="2">
        <v>4400.8999999999996</v>
      </c>
      <c r="G3335" s="3">
        <f t="shared" ref="G3335:G3398" si="158">C3335/C3334-1</f>
        <v>1.6919466930132909E-2</v>
      </c>
      <c r="H3335" s="2">
        <f t="shared" si="156"/>
        <v>137.80000000000018</v>
      </c>
      <c r="I3335" s="3">
        <f t="shared" si="157"/>
        <v>3.0942303158225687E-2</v>
      </c>
    </row>
    <row r="3336" spans="2:9" x14ac:dyDescent="0.25">
      <c r="B3336" s="1">
        <v>40049</v>
      </c>
      <c r="C3336" s="2">
        <v>4642.8</v>
      </c>
      <c r="D3336" s="2">
        <v>4536.95</v>
      </c>
      <c r="E3336" s="2">
        <v>4656.3</v>
      </c>
      <c r="F3336" s="2">
        <v>4536.95</v>
      </c>
      <c r="G3336" s="3">
        <f t="shared" si="158"/>
        <v>2.5172231054584104E-2</v>
      </c>
      <c r="H3336" s="2">
        <f t="shared" si="156"/>
        <v>119.35000000000036</v>
      </c>
      <c r="I3336" s="3">
        <f t="shared" si="157"/>
        <v>2.6306218935628643E-2</v>
      </c>
    </row>
    <row r="3337" spans="2:9" x14ac:dyDescent="0.25">
      <c r="B3337" s="1">
        <v>40050</v>
      </c>
      <c r="C3337" s="2">
        <v>4659.3500000000004</v>
      </c>
      <c r="D3337" s="2">
        <v>4641.6499999999996</v>
      </c>
      <c r="E3337" s="2">
        <v>4672.8999999999996</v>
      </c>
      <c r="F3337" s="2">
        <v>4582.5</v>
      </c>
      <c r="G3337" s="3">
        <f t="shared" si="158"/>
        <v>3.5646592573448377E-3</v>
      </c>
      <c r="H3337" s="2">
        <f t="shared" si="156"/>
        <v>90.399999999999636</v>
      </c>
      <c r="I3337" s="3">
        <f t="shared" si="157"/>
        <v>1.9475832947335462E-2</v>
      </c>
    </row>
    <row r="3338" spans="2:9" x14ac:dyDescent="0.25">
      <c r="B3338" s="1">
        <v>40051</v>
      </c>
      <c r="C3338" s="2">
        <v>4680.8500000000004</v>
      </c>
      <c r="D3338" s="2">
        <v>4659.45</v>
      </c>
      <c r="E3338" s="2">
        <v>4697.8</v>
      </c>
      <c r="F3338" s="2">
        <v>4659.1000000000004</v>
      </c>
      <c r="G3338" s="3">
        <f t="shared" si="158"/>
        <v>4.6143775419318356E-3</v>
      </c>
      <c r="H3338" s="2">
        <f t="shared" si="156"/>
        <v>38.699999999999818</v>
      </c>
      <c r="I3338" s="3">
        <f t="shared" si="157"/>
        <v>8.3057013166789682E-3</v>
      </c>
    </row>
    <row r="3339" spans="2:9" x14ac:dyDescent="0.25">
      <c r="B3339" s="1">
        <v>40052</v>
      </c>
      <c r="C3339" s="2">
        <v>4688.2</v>
      </c>
      <c r="D3339" s="2">
        <v>4679</v>
      </c>
      <c r="E3339" s="2">
        <v>4707.8999999999996</v>
      </c>
      <c r="F3339" s="2">
        <v>4645.1499999999996</v>
      </c>
      <c r="G3339" s="3">
        <f t="shared" si="158"/>
        <v>1.5702276295970208E-3</v>
      </c>
      <c r="H3339" s="2">
        <f t="shared" si="156"/>
        <v>62.75</v>
      </c>
      <c r="I3339" s="3">
        <f t="shared" si="157"/>
        <v>1.3410985253259244E-2</v>
      </c>
    </row>
    <row r="3340" spans="2:9" x14ac:dyDescent="0.25">
      <c r="B3340" s="1">
        <v>40053</v>
      </c>
      <c r="C3340" s="2">
        <v>4732.3500000000004</v>
      </c>
      <c r="D3340" s="2">
        <v>4688.3999999999996</v>
      </c>
      <c r="E3340" s="2">
        <v>4743.75</v>
      </c>
      <c r="F3340" s="2">
        <v>4651.3999999999996</v>
      </c>
      <c r="G3340" s="3">
        <f t="shared" si="158"/>
        <v>9.4172603557869383E-3</v>
      </c>
      <c r="H3340" s="2">
        <f t="shared" si="156"/>
        <v>92.350000000000364</v>
      </c>
      <c r="I3340" s="3">
        <f t="shared" si="157"/>
        <v>1.9697551403463947E-2</v>
      </c>
    </row>
    <row r="3341" spans="2:9" x14ac:dyDescent="0.25">
      <c r="B3341" s="1">
        <v>40056</v>
      </c>
      <c r="C3341" s="2">
        <v>4662.1000000000004</v>
      </c>
      <c r="D3341" s="2">
        <v>4730.8500000000004</v>
      </c>
      <c r="E3341" s="2">
        <v>4730.8500000000004</v>
      </c>
      <c r="F3341" s="2">
        <v>4635</v>
      </c>
      <c r="G3341" s="3">
        <f t="shared" si="158"/>
        <v>-1.4844633216055447E-2</v>
      </c>
      <c r="H3341" s="2">
        <f t="shared" si="156"/>
        <v>95.850000000000364</v>
      </c>
      <c r="I3341" s="3">
        <f t="shared" si="157"/>
        <v>2.0260629696566231E-2</v>
      </c>
    </row>
    <row r="3342" spans="2:9" x14ac:dyDescent="0.25">
      <c r="B3342" s="1">
        <v>40057</v>
      </c>
      <c r="C3342" s="2">
        <v>4625.3500000000004</v>
      </c>
      <c r="D3342" s="2">
        <v>4662.2</v>
      </c>
      <c r="E3342" s="2">
        <v>4735.8999999999996</v>
      </c>
      <c r="F3342" s="2">
        <v>4600.6499999999996</v>
      </c>
      <c r="G3342" s="3">
        <f t="shared" si="158"/>
        <v>-7.8827137985028051E-3</v>
      </c>
      <c r="H3342" s="2">
        <f t="shared" si="156"/>
        <v>135.25</v>
      </c>
      <c r="I3342" s="3">
        <f t="shared" si="157"/>
        <v>2.9009909484792588E-2</v>
      </c>
    </row>
    <row r="3343" spans="2:9" x14ac:dyDescent="0.25">
      <c r="B3343" s="1">
        <v>40058</v>
      </c>
      <c r="C3343" s="2">
        <v>4608.3500000000004</v>
      </c>
      <c r="D3343" s="2">
        <v>4624</v>
      </c>
      <c r="E3343" s="2">
        <v>4650.45</v>
      </c>
      <c r="F3343" s="2">
        <v>4576.6000000000004</v>
      </c>
      <c r="G3343" s="3">
        <f t="shared" si="158"/>
        <v>-3.6753975374836934E-3</v>
      </c>
      <c r="H3343" s="2">
        <f t="shared" si="156"/>
        <v>73.849999999999454</v>
      </c>
      <c r="I3343" s="3">
        <f t="shared" si="157"/>
        <v>1.5971020761245555E-2</v>
      </c>
    </row>
    <row r="3344" spans="2:9" x14ac:dyDescent="0.25">
      <c r="B3344" s="1">
        <v>40059</v>
      </c>
      <c r="C3344" s="2">
        <v>4593.55</v>
      </c>
      <c r="D3344" s="2">
        <v>4608.75</v>
      </c>
      <c r="E3344" s="2">
        <v>4647.3500000000004</v>
      </c>
      <c r="F3344" s="2">
        <v>4581.05</v>
      </c>
      <c r="G3344" s="3">
        <f t="shared" si="158"/>
        <v>-3.2115616218386656E-3</v>
      </c>
      <c r="H3344" s="2">
        <f t="shared" si="156"/>
        <v>66.300000000000182</v>
      </c>
      <c r="I3344" s="3">
        <f t="shared" si="157"/>
        <v>1.4385679414157892E-2</v>
      </c>
    </row>
    <row r="3345" spans="2:9" x14ac:dyDescent="0.25">
      <c r="B3345" s="1">
        <v>40060</v>
      </c>
      <c r="C3345" s="2">
        <v>4680.3999999999996</v>
      </c>
      <c r="D3345" s="2">
        <v>4608.7</v>
      </c>
      <c r="E3345" s="2">
        <v>4697.2</v>
      </c>
      <c r="F3345" s="2">
        <v>4580.3500000000004</v>
      </c>
      <c r="G3345" s="3">
        <f t="shared" si="158"/>
        <v>1.8906945608516246E-2</v>
      </c>
      <c r="H3345" s="2">
        <f t="shared" si="156"/>
        <v>116.84999999999945</v>
      </c>
      <c r="I3345" s="3">
        <f t="shared" si="157"/>
        <v>2.5354221363941991E-2</v>
      </c>
    </row>
    <row r="3346" spans="2:9" x14ac:dyDescent="0.25">
      <c r="B3346" s="1">
        <v>40063</v>
      </c>
      <c r="C3346" s="2">
        <v>4782.8999999999996</v>
      </c>
      <c r="D3346" s="2">
        <v>4682.3999999999996</v>
      </c>
      <c r="E3346" s="2">
        <v>4790</v>
      </c>
      <c r="F3346" s="2">
        <v>4679.3</v>
      </c>
      <c r="G3346" s="3">
        <f t="shared" si="158"/>
        <v>2.1899837620716234E-2</v>
      </c>
      <c r="H3346" s="2">
        <f t="shared" si="156"/>
        <v>110.69999999999982</v>
      </c>
      <c r="I3346" s="3">
        <f t="shared" si="157"/>
        <v>2.3641722193746759E-2</v>
      </c>
    </row>
    <row r="3347" spans="2:9" x14ac:dyDescent="0.25">
      <c r="B3347" s="1">
        <v>40064</v>
      </c>
      <c r="C3347" s="2">
        <v>4805.25</v>
      </c>
      <c r="D3347" s="2">
        <v>4782.8500000000004</v>
      </c>
      <c r="E3347" s="2">
        <v>4842.2</v>
      </c>
      <c r="F3347" s="2">
        <v>4782.6499999999996</v>
      </c>
      <c r="G3347" s="3">
        <f t="shared" si="158"/>
        <v>4.6728971962617383E-3</v>
      </c>
      <c r="H3347" s="2">
        <f t="shared" si="156"/>
        <v>59.550000000000182</v>
      </c>
      <c r="I3347" s="3">
        <f t="shared" si="157"/>
        <v>1.2450735440166465E-2</v>
      </c>
    </row>
    <row r="3348" spans="2:9" x14ac:dyDescent="0.25">
      <c r="B3348" s="1">
        <v>40065</v>
      </c>
      <c r="C3348" s="2">
        <v>4814.25</v>
      </c>
      <c r="D3348" s="2">
        <v>4804.8999999999996</v>
      </c>
      <c r="E3348" s="2">
        <v>4825.05</v>
      </c>
      <c r="F3348" s="2">
        <v>4783.5</v>
      </c>
      <c r="G3348" s="3">
        <f t="shared" si="158"/>
        <v>1.8729514593414098E-3</v>
      </c>
      <c r="H3348" s="2">
        <f t="shared" si="156"/>
        <v>41.550000000000182</v>
      </c>
      <c r="I3348" s="3">
        <f t="shared" si="157"/>
        <v>8.6474224229432847E-3</v>
      </c>
    </row>
    <row r="3349" spans="2:9" x14ac:dyDescent="0.25">
      <c r="B3349" s="1">
        <v>40066</v>
      </c>
      <c r="C3349" s="2">
        <v>4819.3999999999996</v>
      </c>
      <c r="D3349" s="2">
        <v>4814.3500000000004</v>
      </c>
      <c r="E3349" s="2">
        <v>4889.05</v>
      </c>
      <c r="F3349" s="2">
        <v>4807.8999999999996</v>
      </c>
      <c r="G3349" s="3">
        <f t="shared" si="158"/>
        <v>1.0697408734485769E-3</v>
      </c>
      <c r="H3349" s="2">
        <f t="shared" si="156"/>
        <v>81.150000000000546</v>
      </c>
      <c r="I3349" s="3">
        <f t="shared" si="157"/>
        <v>1.6855858007830869E-2</v>
      </c>
    </row>
    <row r="3350" spans="2:9" x14ac:dyDescent="0.25">
      <c r="B3350" s="1">
        <v>40067</v>
      </c>
      <c r="C3350" s="2">
        <v>4829.55</v>
      </c>
      <c r="D3350" s="2">
        <v>4819.3999999999996</v>
      </c>
      <c r="E3350" s="2">
        <v>4856.1499999999996</v>
      </c>
      <c r="F3350" s="2">
        <v>4791.55</v>
      </c>
      <c r="G3350" s="3">
        <f t="shared" si="158"/>
        <v>2.1060712951821436E-3</v>
      </c>
      <c r="H3350" s="2">
        <f t="shared" si="156"/>
        <v>64.599999999999454</v>
      </c>
      <c r="I3350" s="3">
        <f t="shared" si="157"/>
        <v>1.3404158193965942E-2</v>
      </c>
    </row>
    <row r="3351" spans="2:9" x14ac:dyDescent="0.25">
      <c r="B3351" s="1">
        <v>40070</v>
      </c>
      <c r="C3351" s="2">
        <v>4808.6000000000004</v>
      </c>
      <c r="D3351" s="2">
        <v>4830.3500000000004</v>
      </c>
      <c r="E3351" s="2">
        <v>4832.25</v>
      </c>
      <c r="F3351" s="2">
        <v>4786.25</v>
      </c>
      <c r="G3351" s="3">
        <f t="shared" si="158"/>
        <v>-4.3378782702321317E-3</v>
      </c>
      <c r="H3351" s="2">
        <f t="shared" si="156"/>
        <v>46</v>
      </c>
      <c r="I3351" s="3">
        <f t="shared" si="157"/>
        <v>9.5231194426904867E-3</v>
      </c>
    </row>
    <row r="3352" spans="2:9" x14ac:dyDescent="0.25">
      <c r="B3352" s="1">
        <v>40071</v>
      </c>
      <c r="C3352" s="2">
        <v>4892.1000000000004</v>
      </c>
      <c r="D3352" s="2">
        <v>4808.3500000000004</v>
      </c>
      <c r="E3352" s="2">
        <v>4899.45</v>
      </c>
      <c r="F3352" s="2">
        <v>4808.3500000000004</v>
      </c>
      <c r="G3352" s="3">
        <f t="shared" si="158"/>
        <v>1.7364721540573225E-2</v>
      </c>
      <c r="H3352" s="2">
        <f t="shared" si="156"/>
        <v>91.099999999999454</v>
      </c>
      <c r="I3352" s="3">
        <f t="shared" si="157"/>
        <v>1.8946208158723773E-2</v>
      </c>
    </row>
    <row r="3353" spans="2:9" x14ac:dyDescent="0.25">
      <c r="B3353" s="1">
        <v>40072</v>
      </c>
      <c r="C3353" s="2">
        <v>4958.3999999999996</v>
      </c>
      <c r="D3353" s="2">
        <v>4894.6499999999996</v>
      </c>
      <c r="E3353" s="2">
        <v>4966.3</v>
      </c>
      <c r="F3353" s="2">
        <v>4894.6499999999996</v>
      </c>
      <c r="G3353" s="3">
        <f t="shared" si="158"/>
        <v>1.3552462132826237E-2</v>
      </c>
      <c r="H3353" s="2">
        <f t="shared" si="156"/>
        <v>71.650000000000546</v>
      </c>
      <c r="I3353" s="3">
        <f t="shared" si="157"/>
        <v>1.4638431757122684E-2</v>
      </c>
    </row>
    <row r="3354" spans="2:9" x14ac:dyDescent="0.25">
      <c r="B3354" s="1">
        <v>40073</v>
      </c>
      <c r="C3354" s="2">
        <v>4965.55</v>
      </c>
      <c r="D3354" s="2">
        <v>4958.55</v>
      </c>
      <c r="E3354" s="2">
        <v>5003.05</v>
      </c>
      <c r="F3354" s="2">
        <v>4944.1499999999996</v>
      </c>
      <c r="G3354" s="3">
        <f t="shared" si="158"/>
        <v>1.4419974185222451E-3</v>
      </c>
      <c r="H3354" s="2">
        <f t="shared" si="156"/>
        <v>58.900000000000546</v>
      </c>
      <c r="I3354" s="3">
        <f t="shared" si="157"/>
        <v>1.1878472537334612E-2</v>
      </c>
    </row>
    <row r="3355" spans="2:9" x14ac:dyDescent="0.25">
      <c r="B3355" s="1">
        <v>40074</v>
      </c>
      <c r="C3355" s="2">
        <v>4976.05</v>
      </c>
      <c r="D3355" s="2">
        <v>4963.95</v>
      </c>
      <c r="E3355" s="2">
        <v>4980.8500000000004</v>
      </c>
      <c r="F3355" s="2">
        <v>4931.8999999999996</v>
      </c>
      <c r="G3355" s="3">
        <f t="shared" si="158"/>
        <v>2.114569383049103E-3</v>
      </c>
      <c r="H3355" s="2">
        <f t="shared" si="156"/>
        <v>48.950000000000728</v>
      </c>
      <c r="I3355" s="3">
        <f t="shared" si="157"/>
        <v>9.8610985203317382E-3</v>
      </c>
    </row>
    <row r="3356" spans="2:9" x14ac:dyDescent="0.25">
      <c r="B3356" s="1">
        <v>40078</v>
      </c>
      <c r="C3356" s="2">
        <v>5020.2</v>
      </c>
      <c r="D3356" s="2">
        <v>4977.1000000000004</v>
      </c>
      <c r="E3356" s="2">
        <v>5036.3</v>
      </c>
      <c r="F3356" s="2">
        <v>4977.1000000000004</v>
      </c>
      <c r="G3356" s="3">
        <f t="shared" si="158"/>
        <v>8.8724992715105699E-3</v>
      </c>
      <c r="H3356" s="2">
        <f t="shared" si="156"/>
        <v>59.199999999999818</v>
      </c>
      <c r="I3356" s="3">
        <f t="shared" si="157"/>
        <v>1.1894476703301082E-2</v>
      </c>
    </row>
    <row r="3357" spans="2:9" x14ac:dyDescent="0.25">
      <c r="B3357" s="1">
        <v>40079</v>
      </c>
      <c r="C3357" s="2">
        <v>4969.95</v>
      </c>
      <c r="D3357" s="2">
        <v>5019.95</v>
      </c>
      <c r="E3357" s="2">
        <v>5030.75</v>
      </c>
      <c r="F3357" s="2">
        <v>4957.05</v>
      </c>
      <c r="G3357" s="3">
        <f t="shared" si="158"/>
        <v>-1.0009561372056885E-2</v>
      </c>
      <c r="H3357" s="2">
        <f t="shared" si="156"/>
        <v>73.699999999999818</v>
      </c>
      <c r="I3357" s="3">
        <f t="shared" si="157"/>
        <v>1.4681421129692491E-2</v>
      </c>
    </row>
    <row r="3358" spans="2:9" x14ac:dyDescent="0.25">
      <c r="B3358" s="1">
        <v>40080</v>
      </c>
      <c r="C3358" s="2">
        <v>4986.55</v>
      </c>
      <c r="D3358" s="2">
        <v>4977.1499999999996</v>
      </c>
      <c r="E3358" s="2">
        <v>5016.7</v>
      </c>
      <c r="F3358" s="2">
        <v>4904.05</v>
      </c>
      <c r="G3358" s="3">
        <f t="shared" si="158"/>
        <v>3.3400738438014166E-3</v>
      </c>
      <c r="H3358" s="2">
        <f t="shared" si="156"/>
        <v>112.64999999999964</v>
      </c>
      <c r="I3358" s="3">
        <f t="shared" si="157"/>
        <v>2.2633434797022321E-2</v>
      </c>
    </row>
    <row r="3359" spans="2:9" x14ac:dyDescent="0.25">
      <c r="B3359" s="1">
        <v>40081</v>
      </c>
      <c r="C3359" s="2">
        <v>4958.95</v>
      </c>
      <c r="D3359" s="2">
        <v>4985.1000000000004</v>
      </c>
      <c r="E3359" s="2">
        <v>4994.3500000000004</v>
      </c>
      <c r="F3359" s="2">
        <v>4931.25</v>
      </c>
      <c r="G3359" s="3">
        <f t="shared" si="158"/>
        <v>-5.5348888510092786E-3</v>
      </c>
      <c r="H3359" s="2">
        <f t="shared" si="156"/>
        <v>63.100000000000364</v>
      </c>
      <c r="I3359" s="3">
        <f t="shared" si="157"/>
        <v>1.265772000561681E-2</v>
      </c>
    </row>
    <row r="3360" spans="2:9" x14ac:dyDescent="0.25">
      <c r="B3360" s="1">
        <v>40085</v>
      </c>
      <c r="C3360" s="2">
        <v>5006.8500000000004</v>
      </c>
      <c r="D3360" s="2">
        <v>4959.1499999999996</v>
      </c>
      <c r="E3360" s="2">
        <v>5020.25</v>
      </c>
      <c r="F3360" s="2">
        <v>4959.1000000000004</v>
      </c>
      <c r="G3360" s="3">
        <f t="shared" si="158"/>
        <v>9.659302876617204E-3</v>
      </c>
      <c r="H3360" s="2">
        <f t="shared" si="156"/>
        <v>61.149999999999636</v>
      </c>
      <c r="I3360" s="3">
        <f t="shared" si="157"/>
        <v>1.2330742163475523E-2</v>
      </c>
    </row>
    <row r="3361" spans="2:9" x14ac:dyDescent="0.25">
      <c r="B3361" s="1">
        <v>40086</v>
      </c>
      <c r="C3361" s="2">
        <v>5083.95</v>
      </c>
      <c r="D3361" s="2">
        <v>5007.6499999999996</v>
      </c>
      <c r="E3361" s="2">
        <v>5087.6000000000004</v>
      </c>
      <c r="F3361" s="2">
        <v>5004.3500000000004</v>
      </c>
      <c r="G3361" s="3">
        <f t="shared" si="158"/>
        <v>1.5398903502201966E-2</v>
      </c>
      <c r="H3361" s="2">
        <f t="shared" si="156"/>
        <v>83.25</v>
      </c>
      <c r="I3361" s="3">
        <f t="shared" si="157"/>
        <v>1.6624564416442843E-2</v>
      </c>
    </row>
    <row r="3362" spans="2:9" x14ac:dyDescent="0.25">
      <c r="B3362" s="1">
        <v>40087</v>
      </c>
      <c r="C3362" s="2">
        <v>5083.3999999999996</v>
      </c>
      <c r="D3362" s="2">
        <v>5087.2</v>
      </c>
      <c r="E3362" s="2">
        <v>5110.5</v>
      </c>
      <c r="F3362" s="2">
        <v>5057.05</v>
      </c>
      <c r="G3362" s="3">
        <f t="shared" si="158"/>
        <v>-1.0818359739972472E-4</v>
      </c>
      <c r="H3362" s="2">
        <f t="shared" si="156"/>
        <v>53.449999999999818</v>
      </c>
      <c r="I3362" s="3">
        <f t="shared" si="157"/>
        <v>1.050676206950775E-2</v>
      </c>
    </row>
    <row r="3363" spans="2:9" x14ac:dyDescent="0.25">
      <c r="B3363" s="1">
        <v>40091</v>
      </c>
      <c r="C3363" s="2">
        <v>5003.2</v>
      </c>
      <c r="D3363" s="2">
        <v>5076.05</v>
      </c>
      <c r="E3363" s="2">
        <v>5076.05</v>
      </c>
      <c r="F3363" s="2">
        <v>4991.95</v>
      </c>
      <c r="G3363" s="3">
        <f t="shared" si="158"/>
        <v>-1.5776842270921021E-2</v>
      </c>
      <c r="H3363" s="2">
        <f t="shared" si="156"/>
        <v>84.100000000000364</v>
      </c>
      <c r="I3363" s="3">
        <f t="shared" si="157"/>
        <v>1.6568000709212945E-2</v>
      </c>
    </row>
    <row r="3364" spans="2:9" x14ac:dyDescent="0.25">
      <c r="B3364" s="1">
        <v>40092</v>
      </c>
      <c r="C3364" s="2">
        <v>5027.3999999999996</v>
      </c>
      <c r="D3364" s="2">
        <v>5003.6499999999996</v>
      </c>
      <c r="E3364" s="2">
        <v>5034.7</v>
      </c>
      <c r="F3364" s="2">
        <v>4921.05</v>
      </c>
      <c r="G3364" s="3">
        <f t="shared" si="158"/>
        <v>4.8369043811959944E-3</v>
      </c>
      <c r="H3364" s="2">
        <f t="shared" si="156"/>
        <v>113.64999999999964</v>
      </c>
      <c r="I3364" s="3">
        <f t="shared" si="157"/>
        <v>2.2713419203981022E-2</v>
      </c>
    </row>
    <row r="3365" spans="2:9" x14ac:dyDescent="0.25">
      <c r="B3365" s="1">
        <v>40093</v>
      </c>
      <c r="C3365" s="2">
        <v>4985.75</v>
      </c>
      <c r="D3365" s="2">
        <v>5031.7</v>
      </c>
      <c r="E3365" s="2">
        <v>5077</v>
      </c>
      <c r="F3365" s="2">
        <v>4972.95</v>
      </c>
      <c r="G3365" s="3">
        <f t="shared" si="158"/>
        <v>-8.2846003898634502E-3</v>
      </c>
      <c r="H3365" s="2">
        <f t="shared" si="156"/>
        <v>104.05000000000018</v>
      </c>
      <c r="I3365" s="3">
        <f t="shared" si="157"/>
        <v>2.067889580062408E-2</v>
      </c>
    </row>
    <row r="3366" spans="2:9" x14ac:dyDescent="0.25">
      <c r="B3366" s="1">
        <v>40094</v>
      </c>
      <c r="C3366" s="2">
        <v>5002.25</v>
      </c>
      <c r="D3366" s="2">
        <v>5011.25</v>
      </c>
      <c r="E3366" s="2">
        <v>5043.05</v>
      </c>
      <c r="F3366" s="2">
        <v>4971.75</v>
      </c>
      <c r="G3366" s="3">
        <f t="shared" si="158"/>
        <v>3.309431880860414E-3</v>
      </c>
      <c r="H3366" s="2">
        <f t="shared" si="156"/>
        <v>71.300000000000182</v>
      </c>
      <c r="I3366" s="3">
        <f t="shared" si="157"/>
        <v>1.4227987029184371E-2</v>
      </c>
    </row>
    <row r="3367" spans="2:9" x14ac:dyDescent="0.25">
      <c r="B3367" s="1">
        <v>40095</v>
      </c>
      <c r="C3367" s="2">
        <v>4945.2</v>
      </c>
      <c r="D3367" s="2">
        <v>4993</v>
      </c>
      <c r="E3367" s="2">
        <v>5032.6000000000004</v>
      </c>
      <c r="F3367" s="2">
        <v>4934.55</v>
      </c>
      <c r="G3367" s="3">
        <f t="shared" si="158"/>
        <v>-1.1404867809485797E-2</v>
      </c>
      <c r="H3367" s="2">
        <f t="shared" si="156"/>
        <v>98.050000000000182</v>
      </c>
      <c r="I3367" s="3">
        <f t="shared" si="157"/>
        <v>1.9637492489485316E-2</v>
      </c>
    </row>
    <row r="3368" spans="2:9" x14ac:dyDescent="0.25">
      <c r="B3368" s="1">
        <v>40098</v>
      </c>
      <c r="C3368" s="2">
        <v>5054.25</v>
      </c>
      <c r="D3368" s="2">
        <v>4945.45</v>
      </c>
      <c r="E3368" s="2">
        <v>5068.05</v>
      </c>
      <c r="F3368" s="2">
        <v>4945.45</v>
      </c>
      <c r="G3368" s="3">
        <f t="shared" si="158"/>
        <v>2.2051686483863131E-2</v>
      </c>
      <c r="H3368" s="2">
        <f t="shared" si="156"/>
        <v>122.60000000000036</v>
      </c>
      <c r="I3368" s="3">
        <f t="shared" si="157"/>
        <v>2.4790463961823567E-2</v>
      </c>
    </row>
    <row r="3369" spans="2:9" x14ac:dyDescent="0.25">
      <c r="B3369" s="1">
        <v>40100</v>
      </c>
      <c r="C3369" s="2">
        <v>5118.2</v>
      </c>
      <c r="D3369" s="2">
        <v>5054.3500000000004</v>
      </c>
      <c r="E3369" s="2">
        <v>5127.3999999999996</v>
      </c>
      <c r="F3369" s="2">
        <v>5054.3500000000004</v>
      </c>
      <c r="G3369" s="3">
        <f t="shared" si="158"/>
        <v>1.2652718009595887E-2</v>
      </c>
      <c r="H3369" s="2">
        <f t="shared" si="156"/>
        <v>73.049999999999272</v>
      </c>
      <c r="I3369" s="3">
        <f t="shared" si="157"/>
        <v>1.4452897009506518E-2</v>
      </c>
    </row>
    <row r="3370" spans="2:9" x14ac:dyDescent="0.25">
      <c r="B3370" s="1">
        <v>40101</v>
      </c>
      <c r="C3370" s="2">
        <v>5108.8500000000004</v>
      </c>
      <c r="D3370" s="2">
        <v>5118.55</v>
      </c>
      <c r="E3370" s="2">
        <v>5152.25</v>
      </c>
      <c r="F3370" s="2">
        <v>5077.1000000000004</v>
      </c>
      <c r="G3370" s="3">
        <f t="shared" si="158"/>
        <v>-1.8268141143369387E-3</v>
      </c>
      <c r="H3370" s="2">
        <f t="shared" si="156"/>
        <v>75.149999999999636</v>
      </c>
      <c r="I3370" s="3">
        <f t="shared" si="157"/>
        <v>1.4681892332789487E-2</v>
      </c>
    </row>
    <row r="3371" spans="2:9" x14ac:dyDescent="0.25">
      <c r="B3371" s="1">
        <v>40102</v>
      </c>
      <c r="C3371" s="2">
        <v>5142.1499999999996</v>
      </c>
      <c r="D3371" s="2">
        <v>5108.6499999999996</v>
      </c>
      <c r="E3371" s="2">
        <v>5149.6499999999996</v>
      </c>
      <c r="F3371" s="2">
        <v>5093.2</v>
      </c>
      <c r="G3371" s="3">
        <f t="shared" si="158"/>
        <v>6.5181009424819525E-3</v>
      </c>
      <c r="H3371" s="2">
        <f t="shared" si="156"/>
        <v>56.449999999999818</v>
      </c>
      <c r="I3371" s="3">
        <f t="shared" si="157"/>
        <v>1.1049885977704448E-2</v>
      </c>
    </row>
    <row r="3372" spans="2:9" x14ac:dyDescent="0.25">
      <c r="B3372" s="1">
        <v>40103</v>
      </c>
      <c r="C3372" s="2">
        <v>5141.8</v>
      </c>
      <c r="D3372" s="2">
        <v>5159.3500000000004</v>
      </c>
      <c r="E3372" s="2">
        <v>5176.8</v>
      </c>
      <c r="F3372" s="2">
        <v>5124.25</v>
      </c>
      <c r="G3372" s="3">
        <f t="shared" si="158"/>
        <v>-6.8064914481191785E-5</v>
      </c>
      <c r="H3372" s="2">
        <f t="shared" si="156"/>
        <v>52.550000000000182</v>
      </c>
      <c r="I3372" s="3">
        <f t="shared" si="157"/>
        <v>1.0185391570643623E-2</v>
      </c>
    </row>
    <row r="3373" spans="2:9" x14ac:dyDescent="0.25">
      <c r="B3373" s="1">
        <v>40106</v>
      </c>
      <c r="C3373" s="2">
        <v>5114.45</v>
      </c>
      <c r="D3373" s="2">
        <v>5145.6000000000004</v>
      </c>
      <c r="E3373" s="2">
        <v>5181.95</v>
      </c>
      <c r="F3373" s="2">
        <v>5102.6499999999996</v>
      </c>
      <c r="G3373" s="3">
        <f t="shared" si="158"/>
        <v>-5.3191489361702482E-3</v>
      </c>
      <c r="H3373" s="2">
        <f t="shared" si="156"/>
        <v>79.300000000000182</v>
      </c>
      <c r="I3373" s="3">
        <f t="shared" si="157"/>
        <v>1.5411225124378144E-2</v>
      </c>
    </row>
    <row r="3374" spans="2:9" x14ac:dyDescent="0.25">
      <c r="B3374" s="1">
        <v>40107</v>
      </c>
      <c r="C3374" s="2">
        <v>5063.6000000000004</v>
      </c>
      <c r="D3374" s="2">
        <v>5114.8500000000004</v>
      </c>
      <c r="E3374" s="2">
        <v>5117.45</v>
      </c>
      <c r="F3374" s="2">
        <v>5051.6499999999996</v>
      </c>
      <c r="G3374" s="3">
        <f t="shared" si="158"/>
        <v>-9.9424180508167481E-3</v>
      </c>
      <c r="H3374" s="2">
        <f t="shared" si="156"/>
        <v>65.800000000000182</v>
      </c>
      <c r="I3374" s="3">
        <f t="shared" si="157"/>
        <v>1.2864502380323993E-2</v>
      </c>
    </row>
    <row r="3375" spans="2:9" x14ac:dyDescent="0.25">
      <c r="B3375" s="1">
        <v>40108</v>
      </c>
      <c r="C3375" s="2">
        <v>4988.6000000000004</v>
      </c>
      <c r="D3375" s="2">
        <v>5063.3500000000004</v>
      </c>
      <c r="E3375" s="2">
        <v>5064.25</v>
      </c>
      <c r="F3375" s="2">
        <v>4968.45</v>
      </c>
      <c r="G3375" s="3">
        <f t="shared" si="158"/>
        <v>-1.4811596492613988E-2</v>
      </c>
      <c r="H3375" s="2">
        <f t="shared" si="156"/>
        <v>95.800000000000182</v>
      </c>
      <c r="I3375" s="3">
        <f t="shared" si="157"/>
        <v>1.8920280051744433E-2</v>
      </c>
    </row>
    <row r="3376" spans="2:9" x14ac:dyDescent="0.25">
      <c r="B3376" s="1">
        <v>40109</v>
      </c>
      <c r="C3376" s="2">
        <v>4997.05</v>
      </c>
      <c r="D3376" s="2">
        <v>4986.55</v>
      </c>
      <c r="E3376" s="2">
        <v>5054.95</v>
      </c>
      <c r="F3376" s="2">
        <v>4983.25</v>
      </c>
      <c r="G3376" s="3">
        <f t="shared" si="158"/>
        <v>1.6938620053721376E-3</v>
      </c>
      <c r="H3376" s="2">
        <f t="shared" si="156"/>
        <v>71.699999999999818</v>
      </c>
      <c r="I3376" s="3">
        <f t="shared" si="157"/>
        <v>1.437867864555651E-2</v>
      </c>
    </row>
    <row r="3377" spans="2:9" x14ac:dyDescent="0.25">
      <c r="B3377" s="1">
        <v>40112</v>
      </c>
      <c r="C3377" s="2">
        <v>4970.8999999999996</v>
      </c>
      <c r="D3377" s="2">
        <v>4997.1499999999996</v>
      </c>
      <c r="E3377" s="2">
        <v>5033.75</v>
      </c>
      <c r="F3377" s="2">
        <v>4961.3500000000004</v>
      </c>
      <c r="G3377" s="3">
        <f t="shared" si="158"/>
        <v>-5.2330875216378692E-3</v>
      </c>
      <c r="H3377" s="2">
        <f t="shared" si="156"/>
        <v>72.399999999999636</v>
      </c>
      <c r="I3377" s="3">
        <f t="shared" si="157"/>
        <v>1.4488258307235052E-2</v>
      </c>
    </row>
    <row r="3378" spans="2:9" x14ac:dyDescent="0.25">
      <c r="B3378" s="1">
        <v>40113</v>
      </c>
      <c r="C3378" s="2">
        <v>4846.7</v>
      </c>
      <c r="D3378" s="2">
        <v>4970.55</v>
      </c>
      <c r="E3378" s="2">
        <v>4970.55</v>
      </c>
      <c r="F3378" s="2">
        <v>4829.5</v>
      </c>
      <c r="G3378" s="3">
        <f t="shared" si="158"/>
        <v>-2.4985415115974963E-2</v>
      </c>
      <c r="H3378" s="2">
        <f t="shared" si="156"/>
        <v>141.05000000000018</v>
      </c>
      <c r="I3378" s="3">
        <f t="shared" si="157"/>
        <v>2.8377141362625903E-2</v>
      </c>
    </row>
    <row r="3379" spans="2:9" x14ac:dyDescent="0.25">
      <c r="B3379" s="1">
        <v>40114</v>
      </c>
      <c r="C3379" s="2">
        <v>4826.1499999999996</v>
      </c>
      <c r="D3379" s="2">
        <v>4846.55</v>
      </c>
      <c r="E3379" s="2">
        <v>4867</v>
      </c>
      <c r="F3379" s="2">
        <v>4784.1000000000004</v>
      </c>
      <c r="G3379" s="3">
        <f t="shared" si="158"/>
        <v>-4.239998349392371E-3</v>
      </c>
      <c r="H3379" s="2">
        <f t="shared" si="156"/>
        <v>82.899999999999636</v>
      </c>
      <c r="I3379" s="3">
        <f t="shared" si="157"/>
        <v>1.7104950944486209E-2</v>
      </c>
    </row>
    <row r="3380" spans="2:9" x14ac:dyDescent="0.25">
      <c r="B3380" s="1">
        <v>40115</v>
      </c>
      <c r="C3380" s="2">
        <v>4750.55</v>
      </c>
      <c r="D3380" s="2">
        <v>4826.1000000000004</v>
      </c>
      <c r="E3380" s="2">
        <v>4826.1000000000004</v>
      </c>
      <c r="F3380" s="2">
        <v>4738.3999999999996</v>
      </c>
      <c r="G3380" s="3">
        <f t="shared" si="158"/>
        <v>-1.5664660236420214E-2</v>
      </c>
      <c r="H3380" s="2">
        <f t="shared" si="156"/>
        <v>87.700000000000728</v>
      </c>
      <c r="I3380" s="3">
        <f t="shared" si="157"/>
        <v>1.8172022958496657E-2</v>
      </c>
    </row>
    <row r="3381" spans="2:9" x14ac:dyDescent="0.25">
      <c r="B3381" s="1">
        <v>40116</v>
      </c>
      <c r="C3381" s="2">
        <v>4711.7</v>
      </c>
      <c r="D3381" s="2">
        <v>4751.1000000000004</v>
      </c>
      <c r="E3381" s="2">
        <v>4853.6499999999996</v>
      </c>
      <c r="F3381" s="2">
        <v>4687.5</v>
      </c>
      <c r="G3381" s="3">
        <f t="shared" si="158"/>
        <v>-8.1780004420541896E-3</v>
      </c>
      <c r="H3381" s="2">
        <f t="shared" si="156"/>
        <v>166.14999999999964</v>
      </c>
      <c r="I3381" s="3">
        <f t="shared" si="157"/>
        <v>3.497084885605431E-2</v>
      </c>
    </row>
    <row r="3382" spans="2:9" x14ac:dyDescent="0.25">
      <c r="B3382" s="1">
        <v>40120</v>
      </c>
      <c r="C3382" s="2">
        <v>4563.8999999999996</v>
      </c>
      <c r="D3382" s="2">
        <v>4712.25</v>
      </c>
      <c r="E3382" s="2">
        <v>4729.8500000000004</v>
      </c>
      <c r="F3382" s="2">
        <v>4538.5</v>
      </c>
      <c r="G3382" s="3">
        <f t="shared" si="158"/>
        <v>-3.1368720419381546E-2</v>
      </c>
      <c r="H3382" s="2">
        <f t="shared" si="156"/>
        <v>191.35000000000036</v>
      </c>
      <c r="I3382" s="3">
        <f t="shared" si="157"/>
        <v>4.0606928749535864E-2</v>
      </c>
    </row>
    <row r="3383" spans="2:9" x14ac:dyDescent="0.25">
      <c r="B3383" s="1">
        <v>40121</v>
      </c>
      <c r="C3383" s="2">
        <v>4710.8</v>
      </c>
      <c r="D3383" s="2">
        <v>4567.3</v>
      </c>
      <c r="E3383" s="2">
        <v>4717.8</v>
      </c>
      <c r="F3383" s="2">
        <v>4565</v>
      </c>
      <c r="G3383" s="3">
        <f t="shared" si="158"/>
        <v>3.2187383597362063E-2</v>
      </c>
      <c r="H3383" s="2">
        <f t="shared" si="156"/>
        <v>152.80000000000018</v>
      </c>
      <c r="I3383" s="3">
        <f t="shared" si="157"/>
        <v>3.3455214240360867E-2</v>
      </c>
    </row>
    <row r="3384" spans="2:9" x14ac:dyDescent="0.25">
      <c r="B3384" s="1">
        <v>40122</v>
      </c>
      <c r="C3384" s="2">
        <v>4765.55</v>
      </c>
      <c r="D3384" s="2">
        <v>4711.6499999999996</v>
      </c>
      <c r="E3384" s="2">
        <v>4776.3500000000004</v>
      </c>
      <c r="F3384" s="2">
        <v>4610.6000000000004</v>
      </c>
      <c r="G3384" s="3">
        <f t="shared" si="158"/>
        <v>1.1622229769890469E-2</v>
      </c>
      <c r="H3384" s="2">
        <f t="shared" si="156"/>
        <v>165.75</v>
      </c>
      <c r="I3384" s="3">
        <f t="shared" si="157"/>
        <v>3.5178759033459621E-2</v>
      </c>
    </row>
    <row r="3385" spans="2:9" x14ac:dyDescent="0.25">
      <c r="B3385" s="1">
        <v>40123</v>
      </c>
      <c r="C3385" s="2">
        <v>4796.1499999999996</v>
      </c>
      <c r="D3385" s="2">
        <v>4767.5</v>
      </c>
      <c r="E3385" s="2">
        <v>4836.2</v>
      </c>
      <c r="F3385" s="2">
        <v>4764.8500000000004</v>
      </c>
      <c r="G3385" s="3">
        <f t="shared" si="158"/>
        <v>6.4210846596928217E-3</v>
      </c>
      <c r="H3385" s="2">
        <f t="shared" si="156"/>
        <v>71.349999999999454</v>
      </c>
      <c r="I3385" s="3">
        <f t="shared" si="157"/>
        <v>1.496591504981635E-2</v>
      </c>
    </row>
    <row r="3386" spans="2:9" x14ac:dyDescent="0.25">
      <c r="B3386" s="1">
        <v>40126</v>
      </c>
      <c r="C3386" s="2">
        <v>4898.3999999999996</v>
      </c>
      <c r="D3386" s="2">
        <v>4796.1499999999996</v>
      </c>
      <c r="E3386" s="2">
        <v>4905.25</v>
      </c>
      <c r="F3386" s="2">
        <v>4789.8999999999996</v>
      </c>
      <c r="G3386" s="3">
        <f t="shared" si="158"/>
        <v>2.1319183094773875E-2</v>
      </c>
      <c r="H3386" s="2">
        <f t="shared" si="156"/>
        <v>115.35000000000036</v>
      </c>
      <c r="I3386" s="3">
        <f t="shared" si="157"/>
        <v>2.4050540537723042E-2</v>
      </c>
    </row>
    <row r="3387" spans="2:9" x14ac:dyDescent="0.25">
      <c r="B3387" s="1">
        <v>40127</v>
      </c>
      <c r="C3387" s="2">
        <v>4881.7</v>
      </c>
      <c r="D3387" s="2">
        <v>4898.8999999999996</v>
      </c>
      <c r="E3387" s="2">
        <v>4947.7</v>
      </c>
      <c r="F3387" s="2">
        <v>4860.1000000000004</v>
      </c>
      <c r="G3387" s="3">
        <f t="shared" si="158"/>
        <v>-3.4092764984484658E-3</v>
      </c>
      <c r="H3387" s="2">
        <f t="shared" si="156"/>
        <v>87.599999999999454</v>
      </c>
      <c r="I3387" s="3">
        <f t="shared" si="157"/>
        <v>1.7881565249341577E-2</v>
      </c>
    </row>
    <row r="3388" spans="2:9" x14ac:dyDescent="0.25">
      <c r="B3388" s="1">
        <v>40128</v>
      </c>
      <c r="C3388" s="2">
        <v>5003.95</v>
      </c>
      <c r="D3388" s="2">
        <v>4882.3</v>
      </c>
      <c r="E3388" s="2">
        <v>5016.7</v>
      </c>
      <c r="F3388" s="2">
        <v>4870.05</v>
      </c>
      <c r="G3388" s="3">
        <f t="shared" si="158"/>
        <v>2.5042505684495175E-2</v>
      </c>
      <c r="H3388" s="2">
        <f t="shared" si="156"/>
        <v>146.64999999999964</v>
      </c>
      <c r="I3388" s="3">
        <f t="shared" si="157"/>
        <v>3.0037072691149587E-2</v>
      </c>
    </row>
    <row r="3389" spans="2:9" x14ac:dyDescent="0.25">
      <c r="B3389" s="1">
        <v>40129</v>
      </c>
      <c r="C3389" s="2">
        <v>4952.6499999999996</v>
      </c>
      <c r="D3389" s="2">
        <v>5004.3999999999996</v>
      </c>
      <c r="E3389" s="2">
        <v>5014.3999999999996</v>
      </c>
      <c r="F3389" s="2">
        <v>4924.75</v>
      </c>
      <c r="G3389" s="3">
        <f t="shared" si="158"/>
        <v>-1.0251900998211494E-2</v>
      </c>
      <c r="H3389" s="2">
        <f t="shared" si="156"/>
        <v>89.649999999999636</v>
      </c>
      <c r="I3389" s="3">
        <f t="shared" si="157"/>
        <v>1.7914235472783879E-2</v>
      </c>
    </row>
    <row r="3390" spans="2:9" x14ac:dyDescent="0.25">
      <c r="B3390" s="1">
        <v>40130</v>
      </c>
      <c r="C3390" s="2">
        <v>4998.95</v>
      </c>
      <c r="D3390" s="2">
        <v>4952.3500000000004</v>
      </c>
      <c r="E3390" s="2">
        <v>5017.8999999999996</v>
      </c>
      <c r="F3390" s="2">
        <v>4942.6499999999996</v>
      </c>
      <c r="G3390" s="3">
        <f t="shared" si="158"/>
        <v>9.3485305846365829E-3</v>
      </c>
      <c r="H3390" s="2">
        <f t="shared" si="156"/>
        <v>75.25</v>
      </c>
      <c r="I3390" s="3">
        <f t="shared" si="157"/>
        <v>1.51948065060022E-2</v>
      </c>
    </row>
    <row r="3391" spans="2:9" x14ac:dyDescent="0.25">
      <c r="B3391" s="1">
        <v>40133</v>
      </c>
      <c r="C3391" s="2">
        <v>5058.05</v>
      </c>
      <c r="D3391" s="2">
        <v>4996.5</v>
      </c>
      <c r="E3391" s="2">
        <v>5073.2</v>
      </c>
      <c r="F3391" s="2">
        <v>4994</v>
      </c>
      <c r="G3391" s="3">
        <f t="shared" si="158"/>
        <v>1.1822482721371541E-2</v>
      </c>
      <c r="H3391" s="2">
        <f t="shared" si="156"/>
        <v>79.199999999999818</v>
      </c>
      <c r="I3391" s="3">
        <f t="shared" si="157"/>
        <v>1.5851095767036888E-2</v>
      </c>
    </row>
    <row r="3392" spans="2:9" x14ac:dyDescent="0.25">
      <c r="B3392" s="1">
        <v>40134</v>
      </c>
      <c r="C3392" s="2">
        <v>5062.25</v>
      </c>
      <c r="D3392" s="2">
        <v>5058.95</v>
      </c>
      <c r="E3392" s="2">
        <v>5074</v>
      </c>
      <c r="F3392" s="2">
        <v>5010.1499999999996</v>
      </c>
      <c r="G3392" s="3">
        <f t="shared" si="158"/>
        <v>8.3035952590426731E-4</v>
      </c>
      <c r="H3392" s="2">
        <f t="shared" si="156"/>
        <v>63.850000000000364</v>
      </c>
      <c r="I3392" s="3">
        <f t="shared" si="157"/>
        <v>1.2621196098004599E-2</v>
      </c>
    </row>
    <row r="3393" spans="2:9" x14ac:dyDescent="0.25">
      <c r="B3393" s="1">
        <v>40135</v>
      </c>
      <c r="C3393" s="2">
        <v>5054.7</v>
      </c>
      <c r="D3393" s="2">
        <v>5061.5</v>
      </c>
      <c r="E3393" s="2">
        <v>5079.3</v>
      </c>
      <c r="F3393" s="2">
        <v>5041.6499999999996</v>
      </c>
      <c r="G3393" s="3">
        <f t="shared" si="158"/>
        <v>-1.4914316756383661E-3</v>
      </c>
      <c r="H3393" s="2">
        <f t="shared" si="156"/>
        <v>37.650000000000546</v>
      </c>
      <c r="I3393" s="3">
        <f t="shared" si="157"/>
        <v>7.4385063716290714E-3</v>
      </c>
    </row>
    <row r="3394" spans="2:9" x14ac:dyDescent="0.25">
      <c r="B3394" s="1">
        <v>40136</v>
      </c>
      <c r="C3394" s="2">
        <v>4989</v>
      </c>
      <c r="D3394" s="2">
        <v>5043.95</v>
      </c>
      <c r="E3394" s="2">
        <v>5053.45</v>
      </c>
      <c r="F3394" s="2">
        <v>4963.7</v>
      </c>
      <c r="G3394" s="3">
        <f t="shared" si="158"/>
        <v>-1.2997804023977655E-2</v>
      </c>
      <c r="H3394" s="2">
        <f t="shared" si="156"/>
        <v>89.75</v>
      </c>
      <c r="I3394" s="3">
        <f t="shared" si="157"/>
        <v>1.7793594306049824E-2</v>
      </c>
    </row>
    <row r="3395" spans="2:9" x14ac:dyDescent="0.25">
      <c r="B3395" s="1">
        <v>40137</v>
      </c>
      <c r="C3395" s="2">
        <v>5052.45</v>
      </c>
      <c r="D3395" s="2">
        <v>4988.75</v>
      </c>
      <c r="E3395" s="2">
        <v>5063.3</v>
      </c>
      <c r="F3395" s="2">
        <v>4932.8</v>
      </c>
      <c r="G3395" s="3">
        <f t="shared" si="158"/>
        <v>1.2717979555020964E-2</v>
      </c>
      <c r="H3395" s="2">
        <f t="shared" si="156"/>
        <v>130.5</v>
      </c>
      <c r="I3395" s="3">
        <f t="shared" si="157"/>
        <v>2.6158857429215737E-2</v>
      </c>
    </row>
    <row r="3396" spans="2:9" x14ac:dyDescent="0.25">
      <c r="B3396" s="1">
        <v>40140</v>
      </c>
      <c r="C3396" s="2">
        <v>5103.55</v>
      </c>
      <c r="D3396" s="2">
        <v>5052.95</v>
      </c>
      <c r="E3396" s="2">
        <v>5113.1000000000004</v>
      </c>
      <c r="F3396" s="2">
        <v>5052.1000000000004</v>
      </c>
      <c r="G3396" s="3">
        <f t="shared" si="158"/>
        <v>1.0113905135132439E-2</v>
      </c>
      <c r="H3396" s="2">
        <f t="shared" si="156"/>
        <v>61</v>
      </c>
      <c r="I3396" s="3">
        <f t="shared" si="157"/>
        <v>1.2072155869343652E-2</v>
      </c>
    </row>
    <row r="3397" spans="2:9" x14ac:dyDescent="0.25">
      <c r="B3397" s="1">
        <v>40141</v>
      </c>
      <c r="C3397" s="2">
        <v>5090.55</v>
      </c>
      <c r="D3397" s="2">
        <v>5105</v>
      </c>
      <c r="E3397" s="2">
        <v>5112.8500000000004</v>
      </c>
      <c r="F3397" s="2">
        <v>5053.5</v>
      </c>
      <c r="G3397" s="3">
        <f t="shared" si="158"/>
        <v>-2.5472465244780196E-3</v>
      </c>
      <c r="H3397" s="2">
        <f t="shared" ref="H3397:H3460" si="159">E3397-F3397</f>
        <v>59.350000000000364</v>
      </c>
      <c r="I3397" s="3">
        <f t="shared" si="157"/>
        <v>1.1625857002938366E-2</v>
      </c>
    </row>
    <row r="3398" spans="2:9" x14ac:dyDescent="0.25">
      <c r="B3398" s="1">
        <v>40142</v>
      </c>
      <c r="C3398" s="2">
        <v>5108.1499999999996</v>
      </c>
      <c r="D3398" s="2">
        <v>5091.55</v>
      </c>
      <c r="E3398" s="2">
        <v>5138</v>
      </c>
      <c r="F3398" s="2">
        <v>5078.3500000000004</v>
      </c>
      <c r="G3398" s="3">
        <f t="shared" si="158"/>
        <v>3.4573867263849589E-3</v>
      </c>
      <c r="H3398" s="2">
        <f t="shared" si="159"/>
        <v>59.649999999999636</v>
      </c>
      <c r="I3398" s="3">
        <f t="shared" ref="I3398:I3461" si="160">H3398/D3398</f>
        <v>1.171548938928217E-2</v>
      </c>
    </row>
    <row r="3399" spans="2:9" x14ac:dyDescent="0.25">
      <c r="B3399" s="1">
        <v>40143</v>
      </c>
      <c r="C3399" s="2">
        <v>5005.55</v>
      </c>
      <c r="D3399" s="2">
        <v>5116.45</v>
      </c>
      <c r="E3399" s="2">
        <v>5116.45</v>
      </c>
      <c r="F3399" s="2">
        <v>4986.05</v>
      </c>
      <c r="G3399" s="3">
        <f t="shared" ref="G3399:G3462" si="161">C3399/C3398-1</f>
        <v>-2.0085549562953164E-2</v>
      </c>
      <c r="H3399" s="2">
        <f t="shared" si="159"/>
        <v>130.39999999999964</v>
      </c>
      <c r="I3399" s="3">
        <f t="shared" si="160"/>
        <v>2.5486421249108198E-2</v>
      </c>
    </row>
    <row r="3400" spans="2:9" x14ac:dyDescent="0.25">
      <c r="B3400" s="1">
        <v>40144</v>
      </c>
      <c r="C3400" s="2">
        <v>4941.75</v>
      </c>
      <c r="D3400" s="2">
        <v>5005.05</v>
      </c>
      <c r="E3400" s="2">
        <v>5005.05</v>
      </c>
      <c r="F3400" s="2">
        <v>4806.7</v>
      </c>
      <c r="G3400" s="3">
        <f t="shared" si="161"/>
        <v>-1.2745852104164457E-2</v>
      </c>
      <c r="H3400" s="2">
        <f t="shared" si="159"/>
        <v>198.35000000000036</v>
      </c>
      <c r="I3400" s="3">
        <f t="shared" si="160"/>
        <v>3.9629973726536268E-2</v>
      </c>
    </row>
    <row r="3401" spans="2:9" x14ac:dyDescent="0.25">
      <c r="B3401" s="1">
        <v>40147</v>
      </c>
      <c r="C3401" s="2">
        <v>5032.7</v>
      </c>
      <c r="D3401" s="2">
        <v>4942.25</v>
      </c>
      <c r="E3401" s="2">
        <v>5066.3500000000004</v>
      </c>
      <c r="F3401" s="2">
        <v>4942.25</v>
      </c>
      <c r="G3401" s="3">
        <f t="shared" si="161"/>
        <v>1.8404411392725306E-2</v>
      </c>
      <c r="H3401" s="2">
        <f t="shared" si="159"/>
        <v>124.10000000000036</v>
      </c>
      <c r="I3401" s="3">
        <f t="shared" si="160"/>
        <v>2.5110020739541779E-2</v>
      </c>
    </row>
    <row r="3402" spans="2:9" x14ac:dyDescent="0.25">
      <c r="B3402" s="1">
        <v>40148</v>
      </c>
      <c r="C3402" s="2">
        <v>5122</v>
      </c>
      <c r="D3402" s="2">
        <v>5039.7</v>
      </c>
      <c r="E3402" s="2">
        <v>5130.3500000000004</v>
      </c>
      <c r="F3402" s="2">
        <v>5038.8500000000004</v>
      </c>
      <c r="G3402" s="3">
        <f t="shared" si="161"/>
        <v>1.7743954537325912E-2</v>
      </c>
      <c r="H3402" s="2">
        <f t="shared" si="159"/>
        <v>91.5</v>
      </c>
      <c r="I3402" s="3">
        <f t="shared" si="160"/>
        <v>1.8155842609679149E-2</v>
      </c>
    </row>
    <row r="3403" spans="2:9" x14ac:dyDescent="0.25">
      <c r="B3403" s="1">
        <v>40149</v>
      </c>
      <c r="C3403" s="2">
        <v>5123.25</v>
      </c>
      <c r="D3403" s="2">
        <v>5122.75</v>
      </c>
      <c r="E3403" s="2">
        <v>5161.75</v>
      </c>
      <c r="F3403" s="2">
        <v>5111.75</v>
      </c>
      <c r="G3403" s="3">
        <f t="shared" si="161"/>
        <v>2.4404529480670512E-4</v>
      </c>
      <c r="H3403" s="2">
        <f t="shared" si="159"/>
        <v>50</v>
      </c>
      <c r="I3403" s="3">
        <f t="shared" si="160"/>
        <v>9.7603826069981945E-3</v>
      </c>
    </row>
    <row r="3404" spans="2:9" x14ac:dyDescent="0.25">
      <c r="B3404" s="1">
        <v>40150</v>
      </c>
      <c r="C3404" s="2">
        <v>5131.7</v>
      </c>
      <c r="D3404" s="2">
        <v>5124.55</v>
      </c>
      <c r="E3404" s="2">
        <v>5181</v>
      </c>
      <c r="F3404" s="2">
        <v>5106.6000000000004</v>
      </c>
      <c r="G3404" s="3">
        <f t="shared" si="161"/>
        <v>1.6493436783291404E-3</v>
      </c>
      <c r="H3404" s="2">
        <f t="shared" si="159"/>
        <v>74.399999999999636</v>
      </c>
      <c r="I3404" s="3">
        <f t="shared" si="160"/>
        <v>1.4518347952503076E-2</v>
      </c>
    </row>
    <row r="3405" spans="2:9" x14ac:dyDescent="0.25">
      <c r="B3405" s="1">
        <v>40151</v>
      </c>
      <c r="C3405" s="2">
        <v>5108.8999999999996</v>
      </c>
      <c r="D3405" s="2">
        <v>5131.7</v>
      </c>
      <c r="E3405" s="2">
        <v>5161.8</v>
      </c>
      <c r="F3405" s="2">
        <v>5081.8500000000004</v>
      </c>
      <c r="G3405" s="3">
        <f t="shared" si="161"/>
        <v>-4.4429721145039514E-3</v>
      </c>
      <c r="H3405" s="2">
        <f t="shared" si="159"/>
        <v>79.949999999999818</v>
      </c>
      <c r="I3405" s="3">
        <f t="shared" si="160"/>
        <v>1.5579632480464529E-2</v>
      </c>
    </row>
    <row r="3406" spans="2:9" x14ac:dyDescent="0.25">
      <c r="B3406" s="1">
        <v>40154</v>
      </c>
      <c r="C3406" s="2">
        <v>5066.7</v>
      </c>
      <c r="D3406" s="2">
        <v>5108.8500000000004</v>
      </c>
      <c r="E3406" s="2">
        <v>5131.3</v>
      </c>
      <c r="F3406" s="2">
        <v>5051.55</v>
      </c>
      <c r="G3406" s="3">
        <f t="shared" si="161"/>
        <v>-8.2600951281097679E-3</v>
      </c>
      <c r="H3406" s="2">
        <f t="shared" si="159"/>
        <v>79.75</v>
      </c>
      <c r="I3406" s="3">
        <f t="shared" si="160"/>
        <v>1.5610166671560136E-2</v>
      </c>
    </row>
    <row r="3407" spans="2:9" x14ac:dyDescent="0.25">
      <c r="B3407" s="1">
        <v>40155</v>
      </c>
      <c r="C3407" s="2">
        <v>5147.95</v>
      </c>
      <c r="D3407" s="2">
        <v>5068.55</v>
      </c>
      <c r="E3407" s="2">
        <v>5152.55</v>
      </c>
      <c r="F3407" s="2">
        <v>5058.8999999999996</v>
      </c>
      <c r="G3407" s="3">
        <f t="shared" si="161"/>
        <v>1.603607871000845E-2</v>
      </c>
      <c r="H3407" s="2">
        <f t="shared" si="159"/>
        <v>93.650000000000546</v>
      </c>
      <c r="I3407" s="3">
        <f t="shared" si="160"/>
        <v>1.8476684653401968E-2</v>
      </c>
    </row>
    <row r="3408" spans="2:9" x14ac:dyDescent="0.25">
      <c r="B3408" s="1">
        <v>40156</v>
      </c>
      <c r="C3408" s="2">
        <v>5112</v>
      </c>
      <c r="D3408" s="2">
        <v>5147.6499999999996</v>
      </c>
      <c r="E3408" s="2">
        <v>5147.6499999999996</v>
      </c>
      <c r="F3408" s="2">
        <v>5090.6000000000004</v>
      </c>
      <c r="G3408" s="3">
        <f t="shared" si="161"/>
        <v>-6.9833623092686592E-3</v>
      </c>
      <c r="H3408" s="2">
        <f t="shared" si="159"/>
        <v>57.049999999999272</v>
      </c>
      <c r="I3408" s="3">
        <f t="shared" si="160"/>
        <v>1.1082727069633575E-2</v>
      </c>
    </row>
    <row r="3409" spans="2:9" x14ac:dyDescent="0.25">
      <c r="B3409" s="1">
        <v>40157</v>
      </c>
      <c r="C3409" s="2">
        <v>5134.6499999999996</v>
      </c>
      <c r="D3409" s="2">
        <v>5112.3999999999996</v>
      </c>
      <c r="E3409" s="2">
        <v>5146.45</v>
      </c>
      <c r="F3409" s="2">
        <v>5084.6499999999996</v>
      </c>
      <c r="G3409" s="3">
        <f t="shared" si="161"/>
        <v>4.4307511737089467E-3</v>
      </c>
      <c r="H3409" s="2">
        <f t="shared" si="159"/>
        <v>61.800000000000182</v>
      </c>
      <c r="I3409" s="3">
        <f t="shared" si="160"/>
        <v>1.2088256005007469E-2</v>
      </c>
    </row>
    <row r="3410" spans="2:9" x14ac:dyDescent="0.25">
      <c r="B3410" s="1">
        <v>40158</v>
      </c>
      <c r="C3410" s="2">
        <v>5117.3</v>
      </c>
      <c r="D3410" s="2">
        <v>5136.05</v>
      </c>
      <c r="E3410" s="2">
        <v>5182.55</v>
      </c>
      <c r="F3410" s="2">
        <v>5088.3999999999996</v>
      </c>
      <c r="G3410" s="3">
        <f t="shared" si="161"/>
        <v>-3.3790034374299172E-3</v>
      </c>
      <c r="H3410" s="2">
        <f t="shared" si="159"/>
        <v>94.150000000000546</v>
      </c>
      <c r="I3410" s="3">
        <f t="shared" si="160"/>
        <v>1.8331207834814799E-2</v>
      </c>
    </row>
    <row r="3411" spans="2:9" x14ac:dyDescent="0.25">
      <c r="B3411" s="1">
        <v>40161</v>
      </c>
      <c r="C3411" s="2">
        <v>5105.7</v>
      </c>
      <c r="D3411" s="2">
        <v>5117.45</v>
      </c>
      <c r="E3411" s="2">
        <v>5156.7</v>
      </c>
      <c r="F3411" s="2">
        <v>5090.1499999999996</v>
      </c>
      <c r="G3411" s="3">
        <f t="shared" si="161"/>
        <v>-2.2668203935669595E-3</v>
      </c>
      <c r="H3411" s="2">
        <f t="shared" si="159"/>
        <v>66.550000000000182</v>
      </c>
      <c r="I3411" s="3">
        <f t="shared" si="160"/>
        <v>1.3004523737408315E-2</v>
      </c>
    </row>
    <row r="3412" spans="2:9" x14ac:dyDescent="0.25">
      <c r="B3412" s="1">
        <v>40162</v>
      </c>
      <c r="C3412" s="2">
        <v>5033.05</v>
      </c>
      <c r="D3412" s="2">
        <v>5105.75</v>
      </c>
      <c r="E3412" s="2">
        <v>5129.45</v>
      </c>
      <c r="F3412" s="2">
        <v>5018.25</v>
      </c>
      <c r="G3412" s="3">
        <f t="shared" si="161"/>
        <v>-1.4229194821474E-2</v>
      </c>
      <c r="H3412" s="2">
        <f t="shared" si="159"/>
        <v>111.19999999999982</v>
      </c>
      <c r="I3412" s="3">
        <f t="shared" si="160"/>
        <v>2.177936640062671E-2</v>
      </c>
    </row>
    <row r="3413" spans="2:9" x14ac:dyDescent="0.25">
      <c r="B3413" s="1">
        <v>40163</v>
      </c>
      <c r="C3413" s="2">
        <v>5042.05</v>
      </c>
      <c r="D3413" s="2">
        <v>5032.95</v>
      </c>
      <c r="E3413" s="2">
        <v>5067.25</v>
      </c>
      <c r="F3413" s="2">
        <v>5001.8</v>
      </c>
      <c r="G3413" s="3">
        <f t="shared" si="161"/>
        <v>1.7881801293451183E-3</v>
      </c>
      <c r="H3413" s="2">
        <f t="shared" si="159"/>
        <v>65.449999999999818</v>
      </c>
      <c r="I3413" s="3">
        <f t="shared" si="160"/>
        <v>1.3004301652112542E-2</v>
      </c>
    </row>
    <row r="3414" spans="2:9" x14ac:dyDescent="0.25">
      <c r="B3414" s="1">
        <v>40164</v>
      </c>
      <c r="C3414" s="2">
        <v>5041.75</v>
      </c>
      <c r="D3414" s="2">
        <v>5046.6499999999996</v>
      </c>
      <c r="E3414" s="2">
        <v>5064.2</v>
      </c>
      <c r="F3414" s="2">
        <v>5013.1499999999996</v>
      </c>
      <c r="G3414" s="3">
        <f t="shared" si="161"/>
        <v>-5.9499608294322215E-5</v>
      </c>
      <c r="H3414" s="2">
        <f t="shared" si="159"/>
        <v>51.050000000000182</v>
      </c>
      <c r="I3414" s="3">
        <f t="shared" si="160"/>
        <v>1.0115621253702987E-2</v>
      </c>
    </row>
    <row r="3415" spans="2:9" x14ac:dyDescent="0.25">
      <c r="B3415" s="1">
        <v>40165</v>
      </c>
      <c r="C3415" s="2">
        <v>4987.7</v>
      </c>
      <c r="D3415" s="2">
        <v>5042</v>
      </c>
      <c r="E3415" s="2">
        <v>5043.3999999999996</v>
      </c>
      <c r="F3415" s="2">
        <v>4979.05</v>
      </c>
      <c r="G3415" s="3">
        <f t="shared" si="161"/>
        <v>-1.0720483958942872E-2</v>
      </c>
      <c r="H3415" s="2">
        <f t="shared" si="159"/>
        <v>64.349999999999454</v>
      </c>
      <c r="I3415" s="3">
        <f t="shared" si="160"/>
        <v>1.2762792542641701E-2</v>
      </c>
    </row>
    <row r="3416" spans="2:9" x14ac:dyDescent="0.25">
      <c r="B3416" s="1">
        <v>40168</v>
      </c>
      <c r="C3416" s="2">
        <v>4952.6000000000004</v>
      </c>
      <c r="D3416" s="2">
        <v>4983.6499999999996</v>
      </c>
      <c r="E3416" s="2">
        <v>4997.8500000000004</v>
      </c>
      <c r="F3416" s="2">
        <v>4943.95</v>
      </c>
      <c r="G3416" s="3">
        <f t="shared" si="161"/>
        <v>-7.0373117869958479E-3</v>
      </c>
      <c r="H3416" s="2">
        <f t="shared" si="159"/>
        <v>53.900000000000546</v>
      </c>
      <c r="I3416" s="3">
        <f t="shared" si="160"/>
        <v>1.0815366247629859E-2</v>
      </c>
    </row>
    <row r="3417" spans="2:9" x14ac:dyDescent="0.25">
      <c r="B3417" s="1">
        <v>40169</v>
      </c>
      <c r="C3417" s="2">
        <v>4985.8500000000004</v>
      </c>
      <c r="D3417" s="2">
        <v>4953.3500000000004</v>
      </c>
      <c r="E3417" s="2">
        <v>4997.3</v>
      </c>
      <c r="F3417" s="2">
        <v>4953.3500000000004</v>
      </c>
      <c r="G3417" s="3">
        <f t="shared" si="161"/>
        <v>6.7136453579936806E-3</v>
      </c>
      <c r="H3417" s="2">
        <f t="shared" si="159"/>
        <v>43.949999999999818</v>
      </c>
      <c r="I3417" s="3">
        <f t="shared" si="160"/>
        <v>8.8727830660057967E-3</v>
      </c>
    </row>
    <row r="3418" spans="2:9" x14ac:dyDescent="0.25">
      <c r="B3418" s="1">
        <v>40170</v>
      </c>
      <c r="C3418" s="2">
        <v>5144.6000000000004</v>
      </c>
      <c r="D3418" s="2">
        <v>4990.05</v>
      </c>
      <c r="E3418" s="2">
        <v>5150.6000000000004</v>
      </c>
      <c r="F3418" s="2">
        <v>4990.05</v>
      </c>
      <c r="G3418" s="3">
        <f t="shared" si="161"/>
        <v>3.1840107504236936E-2</v>
      </c>
      <c r="H3418" s="2">
        <f t="shared" si="159"/>
        <v>160.55000000000018</v>
      </c>
      <c r="I3418" s="3">
        <f t="shared" si="160"/>
        <v>3.2174026312361638E-2</v>
      </c>
    </row>
    <row r="3419" spans="2:9" x14ac:dyDescent="0.25">
      <c r="B3419" s="1">
        <v>40171</v>
      </c>
      <c r="C3419" s="2">
        <v>5178.3999999999996</v>
      </c>
      <c r="D3419" s="2">
        <v>5144.8</v>
      </c>
      <c r="E3419" s="2">
        <v>5197.8999999999996</v>
      </c>
      <c r="F3419" s="2">
        <v>5129.05</v>
      </c>
      <c r="G3419" s="3">
        <f t="shared" si="161"/>
        <v>6.5699957236713402E-3</v>
      </c>
      <c r="H3419" s="2">
        <f t="shared" si="159"/>
        <v>68.849999999999454</v>
      </c>
      <c r="I3419" s="3">
        <f t="shared" si="160"/>
        <v>1.3382444409889491E-2</v>
      </c>
    </row>
    <row r="3420" spans="2:9" x14ac:dyDescent="0.25">
      <c r="B3420" s="1">
        <v>40176</v>
      </c>
      <c r="C3420" s="2">
        <v>5187.95</v>
      </c>
      <c r="D3420" s="2">
        <v>5180.75</v>
      </c>
      <c r="E3420" s="2">
        <v>5214.6000000000004</v>
      </c>
      <c r="F3420" s="2">
        <v>5175.8500000000004</v>
      </c>
      <c r="G3420" s="3">
        <f t="shared" si="161"/>
        <v>1.8441989803801295E-3</v>
      </c>
      <c r="H3420" s="2">
        <f t="shared" si="159"/>
        <v>38.75</v>
      </c>
      <c r="I3420" s="3">
        <f t="shared" si="160"/>
        <v>7.4796120252859141E-3</v>
      </c>
    </row>
    <row r="3421" spans="2:9" x14ac:dyDescent="0.25">
      <c r="B3421" s="1">
        <v>40177</v>
      </c>
      <c r="C3421" s="2">
        <v>5169.45</v>
      </c>
      <c r="D3421" s="2">
        <v>5188.75</v>
      </c>
      <c r="E3421" s="2">
        <v>5197.05</v>
      </c>
      <c r="F3421" s="2">
        <v>5160.1000000000004</v>
      </c>
      <c r="G3421" s="3">
        <f t="shared" si="161"/>
        <v>-3.5659557243227225E-3</v>
      </c>
      <c r="H3421" s="2">
        <f t="shared" si="159"/>
        <v>36.949999999999818</v>
      </c>
      <c r="I3421" s="3">
        <f t="shared" si="160"/>
        <v>7.1211756203324152E-3</v>
      </c>
    </row>
    <row r="3422" spans="2:9" x14ac:dyDescent="0.25">
      <c r="B3422" s="1">
        <v>40178</v>
      </c>
      <c r="C3422" s="2">
        <v>5201.05</v>
      </c>
      <c r="D3422" s="2">
        <v>5171.2</v>
      </c>
      <c r="E3422" s="2">
        <v>5221.8500000000004</v>
      </c>
      <c r="F3422" s="2">
        <v>5168.75</v>
      </c>
      <c r="G3422" s="3">
        <f t="shared" si="161"/>
        <v>6.112835988354659E-3</v>
      </c>
      <c r="H3422" s="2">
        <f t="shared" si="159"/>
        <v>53.100000000000364</v>
      </c>
      <c r="I3422" s="3">
        <f t="shared" si="160"/>
        <v>1.0268409653465418E-2</v>
      </c>
    </row>
    <row r="3423" spans="2:9" x14ac:dyDescent="0.25">
      <c r="B3423" s="1">
        <v>40182</v>
      </c>
      <c r="C3423" s="2">
        <v>5232.2</v>
      </c>
      <c r="D3423" s="2">
        <v>5200.8999999999996</v>
      </c>
      <c r="E3423" s="2">
        <v>5238.45</v>
      </c>
      <c r="F3423" s="2">
        <v>5167.1000000000004</v>
      </c>
      <c r="G3423" s="3">
        <f t="shared" si="161"/>
        <v>5.9891752626872741E-3</v>
      </c>
      <c r="H3423" s="2">
        <f t="shared" si="159"/>
        <v>71.349999999999454</v>
      </c>
      <c r="I3423" s="3">
        <f t="shared" si="160"/>
        <v>1.3718779442019546E-2</v>
      </c>
    </row>
    <row r="3424" spans="2:9" x14ac:dyDescent="0.25">
      <c r="B3424" s="1">
        <v>40183</v>
      </c>
      <c r="C3424" s="2">
        <v>5277.9</v>
      </c>
      <c r="D3424" s="2">
        <v>5277.15</v>
      </c>
      <c r="E3424" s="2">
        <v>5288.35</v>
      </c>
      <c r="F3424" s="2">
        <v>5242.3999999999996</v>
      </c>
      <c r="G3424" s="3">
        <f t="shared" si="161"/>
        <v>8.7343755972630888E-3</v>
      </c>
      <c r="H3424" s="2">
        <f t="shared" si="159"/>
        <v>45.950000000000728</v>
      </c>
      <c r="I3424" s="3">
        <f t="shared" si="160"/>
        <v>8.7073515060213814E-3</v>
      </c>
    </row>
    <row r="3425" spans="2:9" x14ac:dyDescent="0.25">
      <c r="B3425" s="1">
        <v>40184</v>
      </c>
      <c r="C3425" s="2">
        <v>5281.8</v>
      </c>
      <c r="D3425" s="2">
        <v>5278.15</v>
      </c>
      <c r="E3425" s="2">
        <v>5310.85</v>
      </c>
      <c r="F3425" s="2">
        <v>5260.05</v>
      </c>
      <c r="G3425" s="3">
        <f t="shared" si="161"/>
        <v>7.3893025635207721E-4</v>
      </c>
      <c r="H3425" s="2">
        <f t="shared" si="159"/>
        <v>50.800000000000182</v>
      </c>
      <c r="I3425" s="3">
        <f t="shared" si="160"/>
        <v>9.6245843714180511E-3</v>
      </c>
    </row>
    <row r="3426" spans="2:9" x14ac:dyDescent="0.25">
      <c r="B3426" s="1">
        <v>40185</v>
      </c>
      <c r="C3426" s="2">
        <v>5263.1</v>
      </c>
      <c r="D3426" s="2">
        <v>5281.8</v>
      </c>
      <c r="E3426" s="2">
        <v>5302.55</v>
      </c>
      <c r="F3426" s="2">
        <v>5244.75</v>
      </c>
      <c r="G3426" s="3">
        <f t="shared" si="161"/>
        <v>-3.5404596917717468E-3</v>
      </c>
      <c r="H3426" s="2">
        <f t="shared" si="159"/>
        <v>57.800000000000182</v>
      </c>
      <c r="I3426" s="3">
        <f t="shared" si="160"/>
        <v>1.0943239047294518E-2</v>
      </c>
    </row>
    <row r="3427" spans="2:9" x14ac:dyDescent="0.25">
      <c r="B3427" s="1">
        <v>40186</v>
      </c>
      <c r="C3427" s="2">
        <v>5244.75</v>
      </c>
      <c r="D3427" s="2">
        <v>5264.25</v>
      </c>
      <c r="E3427" s="2">
        <v>5276.75</v>
      </c>
      <c r="F3427" s="2">
        <v>5234.7</v>
      </c>
      <c r="G3427" s="3">
        <f t="shared" si="161"/>
        <v>-3.4865383519219195E-3</v>
      </c>
      <c r="H3427" s="2">
        <f t="shared" si="159"/>
        <v>42.050000000000182</v>
      </c>
      <c r="I3427" s="3">
        <f t="shared" si="160"/>
        <v>7.9878425226765793E-3</v>
      </c>
    </row>
    <row r="3428" spans="2:9" x14ac:dyDescent="0.25">
      <c r="B3428" s="1">
        <v>40189</v>
      </c>
      <c r="C3428" s="2">
        <v>5249.4</v>
      </c>
      <c r="D3428" s="2">
        <v>5263.8</v>
      </c>
      <c r="E3428" s="2">
        <v>5287.2</v>
      </c>
      <c r="F3428" s="2">
        <v>5227.8</v>
      </c>
      <c r="G3428" s="3">
        <f t="shared" si="161"/>
        <v>8.8660088660086345E-4</v>
      </c>
      <c r="H3428" s="2">
        <f t="shared" si="159"/>
        <v>59.399999999999636</v>
      </c>
      <c r="I3428" s="3">
        <f t="shared" si="160"/>
        <v>1.1284623275960264E-2</v>
      </c>
    </row>
    <row r="3429" spans="2:9" x14ac:dyDescent="0.25">
      <c r="B3429" s="1">
        <v>40190</v>
      </c>
      <c r="C3429" s="2">
        <v>5210.3999999999996</v>
      </c>
      <c r="D3429" s="2">
        <v>5251.1</v>
      </c>
      <c r="E3429" s="2">
        <v>5300.5</v>
      </c>
      <c r="F3429" s="2">
        <v>5200.95</v>
      </c>
      <c r="G3429" s="3">
        <f t="shared" si="161"/>
        <v>-7.429420505200568E-3</v>
      </c>
      <c r="H3429" s="2">
        <f t="shared" si="159"/>
        <v>99.550000000000182</v>
      </c>
      <c r="I3429" s="3">
        <f t="shared" si="160"/>
        <v>1.8957932623640796E-2</v>
      </c>
    </row>
    <row r="3430" spans="2:9" x14ac:dyDescent="0.25">
      <c r="B3430" s="1">
        <v>40191</v>
      </c>
      <c r="C3430" s="2">
        <v>5233.95</v>
      </c>
      <c r="D3430" s="2">
        <v>5212.6000000000004</v>
      </c>
      <c r="E3430" s="2">
        <v>5239.2</v>
      </c>
      <c r="F3430" s="2">
        <v>5169.55</v>
      </c>
      <c r="G3430" s="3">
        <f t="shared" si="161"/>
        <v>4.5198065407645593E-3</v>
      </c>
      <c r="H3430" s="2">
        <f t="shared" si="159"/>
        <v>69.649999999999636</v>
      </c>
      <c r="I3430" s="3">
        <f t="shared" si="160"/>
        <v>1.3361853969228338E-2</v>
      </c>
    </row>
    <row r="3431" spans="2:9" x14ac:dyDescent="0.25">
      <c r="B3431" s="1">
        <v>40192</v>
      </c>
      <c r="C3431" s="2">
        <v>5259.9</v>
      </c>
      <c r="D3431" s="2">
        <v>5234.5</v>
      </c>
      <c r="E3431" s="2">
        <v>5272.85</v>
      </c>
      <c r="F3431" s="2">
        <v>5232.5</v>
      </c>
      <c r="G3431" s="3">
        <f t="shared" si="161"/>
        <v>4.9580145014758159E-3</v>
      </c>
      <c r="H3431" s="2">
        <f t="shared" si="159"/>
        <v>40.350000000000364</v>
      </c>
      <c r="I3431" s="3">
        <f t="shared" si="160"/>
        <v>7.708472633489419E-3</v>
      </c>
    </row>
    <row r="3432" spans="2:9" x14ac:dyDescent="0.25">
      <c r="B3432" s="1">
        <v>40193</v>
      </c>
      <c r="C3432" s="2">
        <v>5252.2</v>
      </c>
      <c r="D3432" s="2">
        <v>5259.9</v>
      </c>
      <c r="E3432" s="2">
        <v>5279.85</v>
      </c>
      <c r="F3432" s="2">
        <v>5242.45</v>
      </c>
      <c r="G3432" s="3">
        <f t="shared" si="161"/>
        <v>-1.4639061579116985E-3</v>
      </c>
      <c r="H3432" s="2">
        <f t="shared" si="159"/>
        <v>37.400000000000546</v>
      </c>
      <c r="I3432" s="3">
        <f t="shared" si="160"/>
        <v>7.1104013384285913E-3</v>
      </c>
    </row>
    <row r="3433" spans="2:9" x14ac:dyDescent="0.25">
      <c r="B3433" s="1">
        <v>40196</v>
      </c>
      <c r="C3433" s="2">
        <v>5274.85</v>
      </c>
      <c r="D3433" s="2">
        <v>5253.65</v>
      </c>
      <c r="E3433" s="2">
        <v>5292.5</v>
      </c>
      <c r="F3433" s="2">
        <v>5228.95</v>
      </c>
      <c r="G3433" s="3">
        <f t="shared" si="161"/>
        <v>4.3124785804045107E-3</v>
      </c>
      <c r="H3433" s="2">
        <f t="shared" si="159"/>
        <v>63.550000000000182</v>
      </c>
      <c r="I3433" s="3">
        <f t="shared" si="160"/>
        <v>1.2096352059996419E-2</v>
      </c>
    </row>
    <row r="3434" spans="2:9" x14ac:dyDescent="0.25">
      <c r="B3434" s="1">
        <v>40197</v>
      </c>
      <c r="C3434" s="2">
        <v>5225.6499999999996</v>
      </c>
      <c r="D3434" s="2">
        <v>5274.2</v>
      </c>
      <c r="E3434" s="2">
        <v>5287.8</v>
      </c>
      <c r="F3434" s="2">
        <v>5218.6499999999996</v>
      </c>
      <c r="G3434" s="3">
        <f t="shared" si="161"/>
        <v>-9.3272794487048172E-3</v>
      </c>
      <c r="H3434" s="2">
        <f t="shared" si="159"/>
        <v>69.150000000000546</v>
      </c>
      <c r="I3434" s="3">
        <f t="shared" si="160"/>
        <v>1.3110993136399938E-2</v>
      </c>
    </row>
    <row r="3435" spans="2:9" x14ac:dyDescent="0.25">
      <c r="B3435" s="1">
        <v>40198</v>
      </c>
      <c r="C3435" s="2">
        <v>5221.7</v>
      </c>
      <c r="D3435" s="2">
        <v>5226.1000000000004</v>
      </c>
      <c r="E3435" s="2">
        <v>5256.7</v>
      </c>
      <c r="F3435" s="2">
        <v>5201.3999999999996</v>
      </c>
      <c r="G3435" s="3">
        <f t="shared" si="161"/>
        <v>-7.5588682747596003E-4</v>
      </c>
      <c r="H3435" s="2">
        <f t="shared" si="159"/>
        <v>55.300000000000182</v>
      </c>
      <c r="I3435" s="3">
        <f t="shared" si="160"/>
        <v>1.0581504372285295E-2</v>
      </c>
    </row>
    <row r="3436" spans="2:9" x14ac:dyDescent="0.25">
      <c r="B3436" s="1">
        <v>40199</v>
      </c>
      <c r="C3436" s="2">
        <v>5094.1499999999996</v>
      </c>
      <c r="D3436" s="2">
        <v>5220.2</v>
      </c>
      <c r="E3436" s="2">
        <v>5220.3500000000004</v>
      </c>
      <c r="F3436" s="2">
        <v>5085.45</v>
      </c>
      <c r="G3436" s="3">
        <f t="shared" si="161"/>
        <v>-2.4426910776184085E-2</v>
      </c>
      <c r="H3436" s="2">
        <f t="shared" si="159"/>
        <v>134.90000000000055</v>
      </c>
      <c r="I3436" s="3">
        <f t="shared" si="160"/>
        <v>2.5841921765449704E-2</v>
      </c>
    </row>
    <row r="3437" spans="2:9" x14ac:dyDescent="0.25">
      <c r="B3437" s="1">
        <v>40200</v>
      </c>
      <c r="C3437" s="2">
        <v>5036</v>
      </c>
      <c r="D3437" s="2">
        <v>5094.1499999999996</v>
      </c>
      <c r="E3437" s="2">
        <v>5094.1499999999996</v>
      </c>
      <c r="F3437" s="2">
        <v>4954.8500000000004</v>
      </c>
      <c r="G3437" s="3">
        <f t="shared" si="161"/>
        <v>-1.1415054523325696E-2</v>
      </c>
      <c r="H3437" s="2">
        <f t="shared" si="159"/>
        <v>139.29999999999927</v>
      </c>
      <c r="I3437" s="3">
        <f t="shared" si="160"/>
        <v>2.7345091919162037E-2</v>
      </c>
    </row>
    <row r="3438" spans="2:9" x14ac:dyDescent="0.25">
      <c r="B3438" s="1">
        <v>40203</v>
      </c>
      <c r="C3438" s="2">
        <v>5007.8999999999996</v>
      </c>
      <c r="D3438" s="2">
        <v>5034.55</v>
      </c>
      <c r="E3438" s="2">
        <v>5035.7</v>
      </c>
      <c r="F3438" s="2">
        <v>4983.05</v>
      </c>
      <c r="G3438" s="3">
        <f t="shared" si="161"/>
        <v>-5.5798252581414909E-3</v>
      </c>
      <c r="H3438" s="2">
        <f t="shared" si="159"/>
        <v>52.649999999999636</v>
      </c>
      <c r="I3438" s="3">
        <f t="shared" si="160"/>
        <v>1.0457737037073747E-2</v>
      </c>
    </row>
    <row r="3439" spans="2:9" x14ac:dyDescent="0.25">
      <c r="B3439" s="1">
        <v>40205</v>
      </c>
      <c r="C3439" s="2">
        <v>4853.1000000000004</v>
      </c>
      <c r="D3439" s="2">
        <v>5008.5</v>
      </c>
      <c r="E3439" s="2">
        <v>5008.5</v>
      </c>
      <c r="F3439" s="2">
        <v>4833.05</v>
      </c>
      <c r="G3439" s="3">
        <f t="shared" si="161"/>
        <v>-3.091116036662056E-2</v>
      </c>
      <c r="H3439" s="2">
        <f t="shared" si="159"/>
        <v>175.44999999999982</v>
      </c>
      <c r="I3439" s="3">
        <f t="shared" si="160"/>
        <v>3.5030448237995372E-2</v>
      </c>
    </row>
    <row r="3440" spans="2:9" x14ac:dyDescent="0.25">
      <c r="B3440" s="1">
        <v>40206</v>
      </c>
      <c r="C3440" s="2">
        <v>4867.25</v>
      </c>
      <c r="D3440" s="2">
        <v>4863</v>
      </c>
      <c r="E3440" s="2">
        <v>4929.8999999999996</v>
      </c>
      <c r="F3440" s="2">
        <v>4824.95</v>
      </c>
      <c r="G3440" s="3">
        <f t="shared" si="161"/>
        <v>2.9156621540868954E-3</v>
      </c>
      <c r="H3440" s="2">
        <f t="shared" si="159"/>
        <v>104.94999999999982</v>
      </c>
      <c r="I3440" s="3">
        <f t="shared" si="160"/>
        <v>2.1581328398108127E-2</v>
      </c>
    </row>
    <row r="3441" spans="2:9" x14ac:dyDescent="0.25">
      <c r="B3441" s="1">
        <v>40207</v>
      </c>
      <c r="C3441" s="2">
        <v>4882.05</v>
      </c>
      <c r="D3441" s="2">
        <v>4866.1499999999996</v>
      </c>
      <c r="E3441" s="2">
        <v>4893.7</v>
      </c>
      <c r="F3441" s="2">
        <v>4766</v>
      </c>
      <c r="G3441" s="3">
        <f t="shared" si="161"/>
        <v>3.0407314191791546E-3</v>
      </c>
      <c r="H3441" s="2">
        <f t="shared" si="159"/>
        <v>127.69999999999982</v>
      </c>
      <c r="I3441" s="3">
        <f t="shared" si="160"/>
        <v>2.6242512047511858E-2</v>
      </c>
    </row>
    <row r="3442" spans="2:9" x14ac:dyDescent="0.25">
      <c r="B3442" s="1">
        <v>40210</v>
      </c>
      <c r="C3442" s="2">
        <v>4899.7</v>
      </c>
      <c r="D3442" s="2">
        <v>4882.05</v>
      </c>
      <c r="E3442" s="2">
        <v>4918.8</v>
      </c>
      <c r="F3442" s="2">
        <v>4827.1499999999996</v>
      </c>
      <c r="G3442" s="3">
        <f t="shared" si="161"/>
        <v>3.6152845628372177E-3</v>
      </c>
      <c r="H3442" s="2">
        <f t="shared" si="159"/>
        <v>91.650000000000546</v>
      </c>
      <c r="I3442" s="3">
        <f t="shared" si="160"/>
        <v>1.8772851568501048E-2</v>
      </c>
    </row>
    <row r="3443" spans="2:9" x14ac:dyDescent="0.25">
      <c r="B3443" s="1">
        <v>40211</v>
      </c>
      <c r="C3443" s="2">
        <v>4830.1000000000004</v>
      </c>
      <c r="D3443" s="2">
        <v>4907.8500000000004</v>
      </c>
      <c r="E3443" s="2">
        <v>4951.1499999999996</v>
      </c>
      <c r="F3443" s="2">
        <v>4814.1000000000004</v>
      </c>
      <c r="G3443" s="3">
        <f t="shared" si="161"/>
        <v>-1.4204951323550263E-2</v>
      </c>
      <c r="H3443" s="2">
        <f t="shared" si="159"/>
        <v>137.04999999999927</v>
      </c>
      <c r="I3443" s="3">
        <f t="shared" si="160"/>
        <v>2.7924651323899315E-2</v>
      </c>
    </row>
    <row r="3444" spans="2:9" x14ac:dyDescent="0.25">
      <c r="B3444" s="1">
        <v>40212</v>
      </c>
      <c r="C3444" s="2">
        <v>4931.8500000000004</v>
      </c>
      <c r="D3444" s="2">
        <v>4831</v>
      </c>
      <c r="E3444" s="2">
        <v>4949.1499999999996</v>
      </c>
      <c r="F3444" s="2">
        <v>4831</v>
      </c>
      <c r="G3444" s="3">
        <f t="shared" si="161"/>
        <v>2.1065816442723762E-2</v>
      </c>
      <c r="H3444" s="2">
        <f t="shared" si="159"/>
        <v>118.14999999999964</v>
      </c>
      <c r="I3444" s="3">
        <f t="shared" si="160"/>
        <v>2.4456634237217893E-2</v>
      </c>
    </row>
    <row r="3445" spans="2:9" x14ac:dyDescent="0.25">
      <c r="B3445" s="1">
        <v>40213</v>
      </c>
      <c r="C3445" s="2">
        <v>4845.3500000000004</v>
      </c>
      <c r="D3445" s="2">
        <v>4931.3</v>
      </c>
      <c r="E3445" s="2">
        <v>4931.3</v>
      </c>
      <c r="F3445" s="2">
        <v>4832.3500000000004</v>
      </c>
      <c r="G3445" s="3">
        <f t="shared" si="161"/>
        <v>-1.7539057351703691E-2</v>
      </c>
      <c r="H3445" s="2">
        <f t="shared" si="159"/>
        <v>98.949999999999818</v>
      </c>
      <c r="I3445" s="3">
        <f t="shared" si="160"/>
        <v>2.0065702755865555E-2</v>
      </c>
    </row>
    <row r="3446" spans="2:9" x14ac:dyDescent="0.25">
      <c r="B3446" s="1">
        <v>40214</v>
      </c>
      <c r="C3446" s="2">
        <v>4718.6499999999996</v>
      </c>
      <c r="D3446" s="2">
        <v>4819.6499999999996</v>
      </c>
      <c r="E3446" s="2">
        <v>4827</v>
      </c>
      <c r="F3446" s="2">
        <v>4692.3500000000004</v>
      </c>
      <c r="G3446" s="3">
        <f t="shared" si="161"/>
        <v>-2.6148781821746736E-2</v>
      </c>
      <c r="H3446" s="2">
        <f t="shared" si="159"/>
        <v>134.64999999999964</v>
      </c>
      <c r="I3446" s="3">
        <f t="shared" si="160"/>
        <v>2.7937713319431835E-2</v>
      </c>
    </row>
    <row r="3447" spans="2:9" x14ac:dyDescent="0.25">
      <c r="B3447" s="1">
        <v>40215</v>
      </c>
      <c r="C3447" s="2">
        <v>4757.25</v>
      </c>
      <c r="D3447" s="2">
        <v>4712.75</v>
      </c>
      <c r="E3447" s="2">
        <v>4768.1499999999996</v>
      </c>
      <c r="F3447" s="2">
        <v>4712.75</v>
      </c>
      <c r="G3447" s="3">
        <f t="shared" si="161"/>
        <v>8.180305807805377E-3</v>
      </c>
      <c r="H3447" s="2">
        <f t="shared" si="159"/>
        <v>55.399999999999636</v>
      </c>
      <c r="I3447" s="3">
        <f t="shared" si="160"/>
        <v>1.1755344544055942E-2</v>
      </c>
    </row>
    <row r="3448" spans="2:9" x14ac:dyDescent="0.25">
      <c r="B3448" s="1">
        <v>40217</v>
      </c>
      <c r="C3448" s="2">
        <v>4760.3999999999996</v>
      </c>
      <c r="D3448" s="2">
        <v>4755.3500000000004</v>
      </c>
      <c r="E3448" s="2">
        <v>4799.05</v>
      </c>
      <c r="F3448" s="2">
        <v>4675.3999999999996</v>
      </c>
      <c r="G3448" s="3">
        <f t="shared" si="161"/>
        <v>6.6214724893565169E-4</v>
      </c>
      <c r="H3448" s="2">
        <f t="shared" si="159"/>
        <v>123.65000000000055</v>
      </c>
      <c r="I3448" s="3">
        <f t="shared" si="160"/>
        <v>2.6002292155151679E-2</v>
      </c>
    </row>
    <row r="3449" spans="2:9" x14ac:dyDescent="0.25">
      <c r="B3449" s="1">
        <v>40218</v>
      </c>
      <c r="C3449" s="2">
        <v>4792.6499999999996</v>
      </c>
      <c r="D3449" s="2">
        <v>4760.55</v>
      </c>
      <c r="E3449" s="2">
        <v>4810.3999999999996</v>
      </c>
      <c r="F3449" s="2">
        <v>4739.3500000000004</v>
      </c>
      <c r="G3449" s="3">
        <f t="shared" si="161"/>
        <v>6.7746407864885949E-3</v>
      </c>
      <c r="H3449" s="2">
        <f t="shared" si="159"/>
        <v>71.049999999999272</v>
      </c>
      <c r="I3449" s="3">
        <f t="shared" si="160"/>
        <v>1.4924746090262526E-2</v>
      </c>
    </row>
    <row r="3450" spans="2:9" x14ac:dyDescent="0.25">
      <c r="B3450" s="1">
        <v>40219</v>
      </c>
      <c r="C3450" s="2">
        <v>4757.2</v>
      </c>
      <c r="D3450" s="2">
        <v>4793</v>
      </c>
      <c r="E3450" s="2">
        <v>4826.8500000000004</v>
      </c>
      <c r="F3450" s="2">
        <v>4748.1000000000004</v>
      </c>
      <c r="G3450" s="3">
        <f t="shared" si="161"/>
        <v>-7.3967429292770559E-3</v>
      </c>
      <c r="H3450" s="2">
        <f t="shared" si="159"/>
        <v>78.75</v>
      </c>
      <c r="I3450" s="3">
        <f t="shared" si="160"/>
        <v>1.6430210723972459E-2</v>
      </c>
    </row>
    <row r="3451" spans="2:9" x14ac:dyDescent="0.25">
      <c r="B3451" s="1">
        <v>40220</v>
      </c>
      <c r="C3451" s="2">
        <v>4826.8500000000004</v>
      </c>
      <c r="D3451" s="2">
        <v>4757.25</v>
      </c>
      <c r="E3451" s="2">
        <v>4843.8</v>
      </c>
      <c r="F3451" s="2">
        <v>4757.25</v>
      </c>
      <c r="G3451" s="3">
        <f t="shared" si="161"/>
        <v>1.464096527369052E-2</v>
      </c>
      <c r="H3451" s="2">
        <f t="shared" si="159"/>
        <v>86.550000000000182</v>
      </c>
      <c r="I3451" s="3">
        <f t="shared" si="160"/>
        <v>1.8193283935046545E-2</v>
      </c>
    </row>
    <row r="3452" spans="2:9" x14ac:dyDescent="0.25">
      <c r="B3452" s="1">
        <v>40224</v>
      </c>
      <c r="C3452" s="2">
        <v>4801.95</v>
      </c>
      <c r="D3452" s="2">
        <v>4827.8999999999996</v>
      </c>
      <c r="E3452" s="2">
        <v>4845.6000000000004</v>
      </c>
      <c r="F3452" s="2">
        <v>4783.8999999999996</v>
      </c>
      <c r="G3452" s="3">
        <f t="shared" si="161"/>
        <v>-5.1586438360422537E-3</v>
      </c>
      <c r="H3452" s="2">
        <f t="shared" si="159"/>
        <v>61.700000000000728</v>
      </c>
      <c r="I3452" s="3">
        <f t="shared" si="160"/>
        <v>1.2779883593280875E-2</v>
      </c>
    </row>
    <row r="3453" spans="2:9" x14ac:dyDescent="0.25">
      <c r="B3453" s="1">
        <v>40225</v>
      </c>
      <c r="C3453" s="2">
        <v>4855.75</v>
      </c>
      <c r="D3453" s="2">
        <v>4801.8</v>
      </c>
      <c r="E3453" s="2">
        <v>4880</v>
      </c>
      <c r="F3453" s="2">
        <v>4791.3500000000004</v>
      </c>
      <c r="G3453" s="3">
        <f t="shared" si="161"/>
        <v>1.120378179697834E-2</v>
      </c>
      <c r="H3453" s="2">
        <f t="shared" si="159"/>
        <v>88.649999999999636</v>
      </c>
      <c r="I3453" s="3">
        <f t="shared" si="160"/>
        <v>1.8461826814944321E-2</v>
      </c>
    </row>
    <row r="3454" spans="2:9" x14ac:dyDescent="0.25">
      <c r="B3454" s="1">
        <v>40226</v>
      </c>
      <c r="C3454" s="2">
        <v>4914</v>
      </c>
      <c r="D3454" s="2">
        <v>4858.6499999999996</v>
      </c>
      <c r="E3454" s="2">
        <v>4929.7</v>
      </c>
      <c r="F3454" s="2">
        <v>4857.6000000000004</v>
      </c>
      <c r="G3454" s="3">
        <f t="shared" si="161"/>
        <v>1.1996087113216314E-2</v>
      </c>
      <c r="H3454" s="2">
        <f t="shared" si="159"/>
        <v>72.099999999999454</v>
      </c>
      <c r="I3454" s="3">
        <f t="shared" si="160"/>
        <v>1.4839513033455685E-2</v>
      </c>
    </row>
    <row r="3455" spans="2:9" x14ac:dyDescent="0.25">
      <c r="B3455" s="1">
        <v>40227</v>
      </c>
      <c r="C3455" s="2">
        <v>4887.75</v>
      </c>
      <c r="D3455" s="2">
        <v>4915.1000000000004</v>
      </c>
      <c r="E3455" s="2">
        <v>4922.05</v>
      </c>
      <c r="F3455" s="2">
        <v>4873.7</v>
      </c>
      <c r="G3455" s="3">
        <f t="shared" si="161"/>
        <v>-5.3418803418803229E-3</v>
      </c>
      <c r="H3455" s="2">
        <f t="shared" si="159"/>
        <v>48.350000000000364</v>
      </c>
      <c r="I3455" s="3">
        <f t="shared" si="160"/>
        <v>9.8370328172367513E-3</v>
      </c>
    </row>
    <row r="3456" spans="2:9" x14ac:dyDescent="0.25">
      <c r="B3456" s="1">
        <v>40228</v>
      </c>
      <c r="C3456" s="2">
        <v>4844.8999999999996</v>
      </c>
      <c r="D3456" s="2">
        <v>4887.3</v>
      </c>
      <c r="E3456" s="2">
        <v>4887.3</v>
      </c>
      <c r="F3456" s="2">
        <v>4805.55</v>
      </c>
      <c r="G3456" s="3">
        <f t="shared" si="161"/>
        <v>-8.7668149966754205E-3</v>
      </c>
      <c r="H3456" s="2">
        <f t="shared" si="159"/>
        <v>81.75</v>
      </c>
      <c r="I3456" s="3">
        <f t="shared" si="160"/>
        <v>1.6727027192928609E-2</v>
      </c>
    </row>
    <row r="3457" spans="2:9" x14ac:dyDescent="0.25">
      <c r="B3457" s="1">
        <v>40231</v>
      </c>
      <c r="C3457" s="2">
        <v>4856.3999999999996</v>
      </c>
      <c r="D3457" s="2">
        <v>4849.3500000000004</v>
      </c>
      <c r="E3457" s="2">
        <v>4912.05</v>
      </c>
      <c r="F3457" s="2">
        <v>4845.8999999999996</v>
      </c>
      <c r="G3457" s="3">
        <f t="shared" si="161"/>
        <v>2.3736300026833135E-3</v>
      </c>
      <c r="H3457" s="2">
        <f t="shared" si="159"/>
        <v>66.150000000000546</v>
      </c>
      <c r="I3457" s="3">
        <f t="shared" si="160"/>
        <v>1.3641003433449955E-2</v>
      </c>
    </row>
    <row r="3458" spans="2:9" x14ac:dyDescent="0.25">
      <c r="B3458" s="1">
        <v>40232</v>
      </c>
      <c r="C3458" s="2">
        <v>4870.05</v>
      </c>
      <c r="D3458" s="2">
        <v>4856.6000000000004</v>
      </c>
      <c r="E3458" s="2">
        <v>4884.1000000000004</v>
      </c>
      <c r="F3458" s="2">
        <v>4833.1499999999996</v>
      </c>
      <c r="G3458" s="3">
        <f t="shared" si="161"/>
        <v>2.8107239930814654E-3</v>
      </c>
      <c r="H3458" s="2">
        <f t="shared" si="159"/>
        <v>50.950000000000728</v>
      </c>
      <c r="I3458" s="3">
        <f t="shared" si="160"/>
        <v>1.0490878392291052E-2</v>
      </c>
    </row>
    <row r="3459" spans="2:9" x14ac:dyDescent="0.25">
      <c r="B3459" s="1">
        <v>40233</v>
      </c>
      <c r="C3459" s="2">
        <v>4858.6000000000004</v>
      </c>
      <c r="D3459" s="2">
        <v>4869.55</v>
      </c>
      <c r="E3459" s="2">
        <v>4880.55</v>
      </c>
      <c r="F3459" s="2">
        <v>4834.6499999999996</v>
      </c>
      <c r="G3459" s="3">
        <f t="shared" si="161"/>
        <v>-2.3511052247923159E-3</v>
      </c>
      <c r="H3459" s="2">
        <f t="shared" si="159"/>
        <v>45.900000000000546</v>
      </c>
      <c r="I3459" s="3">
        <f t="shared" si="160"/>
        <v>9.4259223131501983E-3</v>
      </c>
    </row>
    <row r="3460" spans="2:9" x14ac:dyDescent="0.25">
      <c r="B3460" s="1">
        <v>40234</v>
      </c>
      <c r="C3460" s="2">
        <v>4859.75</v>
      </c>
      <c r="D3460" s="2">
        <v>4859</v>
      </c>
      <c r="E3460" s="2">
        <v>4880.1499999999996</v>
      </c>
      <c r="F3460" s="2">
        <v>4835.6000000000004</v>
      </c>
      <c r="G3460" s="3">
        <f t="shared" si="161"/>
        <v>2.3669369777290505E-4</v>
      </c>
      <c r="H3460" s="2">
        <f t="shared" si="159"/>
        <v>44.549999999999272</v>
      </c>
      <c r="I3460" s="3">
        <f t="shared" si="160"/>
        <v>9.1685532002468151E-3</v>
      </c>
    </row>
    <row r="3461" spans="2:9" x14ac:dyDescent="0.25">
      <c r="B3461" s="1">
        <v>40235</v>
      </c>
      <c r="C3461" s="2">
        <v>4922.3</v>
      </c>
      <c r="D3461" s="2">
        <v>4858.5</v>
      </c>
      <c r="E3461" s="2">
        <v>4992</v>
      </c>
      <c r="F3461" s="2">
        <v>4858.45</v>
      </c>
      <c r="G3461" s="3">
        <f t="shared" si="161"/>
        <v>1.2871032460517462E-2</v>
      </c>
      <c r="H3461" s="2">
        <f t="shared" ref="H3461:H3524" si="162">E3461-F3461</f>
        <v>133.55000000000018</v>
      </c>
      <c r="I3461" s="3">
        <f t="shared" si="160"/>
        <v>2.7487907790470348E-2</v>
      </c>
    </row>
    <row r="3462" spans="2:9" x14ac:dyDescent="0.25">
      <c r="B3462" s="1">
        <v>40239</v>
      </c>
      <c r="C3462" s="2">
        <v>5017</v>
      </c>
      <c r="D3462" s="2">
        <v>4935.6000000000004</v>
      </c>
      <c r="E3462" s="2">
        <v>5029.45</v>
      </c>
      <c r="F3462" s="2">
        <v>4935.3500000000004</v>
      </c>
      <c r="G3462" s="3">
        <f t="shared" si="161"/>
        <v>1.9238973650529179E-2</v>
      </c>
      <c r="H3462" s="2">
        <f t="shared" si="162"/>
        <v>94.099999999999454</v>
      </c>
      <c r="I3462" s="3">
        <f t="shared" ref="I3462:I3525" si="163">H3462/D3462</f>
        <v>1.9065564470378361E-2</v>
      </c>
    </row>
    <row r="3463" spans="2:9" x14ac:dyDescent="0.25">
      <c r="B3463" s="1">
        <v>40240</v>
      </c>
      <c r="C3463" s="2">
        <v>5088.1000000000004</v>
      </c>
      <c r="D3463" s="2">
        <v>5015.8</v>
      </c>
      <c r="E3463" s="2">
        <v>5093.25</v>
      </c>
      <c r="F3463" s="2">
        <v>5015.1000000000004</v>
      </c>
      <c r="G3463" s="3">
        <f t="shared" ref="G3463:G3526" si="164">C3463/C3462-1</f>
        <v>1.4171815826190981E-2</v>
      </c>
      <c r="H3463" s="2">
        <f t="shared" si="162"/>
        <v>78.149999999999636</v>
      </c>
      <c r="I3463" s="3">
        <f t="shared" si="163"/>
        <v>1.5580764783284747E-2</v>
      </c>
    </row>
    <row r="3464" spans="2:9" x14ac:dyDescent="0.25">
      <c r="B3464" s="1">
        <v>40241</v>
      </c>
      <c r="C3464" s="2">
        <v>5080.25</v>
      </c>
      <c r="D3464" s="2">
        <v>5096.95</v>
      </c>
      <c r="E3464" s="2">
        <v>5096.95</v>
      </c>
      <c r="F3464" s="2">
        <v>5049</v>
      </c>
      <c r="G3464" s="3">
        <f t="shared" si="164"/>
        <v>-1.5428155893163487E-3</v>
      </c>
      <c r="H3464" s="2">
        <f t="shared" si="162"/>
        <v>47.949999999999818</v>
      </c>
      <c r="I3464" s="3">
        <f t="shared" si="163"/>
        <v>9.4075868901990056E-3</v>
      </c>
    </row>
    <row r="3465" spans="2:9" x14ac:dyDescent="0.25">
      <c r="B3465" s="1">
        <v>40242</v>
      </c>
      <c r="C3465" s="2">
        <v>5088.7</v>
      </c>
      <c r="D3465" s="2">
        <v>5080.55</v>
      </c>
      <c r="E3465" s="2">
        <v>5118.6499999999996</v>
      </c>
      <c r="F3465" s="2">
        <v>5068.05</v>
      </c>
      <c r="G3465" s="3">
        <f t="shared" si="164"/>
        <v>1.663303971261243E-3</v>
      </c>
      <c r="H3465" s="2">
        <f t="shared" si="162"/>
        <v>50.599999999999454</v>
      </c>
      <c r="I3465" s="3">
        <f t="shared" si="163"/>
        <v>9.9595516233477576E-3</v>
      </c>
    </row>
    <row r="3466" spans="2:9" x14ac:dyDescent="0.25">
      <c r="B3466" s="1">
        <v>40245</v>
      </c>
      <c r="C3466" s="2">
        <v>5124</v>
      </c>
      <c r="D3466" s="2">
        <v>5092.1499999999996</v>
      </c>
      <c r="E3466" s="2">
        <v>5147.1000000000004</v>
      </c>
      <c r="F3466" s="2">
        <v>5092.1499999999996</v>
      </c>
      <c r="G3466" s="3">
        <f t="shared" si="164"/>
        <v>6.9369387073319189E-3</v>
      </c>
      <c r="H3466" s="2">
        <f t="shared" si="162"/>
        <v>54.950000000000728</v>
      </c>
      <c r="I3466" s="3">
        <f t="shared" si="163"/>
        <v>1.0791119664581902E-2</v>
      </c>
    </row>
    <row r="3467" spans="2:9" x14ac:dyDescent="0.25">
      <c r="B3467" s="1">
        <v>40246</v>
      </c>
      <c r="C3467" s="2">
        <v>5101.5</v>
      </c>
      <c r="D3467" s="2">
        <v>5121.05</v>
      </c>
      <c r="E3467" s="2">
        <v>5131.8</v>
      </c>
      <c r="F3467" s="2">
        <v>5094.3500000000004</v>
      </c>
      <c r="G3467" s="3">
        <f t="shared" si="164"/>
        <v>-4.3911007025760895E-3</v>
      </c>
      <c r="H3467" s="2">
        <f t="shared" si="162"/>
        <v>37.449999999999818</v>
      </c>
      <c r="I3467" s="3">
        <f t="shared" si="163"/>
        <v>7.3129533982288428E-3</v>
      </c>
    </row>
    <row r="3468" spans="2:9" x14ac:dyDescent="0.25">
      <c r="B3468" s="1">
        <v>40247</v>
      </c>
      <c r="C3468" s="2">
        <v>5116.25</v>
      </c>
      <c r="D3468" s="2">
        <v>5101.6000000000004</v>
      </c>
      <c r="E3468" s="2">
        <v>5137.3999999999996</v>
      </c>
      <c r="F3468" s="2">
        <v>5092.05</v>
      </c>
      <c r="G3468" s="3">
        <f t="shared" si="164"/>
        <v>2.8913064784867881E-3</v>
      </c>
      <c r="H3468" s="2">
        <f t="shared" si="162"/>
        <v>45.349999999999454</v>
      </c>
      <c r="I3468" s="3">
        <f t="shared" si="163"/>
        <v>8.8893680413986691E-3</v>
      </c>
    </row>
    <row r="3469" spans="2:9" x14ac:dyDescent="0.25">
      <c r="B3469" s="1">
        <v>40248</v>
      </c>
      <c r="C3469" s="2">
        <v>5133.3999999999996</v>
      </c>
      <c r="D3469" s="2">
        <v>5116.3500000000004</v>
      </c>
      <c r="E3469" s="2">
        <v>5152.6000000000004</v>
      </c>
      <c r="F3469" s="2">
        <v>5102.1000000000004</v>
      </c>
      <c r="G3469" s="3">
        <f t="shared" si="164"/>
        <v>3.3520645003664029E-3</v>
      </c>
      <c r="H3469" s="2">
        <f t="shared" si="162"/>
        <v>50.5</v>
      </c>
      <c r="I3469" s="3">
        <f t="shared" si="163"/>
        <v>9.8703177069590625E-3</v>
      </c>
    </row>
    <row r="3470" spans="2:9" x14ac:dyDescent="0.25">
      <c r="B3470" s="1">
        <v>40249</v>
      </c>
      <c r="C3470" s="2">
        <v>5137</v>
      </c>
      <c r="D3470" s="2">
        <v>5131.8</v>
      </c>
      <c r="E3470" s="2">
        <v>5158.1000000000004</v>
      </c>
      <c r="F3470" s="2">
        <v>5122.1000000000004</v>
      </c>
      <c r="G3470" s="3">
        <f t="shared" si="164"/>
        <v>7.0128959364179622E-4</v>
      </c>
      <c r="H3470" s="2">
        <f t="shared" si="162"/>
        <v>36</v>
      </c>
      <c r="I3470" s="3">
        <f t="shared" si="163"/>
        <v>7.0150824272185199E-3</v>
      </c>
    </row>
    <row r="3471" spans="2:9" x14ac:dyDescent="0.25">
      <c r="B3471" s="1">
        <v>40252</v>
      </c>
      <c r="C3471" s="2">
        <v>5128.8999999999996</v>
      </c>
      <c r="D3471" s="2">
        <v>5134.45</v>
      </c>
      <c r="E3471" s="2">
        <v>5151.05</v>
      </c>
      <c r="F3471" s="2">
        <v>5101.2</v>
      </c>
      <c r="G3471" s="3">
        <f t="shared" si="164"/>
        <v>-1.5767957952113054E-3</v>
      </c>
      <c r="H3471" s="2">
        <f t="shared" si="162"/>
        <v>49.850000000000364</v>
      </c>
      <c r="I3471" s="3">
        <f t="shared" si="163"/>
        <v>9.7089269542015924E-3</v>
      </c>
    </row>
    <row r="3472" spans="2:9" x14ac:dyDescent="0.25">
      <c r="B3472" s="1">
        <v>40253</v>
      </c>
      <c r="C3472" s="2">
        <v>5198.1000000000004</v>
      </c>
      <c r="D3472" s="2">
        <v>5128.95</v>
      </c>
      <c r="E3472" s="2">
        <v>5209.25</v>
      </c>
      <c r="F3472" s="2">
        <v>5125.7</v>
      </c>
      <c r="G3472" s="3">
        <f t="shared" si="164"/>
        <v>1.3492171810719711E-2</v>
      </c>
      <c r="H3472" s="2">
        <f t="shared" si="162"/>
        <v>83.550000000000182</v>
      </c>
      <c r="I3472" s="3">
        <f t="shared" si="163"/>
        <v>1.6289883894364379E-2</v>
      </c>
    </row>
    <row r="3473" spans="2:9" x14ac:dyDescent="0.25">
      <c r="B3473" s="1">
        <v>40254</v>
      </c>
      <c r="C3473" s="2">
        <v>5231.8999999999996</v>
      </c>
      <c r="D3473" s="2">
        <v>5198.45</v>
      </c>
      <c r="E3473" s="2">
        <v>5260.5</v>
      </c>
      <c r="F3473" s="2">
        <v>5177.1499999999996</v>
      </c>
      <c r="G3473" s="3">
        <f t="shared" si="164"/>
        <v>6.5023758681055366E-3</v>
      </c>
      <c r="H3473" s="2">
        <f t="shared" si="162"/>
        <v>83.350000000000364</v>
      </c>
      <c r="I3473" s="3">
        <f t="shared" si="163"/>
        <v>1.6033625407573481E-2</v>
      </c>
    </row>
    <row r="3474" spans="2:9" x14ac:dyDescent="0.25">
      <c r="B3474" s="1">
        <v>40255</v>
      </c>
      <c r="C3474" s="2">
        <v>5245.9</v>
      </c>
      <c r="D3474" s="2">
        <v>5232.55</v>
      </c>
      <c r="E3474" s="2">
        <v>5255.65</v>
      </c>
      <c r="F3474" s="2">
        <v>5214.3999999999996</v>
      </c>
      <c r="G3474" s="3">
        <f t="shared" si="164"/>
        <v>2.6758921233203115E-3</v>
      </c>
      <c r="H3474" s="2">
        <f t="shared" si="162"/>
        <v>41.25</v>
      </c>
      <c r="I3474" s="3">
        <f t="shared" si="163"/>
        <v>7.883345596315372E-3</v>
      </c>
    </row>
    <row r="3475" spans="2:9" x14ac:dyDescent="0.25">
      <c r="B3475" s="1">
        <v>40256</v>
      </c>
      <c r="C3475" s="2">
        <v>5262.8</v>
      </c>
      <c r="D3475" s="2">
        <v>5246.8</v>
      </c>
      <c r="E3475" s="2">
        <v>5269.95</v>
      </c>
      <c r="F3475" s="2">
        <v>5237.1000000000004</v>
      </c>
      <c r="G3475" s="3">
        <f t="shared" si="164"/>
        <v>3.2215635067387449E-3</v>
      </c>
      <c r="H3475" s="2">
        <f t="shared" si="162"/>
        <v>32.849999999999454</v>
      </c>
      <c r="I3475" s="3">
        <f t="shared" si="163"/>
        <v>6.2609590607607402E-3</v>
      </c>
    </row>
    <row r="3476" spans="2:9" x14ac:dyDescent="0.25">
      <c r="B3476" s="1">
        <v>40259</v>
      </c>
      <c r="C3476" s="2">
        <v>5205.2</v>
      </c>
      <c r="D3476" s="2">
        <v>5260.95</v>
      </c>
      <c r="E3476" s="2">
        <v>5260.95</v>
      </c>
      <c r="F3476" s="2">
        <v>5187.05</v>
      </c>
      <c r="G3476" s="3">
        <f t="shared" si="164"/>
        <v>-1.0944744242608606E-2</v>
      </c>
      <c r="H3476" s="2">
        <f t="shared" si="162"/>
        <v>73.899999999999636</v>
      </c>
      <c r="I3476" s="3">
        <f t="shared" si="163"/>
        <v>1.4046892671475615E-2</v>
      </c>
    </row>
    <row r="3477" spans="2:9" x14ac:dyDescent="0.25">
      <c r="B3477" s="1">
        <v>40260</v>
      </c>
      <c r="C3477" s="2">
        <v>5225.3</v>
      </c>
      <c r="D3477" s="2">
        <v>5205.8500000000004</v>
      </c>
      <c r="E3477" s="2">
        <v>5243.6</v>
      </c>
      <c r="F3477" s="2">
        <v>5193.3999999999996</v>
      </c>
      <c r="G3477" s="3">
        <f t="shared" si="164"/>
        <v>3.8615230922924848E-3</v>
      </c>
      <c r="H3477" s="2">
        <f t="shared" si="162"/>
        <v>50.200000000000728</v>
      </c>
      <c r="I3477" s="3">
        <f t="shared" si="163"/>
        <v>9.6429977813422829E-3</v>
      </c>
    </row>
    <row r="3478" spans="2:9" x14ac:dyDescent="0.25">
      <c r="B3478" s="1">
        <v>40262</v>
      </c>
      <c r="C3478" s="2">
        <v>5260.4</v>
      </c>
      <c r="D3478" s="2">
        <v>5225.3</v>
      </c>
      <c r="E3478" s="2">
        <v>5267.3</v>
      </c>
      <c r="F3478" s="2">
        <v>5202.95</v>
      </c>
      <c r="G3478" s="3">
        <f t="shared" si="164"/>
        <v>6.7173176659711675E-3</v>
      </c>
      <c r="H3478" s="2">
        <f t="shared" si="162"/>
        <v>64.350000000000364</v>
      </c>
      <c r="I3478" s="3">
        <f t="shared" si="163"/>
        <v>1.2315082387614177E-2</v>
      </c>
    </row>
    <row r="3479" spans="2:9" x14ac:dyDescent="0.25">
      <c r="B3479" s="1">
        <v>40263</v>
      </c>
      <c r="C3479" s="2">
        <v>5282</v>
      </c>
      <c r="D3479" s="2">
        <v>5260.55</v>
      </c>
      <c r="E3479" s="2">
        <v>5293.75</v>
      </c>
      <c r="F3479" s="2">
        <v>5260.55</v>
      </c>
      <c r="G3479" s="3">
        <f t="shared" si="164"/>
        <v>4.1061516234508488E-3</v>
      </c>
      <c r="H3479" s="2">
        <f t="shared" si="162"/>
        <v>33.199999999999818</v>
      </c>
      <c r="I3479" s="3">
        <f t="shared" si="163"/>
        <v>6.3111271635094843E-3</v>
      </c>
    </row>
    <row r="3480" spans="2:9" x14ac:dyDescent="0.25">
      <c r="B3480" s="1">
        <v>40266</v>
      </c>
      <c r="C3480" s="2">
        <v>5302.85</v>
      </c>
      <c r="D3480" s="2">
        <v>5283.9</v>
      </c>
      <c r="E3480" s="2">
        <v>5329.55</v>
      </c>
      <c r="F3480" s="2">
        <v>5242.1499999999996</v>
      </c>
      <c r="G3480" s="3">
        <f t="shared" si="164"/>
        <v>3.9473684210526994E-3</v>
      </c>
      <c r="H3480" s="2">
        <f t="shared" si="162"/>
        <v>87.400000000000546</v>
      </c>
      <c r="I3480" s="3">
        <f t="shared" si="163"/>
        <v>1.6540812657317615E-2</v>
      </c>
    </row>
    <row r="3481" spans="2:9" x14ac:dyDescent="0.25">
      <c r="B3481" s="1">
        <v>40267</v>
      </c>
      <c r="C3481" s="2">
        <v>5262.45</v>
      </c>
      <c r="D3481" s="2">
        <v>5302.95</v>
      </c>
      <c r="E3481" s="2">
        <v>5325</v>
      </c>
      <c r="F3481" s="2">
        <v>5251.35</v>
      </c>
      <c r="G3481" s="3">
        <f t="shared" si="164"/>
        <v>-7.6185447448071653E-3</v>
      </c>
      <c r="H3481" s="2">
        <f t="shared" si="162"/>
        <v>73.649999999999636</v>
      </c>
      <c r="I3481" s="3">
        <f t="shared" si="163"/>
        <v>1.3888496025796894E-2</v>
      </c>
    </row>
    <row r="3482" spans="2:9" x14ac:dyDescent="0.25">
      <c r="B3482" s="1">
        <v>40268</v>
      </c>
      <c r="C3482" s="2">
        <v>5249.1</v>
      </c>
      <c r="D3482" s="2">
        <v>5260.4</v>
      </c>
      <c r="E3482" s="2">
        <v>5293.9</v>
      </c>
      <c r="F3482" s="2">
        <v>5235.1499999999996</v>
      </c>
      <c r="G3482" s="3">
        <f t="shared" si="164"/>
        <v>-2.5368412051419709E-3</v>
      </c>
      <c r="H3482" s="2">
        <f t="shared" si="162"/>
        <v>58.75</v>
      </c>
      <c r="I3482" s="3">
        <f t="shared" si="163"/>
        <v>1.1168352216561478E-2</v>
      </c>
    </row>
    <row r="3483" spans="2:9" x14ac:dyDescent="0.25">
      <c r="B3483" s="1">
        <v>40269</v>
      </c>
      <c r="C3483" s="2">
        <v>5290.5</v>
      </c>
      <c r="D3483" s="2">
        <v>5249.2</v>
      </c>
      <c r="E3483" s="2">
        <v>5298.6</v>
      </c>
      <c r="F3483" s="2">
        <v>5249.2</v>
      </c>
      <c r="G3483" s="3">
        <f t="shared" si="164"/>
        <v>7.8870663542320862E-3</v>
      </c>
      <c r="H3483" s="2">
        <f t="shared" si="162"/>
        <v>49.400000000000546</v>
      </c>
      <c r="I3483" s="3">
        <f t="shared" si="163"/>
        <v>9.4109578602454749E-3</v>
      </c>
    </row>
    <row r="3484" spans="2:9" x14ac:dyDescent="0.25">
      <c r="B3484" s="1">
        <v>40273</v>
      </c>
      <c r="C3484" s="2">
        <v>5368.4</v>
      </c>
      <c r="D3484" s="2">
        <v>5291.4</v>
      </c>
      <c r="E3484" s="2">
        <v>5377.55</v>
      </c>
      <c r="F3484" s="2">
        <v>5291.4</v>
      </c>
      <c r="G3484" s="3">
        <f t="shared" si="164"/>
        <v>1.4724506190341158E-2</v>
      </c>
      <c r="H3484" s="2">
        <f t="shared" si="162"/>
        <v>86.150000000000546</v>
      </c>
      <c r="I3484" s="3">
        <f t="shared" si="163"/>
        <v>1.6281135427297228E-2</v>
      </c>
    </row>
    <row r="3485" spans="2:9" x14ac:dyDescent="0.25">
      <c r="B3485" s="1">
        <v>40274</v>
      </c>
      <c r="C3485" s="2">
        <v>5366</v>
      </c>
      <c r="D3485" s="2">
        <v>5369.65</v>
      </c>
      <c r="E3485" s="2">
        <v>5388.65</v>
      </c>
      <c r="F3485" s="2">
        <v>5351.7</v>
      </c>
      <c r="G3485" s="3">
        <f t="shared" si="164"/>
        <v>-4.4706057670806931E-4</v>
      </c>
      <c r="H3485" s="2">
        <f t="shared" si="162"/>
        <v>36.949999999999818</v>
      </c>
      <c r="I3485" s="3">
        <f t="shared" si="163"/>
        <v>6.8812678666206962E-3</v>
      </c>
    </row>
    <row r="3486" spans="2:9" x14ac:dyDescent="0.25">
      <c r="B3486" s="1">
        <v>40275</v>
      </c>
      <c r="C3486" s="2">
        <v>5374.65</v>
      </c>
      <c r="D3486" s="2">
        <v>5365.7</v>
      </c>
      <c r="E3486" s="2">
        <v>5399.65</v>
      </c>
      <c r="F3486" s="2">
        <v>5345.05</v>
      </c>
      <c r="G3486" s="3">
        <f t="shared" si="164"/>
        <v>1.6120014908682645E-3</v>
      </c>
      <c r="H3486" s="2">
        <f t="shared" si="162"/>
        <v>54.599999999999454</v>
      </c>
      <c r="I3486" s="3">
        <f t="shared" si="163"/>
        <v>1.0175745941815506E-2</v>
      </c>
    </row>
    <row r="3487" spans="2:9" x14ac:dyDescent="0.25">
      <c r="B3487" s="1">
        <v>40276</v>
      </c>
      <c r="C3487" s="2">
        <v>5304.45</v>
      </c>
      <c r="D3487" s="2">
        <v>5376.3</v>
      </c>
      <c r="E3487" s="2">
        <v>5383.65</v>
      </c>
      <c r="F3487" s="2">
        <v>5290.25</v>
      </c>
      <c r="G3487" s="3">
        <f t="shared" si="164"/>
        <v>-1.3061315620552016E-2</v>
      </c>
      <c r="H3487" s="2">
        <f t="shared" si="162"/>
        <v>93.399999999999636</v>
      </c>
      <c r="I3487" s="3">
        <f t="shared" si="163"/>
        <v>1.7372542454848063E-2</v>
      </c>
    </row>
    <row r="3488" spans="2:9" x14ac:dyDescent="0.25">
      <c r="B3488" s="1">
        <v>40277</v>
      </c>
      <c r="C3488" s="2">
        <v>5361.75</v>
      </c>
      <c r="D3488" s="2">
        <v>5302.4</v>
      </c>
      <c r="E3488" s="2">
        <v>5377.45</v>
      </c>
      <c r="F3488" s="2">
        <v>5302.25</v>
      </c>
      <c r="G3488" s="3">
        <f t="shared" si="164"/>
        <v>1.0802250940248337E-2</v>
      </c>
      <c r="H3488" s="2">
        <f t="shared" si="162"/>
        <v>75.199999999999818</v>
      </c>
      <c r="I3488" s="3">
        <f t="shared" si="163"/>
        <v>1.4182257091128513E-2</v>
      </c>
    </row>
    <row r="3489" spans="2:9" x14ac:dyDescent="0.25">
      <c r="B3489" s="1">
        <v>40280</v>
      </c>
      <c r="C3489" s="2">
        <v>5339.7</v>
      </c>
      <c r="D3489" s="2">
        <v>5354.15</v>
      </c>
      <c r="E3489" s="2">
        <v>5382.15</v>
      </c>
      <c r="F3489" s="2">
        <v>5324.9</v>
      </c>
      <c r="G3489" s="3">
        <f t="shared" si="164"/>
        <v>-4.1124632815778828E-3</v>
      </c>
      <c r="H3489" s="2">
        <f t="shared" si="162"/>
        <v>57.25</v>
      </c>
      <c r="I3489" s="3">
        <f t="shared" si="163"/>
        <v>1.0692640288374439E-2</v>
      </c>
    </row>
    <row r="3490" spans="2:9" x14ac:dyDescent="0.25">
      <c r="B3490" s="1">
        <v>40281</v>
      </c>
      <c r="C3490" s="2">
        <v>5322.95</v>
      </c>
      <c r="D3490" s="2">
        <v>5340.85</v>
      </c>
      <c r="E3490" s="2">
        <v>5356.5</v>
      </c>
      <c r="F3490" s="2">
        <v>5301.7</v>
      </c>
      <c r="G3490" s="3">
        <f t="shared" si="164"/>
        <v>-3.1368803490833264E-3</v>
      </c>
      <c r="H3490" s="2">
        <f t="shared" si="162"/>
        <v>54.800000000000182</v>
      </c>
      <c r="I3490" s="3">
        <f t="shared" si="163"/>
        <v>1.0260539052772532E-2</v>
      </c>
    </row>
    <row r="3491" spans="2:9" x14ac:dyDescent="0.25">
      <c r="B3491" s="1">
        <v>40283</v>
      </c>
      <c r="C3491" s="2">
        <v>5273.6</v>
      </c>
      <c r="D3491" s="2">
        <v>5323.3</v>
      </c>
      <c r="E3491" s="2">
        <v>5373.15</v>
      </c>
      <c r="F3491" s="2">
        <v>5265.3</v>
      </c>
      <c r="G3491" s="3">
        <f t="shared" si="164"/>
        <v>-9.2711748184746146E-3</v>
      </c>
      <c r="H3491" s="2">
        <f t="shared" si="162"/>
        <v>107.84999999999945</v>
      </c>
      <c r="I3491" s="3">
        <f t="shared" si="163"/>
        <v>2.0259989104502742E-2</v>
      </c>
    </row>
    <row r="3492" spans="2:9" x14ac:dyDescent="0.25">
      <c r="B3492" s="1">
        <v>40284</v>
      </c>
      <c r="C3492" s="2">
        <v>5262.6</v>
      </c>
      <c r="D3492" s="2">
        <v>5273.4</v>
      </c>
      <c r="E3492" s="2">
        <v>5283.05</v>
      </c>
      <c r="F3492" s="2">
        <v>5237.55</v>
      </c>
      <c r="G3492" s="3">
        <f t="shared" si="164"/>
        <v>-2.0858616504854099E-3</v>
      </c>
      <c r="H3492" s="2">
        <f t="shared" si="162"/>
        <v>45.5</v>
      </c>
      <c r="I3492" s="3">
        <f t="shared" si="163"/>
        <v>8.6282095043046236E-3</v>
      </c>
    </row>
    <row r="3493" spans="2:9" x14ac:dyDescent="0.25">
      <c r="B3493" s="1">
        <v>40287</v>
      </c>
      <c r="C3493" s="2">
        <v>5203.6499999999996</v>
      </c>
      <c r="D3493" s="2">
        <v>5279.05</v>
      </c>
      <c r="E3493" s="2">
        <v>5279.05</v>
      </c>
      <c r="F3493" s="2">
        <v>5160.8999999999996</v>
      </c>
      <c r="G3493" s="3">
        <f t="shared" si="164"/>
        <v>-1.1201687378862291E-2</v>
      </c>
      <c r="H3493" s="2">
        <f t="shared" si="162"/>
        <v>118.15000000000055</v>
      </c>
      <c r="I3493" s="3">
        <f t="shared" si="163"/>
        <v>2.238092080961547E-2</v>
      </c>
    </row>
    <row r="3494" spans="2:9" x14ac:dyDescent="0.25">
      <c r="B3494" s="1">
        <v>40288</v>
      </c>
      <c r="C3494" s="2">
        <v>5230.1000000000004</v>
      </c>
      <c r="D3494" s="2">
        <v>5208.3</v>
      </c>
      <c r="E3494" s="2">
        <v>5257.25</v>
      </c>
      <c r="F3494" s="2">
        <v>5208.3</v>
      </c>
      <c r="G3494" s="3">
        <f t="shared" si="164"/>
        <v>5.0829706071700009E-3</v>
      </c>
      <c r="H3494" s="2">
        <f t="shared" si="162"/>
        <v>48.949999999999818</v>
      </c>
      <c r="I3494" s="3">
        <f t="shared" si="163"/>
        <v>9.3984601501449251E-3</v>
      </c>
    </row>
    <row r="3495" spans="2:9" x14ac:dyDescent="0.25">
      <c r="B3495" s="1">
        <v>40289</v>
      </c>
      <c r="C3495" s="2">
        <v>5244.9</v>
      </c>
      <c r="D3495" s="2">
        <v>5230.3</v>
      </c>
      <c r="E3495" s="2">
        <v>5266.3</v>
      </c>
      <c r="F3495" s="2">
        <v>5230.3</v>
      </c>
      <c r="G3495" s="3">
        <f t="shared" si="164"/>
        <v>2.8297738092959435E-3</v>
      </c>
      <c r="H3495" s="2">
        <f t="shared" si="162"/>
        <v>36</v>
      </c>
      <c r="I3495" s="3">
        <f t="shared" si="163"/>
        <v>6.8829703841079863E-3</v>
      </c>
    </row>
    <row r="3496" spans="2:9" x14ac:dyDescent="0.25">
      <c r="B3496" s="1">
        <v>40290</v>
      </c>
      <c r="C3496" s="2">
        <v>5269.35</v>
      </c>
      <c r="D3496" s="2">
        <v>5248.6</v>
      </c>
      <c r="E3496" s="2">
        <v>5331.8</v>
      </c>
      <c r="F3496" s="2">
        <v>5221.1000000000004</v>
      </c>
      <c r="G3496" s="3">
        <f t="shared" si="164"/>
        <v>4.6616713378713204E-3</v>
      </c>
      <c r="H3496" s="2">
        <f t="shared" si="162"/>
        <v>110.69999999999982</v>
      </c>
      <c r="I3496" s="3">
        <f t="shared" si="163"/>
        <v>2.1091338642685632E-2</v>
      </c>
    </row>
    <row r="3497" spans="2:9" x14ac:dyDescent="0.25">
      <c r="B3497" s="1">
        <v>40291</v>
      </c>
      <c r="C3497" s="2">
        <v>5304.1</v>
      </c>
      <c r="D3497" s="2">
        <v>5269.65</v>
      </c>
      <c r="E3497" s="2">
        <v>5311.05</v>
      </c>
      <c r="F3497" s="2">
        <v>5269.65</v>
      </c>
      <c r="G3497" s="3">
        <f t="shared" si="164"/>
        <v>6.5947412868760935E-3</v>
      </c>
      <c r="H3497" s="2">
        <f t="shared" si="162"/>
        <v>41.400000000000546</v>
      </c>
      <c r="I3497" s="3">
        <f t="shared" si="163"/>
        <v>7.8563092425494203E-3</v>
      </c>
    </row>
    <row r="3498" spans="2:9" x14ac:dyDescent="0.25">
      <c r="B3498" s="1">
        <v>40294</v>
      </c>
      <c r="C3498" s="2">
        <v>5322.45</v>
      </c>
      <c r="D3498" s="2">
        <v>5299.35</v>
      </c>
      <c r="E3498" s="2">
        <v>5342.35</v>
      </c>
      <c r="F3498" s="2">
        <v>5299.35</v>
      </c>
      <c r="G3498" s="3">
        <f t="shared" si="164"/>
        <v>3.4595878659904322E-3</v>
      </c>
      <c r="H3498" s="2">
        <f t="shared" si="162"/>
        <v>43</v>
      </c>
      <c r="I3498" s="3">
        <f t="shared" si="163"/>
        <v>8.1142026852349808E-3</v>
      </c>
    </row>
    <row r="3499" spans="2:9" x14ac:dyDescent="0.25">
      <c r="B3499" s="1">
        <v>40295</v>
      </c>
      <c r="C3499" s="2">
        <v>5308.35</v>
      </c>
      <c r="D3499" s="2">
        <v>5322.1</v>
      </c>
      <c r="E3499" s="2">
        <v>5330.55</v>
      </c>
      <c r="F3499" s="2">
        <v>5301.4</v>
      </c>
      <c r="G3499" s="3">
        <f t="shared" si="164"/>
        <v>-2.6491559338274184E-3</v>
      </c>
      <c r="H3499" s="2">
        <f t="shared" si="162"/>
        <v>29.150000000000546</v>
      </c>
      <c r="I3499" s="3">
        <f t="shared" si="163"/>
        <v>5.4771612709269921E-3</v>
      </c>
    </row>
    <row r="3500" spans="2:9" x14ac:dyDescent="0.25">
      <c r="B3500" s="1">
        <v>40296</v>
      </c>
      <c r="C3500" s="2">
        <v>5215.45</v>
      </c>
      <c r="D3500" s="2">
        <v>5308.2</v>
      </c>
      <c r="E3500" s="2">
        <v>5308.25</v>
      </c>
      <c r="F3500" s="2">
        <v>5202.45</v>
      </c>
      <c r="G3500" s="3">
        <f t="shared" si="164"/>
        <v>-1.7500729982009577E-2</v>
      </c>
      <c r="H3500" s="2">
        <f t="shared" si="162"/>
        <v>105.80000000000018</v>
      </c>
      <c r="I3500" s="3">
        <f t="shared" si="163"/>
        <v>1.993142684902607E-2</v>
      </c>
    </row>
    <row r="3501" spans="2:9" x14ac:dyDescent="0.25">
      <c r="B3501" s="1">
        <v>40297</v>
      </c>
      <c r="C3501" s="2">
        <v>5254.15</v>
      </c>
      <c r="D3501" s="2">
        <v>5215.25</v>
      </c>
      <c r="E3501" s="2">
        <v>5264.75</v>
      </c>
      <c r="F3501" s="2">
        <v>5214.8</v>
      </c>
      <c r="G3501" s="3">
        <f t="shared" si="164"/>
        <v>7.4202609554303578E-3</v>
      </c>
      <c r="H3501" s="2">
        <f t="shared" si="162"/>
        <v>49.949999999999818</v>
      </c>
      <c r="I3501" s="3">
        <f t="shared" si="163"/>
        <v>9.577680839844652E-3</v>
      </c>
    </row>
    <row r="3502" spans="2:9" x14ac:dyDescent="0.25">
      <c r="B3502" s="1">
        <v>40298</v>
      </c>
      <c r="C3502" s="2">
        <v>5278</v>
      </c>
      <c r="D3502" s="2">
        <v>5254.2</v>
      </c>
      <c r="E3502" s="2">
        <v>5294.8</v>
      </c>
      <c r="F3502" s="2">
        <v>5254.2</v>
      </c>
      <c r="G3502" s="3">
        <f t="shared" si="164"/>
        <v>4.5392689588230617E-3</v>
      </c>
      <c r="H3502" s="2">
        <f t="shared" si="162"/>
        <v>40.600000000000364</v>
      </c>
      <c r="I3502" s="3">
        <f t="shared" si="163"/>
        <v>7.7271516120437679E-3</v>
      </c>
    </row>
    <row r="3503" spans="2:9" x14ac:dyDescent="0.25">
      <c r="B3503" s="1">
        <v>40301</v>
      </c>
      <c r="C3503" s="2">
        <v>5222.75</v>
      </c>
      <c r="D3503" s="2">
        <v>5278.4</v>
      </c>
      <c r="E3503" s="2">
        <v>5278.7</v>
      </c>
      <c r="F3503" s="2">
        <v>5210.05</v>
      </c>
      <c r="G3503" s="3">
        <f t="shared" si="164"/>
        <v>-1.0467980295566504E-2</v>
      </c>
      <c r="H3503" s="2">
        <f t="shared" si="162"/>
        <v>68.649999999999636</v>
      </c>
      <c r="I3503" s="3">
        <f t="shared" si="163"/>
        <v>1.3005835101545855E-2</v>
      </c>
    </row>
    <row r="3504" spans="2:9" x14ac:dyDescent="0.25">
      <c r="B3504" s="1">
        <v>40302</v>
      </c>
      <c r="C3504" s="2">
        <v>5148.5</v>
      </c>
      <c r="D3504" s="2">
        <v>5223.8999999999996</v>
      </c>
      <c r="E3504" s="2">
        <v>5250.15</v>
      </c>
      <c r="F3504" s="2">
        <v>5134.8500000000004</v>
      </c>
      <c r="G3504" s="3">
        <f t="shared" si="164"/>
        <v>-1.4216648317457281E-2</v>
      </c>
      <c r="H3504" s="2">
        <f t="shared" si="162"/>
        <v>115.29999999999927</v>
      </c>
      <c r="I3504" s="3">
        <f t="shared" si="163"/>
        <v>2.2071632305365584E-2</v>
      </c>
    </row>
    <row r="3505" spans="2:9" x14ac:dyDescent="0.25">
      <c r="B3505" s="1">
        <v>40303</v>
      </c>
      <c r="C3505" s="2">
        <v>5124.8999999999996</v>
      </c>
      <c r="D3505" s="2">
        <v>5148.3500000000004</v>
      </c>
      <c r="E3505" s="2">
        <v>5148.3500000000004</v>
      </c>
      <c r="F3505" s="2">
        <v>5056.5</v>
      </c>
      <c r="G3505" s="3">
        <f t="shared" si="164"/>
        <v>-4.5838593765175073E-3</v>
      </c>
      <c r="H3505" s="2">
        <f t="shared" si="162"/>
        <v>91.850000000000364</v>
      </c>
      <c r="I3505" s="3">
        <f t="shared" si="163"/>
        <v>1.7840667398292726E-2</v>
      </c>
    </row>
    <row r="3506" spans="2:9" x14ac:dyDescent="0.25">
      <c r="B3506" s="1">
        <v>40304</v>
      </c>
      <c r="C3506" s="2">
        <v>5090.8500000000004</v>
      </c>
      <c r="D3506" s="2">
        <v>5124.3999999999996</v>
      </c>
      <c r="E3506" s="2">
        <v>5124.8999999999996</v>
      </c>
      <c r="F3506" s="2">
        <v>5037.75</v>
      </c>
      <c r="G3506" s="3">
        <f t="shared" si="164"/>
        <v>-6.6440320786745888E-3</v>
      </c>
      <c r="H3506" s="2">
        <f t="shared" si="162"/>
        <v>87.149999999999636</v>
      </c>
      <c r="I3506" s="3">
        <f t="shared" si="163"/>
        <v>1.7006869096869808E-2</v>
      </c>
    </row>
    <row r="3507" spans="2:9" x14ac:dyDescent="0.25">
      <c r="B3507" s="1">
        <v>40305</v>
      </c>
      <c r="C3507" s="2">
        <v>5018.05</v>
      </c>
      <c r="D3507" s="2">
        <v>5072.3</v>
      </c>
      <c r="E3507" s="2">
        <v>5085.6499999999996</v>
      </c>
      <c r="F3507" s="2">
        <v>4984.6000000000004</v>
      </c>
      <c r="G3507" s="3">
        <f t="shared" si="164"/>
        <v>-1.4300165984069468E-2</v>
      </c>
      <c r="H3507" s="2">
        <f t="shared" si="162"/>
        <v>101.04999999999927</v>
      </c>
      <c r="I3507" s="3">
        <f t="shared" si="163"/>
        <v>1.9921928907990313E-2</v>
      </c>
    </row>
    <row r="3508" spans="2:9" x14ac:dyDescent="0.25">
      <c r="B3508" s="1">
        <v>40308</v>
      </c>
      <c r="C3508" s="2">
        <v>5193.6000000000004</v>
      </c>
      <c r="D3508" s="2">
        <v>5026.6000000000004</v>
      </c>
      <c r="E3508" s="2">
        <v>5203.3</v>
      </c>
      <c r="F3508" s="2">
        <v>5026.6000000000004</v>
      </c>
      <c r="G3508" s="3">
        <f t="shared" si="164"/>
        <v>3.4983708811191727E-2</v>
      </c>
      <c r="H3508" s="2">
        <f t="shared" si="162"/>
        <v>176.69999999999982</v>
      </c>
      <c r="I3508" s="3">
        <f t="shared" si="163"/>
        <v>3.515298611387415E-2</v>
      </c>
    </row>
    <row r="3509" spans="2:9" x14ac:dyDescent="0.25">
      <c r="B3509" s="1">
        <v>40309</v>
      </c>
      <c r="C3509" s="2">
        <v>5136.1499999999996</v>
      </c>
      <c r="D3509" s="2">
        <v>5189.75</v>
      </c>
      <c r="E3509" s="2">
        <v>5206.7</v>
      </c>
      <c r="F3509" s="2">
        <v>5126.5</v>
      </c>
      <c r="G3509" s="3">
        <f t="shared" si="164"/>
        <v>-1.1061691312384658E-2</v>
      </c>
      <c r="H3509" s="2">
        <f t="shared" si="162"/>
        <v>80.199999999999818</v>
      </c>
      <c r="I3509" s="3">
        <f t="shared" si="163"/>
        <v>1.5453538224384569E-2</v>
      </c>
    </row>
    <row r="3510" spans="2:9" x14ac:dyDescent="0.25">
      <c r="B3510" s="1">
        <v>40310</v>
      </c>
      <c r="C3510" s="2">
        <v>5156.6499999999996</v>
      </c>
      <c r="D3510" s="2">
        <v>5133.75</v>
      </c>
      <c r="E3510" s="2">
        <v>5172.8500000000004</v>
      </c>
      <c r="F3510" s="2">
        <v>5098.8</v>
      </c>
      <c r="G3510" s="3">
        <f t="shared" si="164"/>
        <v>3.9913164529852274E-3</v>
      </c>
      <c r="H3510" s="2">
        <f t="shared" si="162"/>
        <v>74.050000000000182</v>
      </c>
      <c r="I3510" s="3">
        <f t="shared" si="163"/>
        <v>1.4424153883613379E-2</v>
      </c>
    </row>
    <row r="3511" spans="2:9" x14ac:dyDescent="0.25">
      <c r="B3511" s="1">
        <v>40311</v>
      </c>
      <c r="C3511" s="2">
        <v>5178.8999999999996</v>
      </c>
      <c r="D3511" s="2">
        <v>5157.55</v>
      </c>
      <c r="E3511" s="2">
        <v>5212.7</v>
      </c>
      <c r="F3511" s="2">
        <v>5147.95</v>
      </c>
      <c r="G3511" s="3">
        <f t="shared" si="164"/>
        <v>4.314816789970255E-3</v>
      </c>
      <c r="H3511" s="2">
        <f t="shared" si="162"/>
        <v>64.75</v>
      </c>
      <c r="I3511" s="3">
        <f t="shared" si="163"/>
        <v>1.2554410524376884E-2</v>
      </c>
    </row>
    <row r="3512" spans="2:9" x14ac:dyDescent="0.25">
      <c r="B3512" s="1">
        <v>40312</v>
      </c>
      <c r="C3512" s="2">
        <v>5093.5</v>
      </c>
      <c r="D3512" s="2">
        <v>5180.55</v>
      </c>
      <c r="E3512" s="2">
        <v>5192.75</v>
      </c>
      <c r="F3512" s="2">
        <v>5070.95</v>
      </c>
      <c r="G3512" s="3">
        <f t="shared" si="164"/>
        <v>-1.648998822143688E-2</v>
      </c>
      <c r="H3512" s="2">
        <f t="shared" si="162"/>
        <v>121.80000000000018</v>
      </c>
      <c r="I3512" s="3">
        <f t="shared" si="163"/>
        <v>2.3511017169991637E-2</v>
      </c>
    </row>
    <row r="3513" spans="2:9" x14ac:dyDescent="0.25">
      <c r="B3513" s="1">
        <v>40315</v>
      </c>
      <c r="C3513" s="2">
        <v>5059.8999999999996</v>
      </c>
      <c r="D3513" s="2">
        <v>5093.8999999999996</v>
      </c>
      <c r="E3513" s="2">
        <v>5094.55</v>
      </c>
      <c r="F3513" s="2">
        <v>4966.25</v>
      </c>
      <c r="G3513" s="3">
        <f t="shared" si="164"/>
        <v>-6.5966427800138172E-3</v>
      </c>
      <c r="H3513" s="2">
        <f t="shared" si="162"/>
        <v>128.30000000000018</v>
      </c>
      <c r="I3513" s="3">
        <f t="shared" si="163"/>
        <v>2.5186988358625061E-2</v>
      </c>
    </row>
    <row r="3514" spans="2:9" x14ac:dyDescent="0.25">
      <c r="B3514" s="1">
        <v>40316</v>
      </c>
      <c r="C3514" s="2">
        <v>5066.2</v>
      </c>
      <c r="D3514" s="2">
        <v>5059.55</v>
      </c>
      <c r="E3514" s="2">
        <v>5105.2</v>
      </c>
      <c r="F3514" s="2">
        <v>5024.25</v>
      </c>
      <c r="G3514" s="3">
        <f t="shared" si="164"/>
        <v>1.2450838949387144E-3</v>
      </c>
      <c r="H3514" s="2">
        <f t="shared" si="162"/>
        <v>80.949999999999818</v>
      </c>
      <c r="I3514" s="3">
        <f t="shared" si="163"/>
        <v>1.5999446591099961E-2</v>
      </c>
    </row>
    <row r="3515" spans="2:9" x14ac:dyDescent="0.25">
      <c r="B3515" s="1">
        <v>40317</v>
      </c>
      <c r="C3515" s="2">
        <v>4919.6499999999996</v>
      </c>
      <c r="D3515" s="2">
        <v>5065.1000000000004</v>
      </c>
      <c r="E3515" s="2">
        <v>5065.1000000000004</v>
      </c>
      <c r="F3515" s="2">
        <v>4908.1499999999996</v>
      </c>
      <c r="G3515" s="3">
        <f t="shared" si="164"/>
        <v>-2.8927006434803282E-2</v>
      </c>
      <c r="H3515" s="2">
        <f t="shared" si="162"/>
        <v>156.95000000000073</v>
      </c>
      <c r="I3515" s="3">
        <f t="shared" si="163"/>
        <v>3.0986555053207382E-2</v>
      </c>
    </row>
    <row r="3516" spans="2:9" x14ac:dyDescent="0.25">
      <c r="B3516" s="1">
        <v>40318</v>
      </c>
      <c r="C3516" s="2">
        <v>4947.6000000000004</v>
      </c>
      <c r="D3516" s="2">
        <v>4924.3</v>
      </c>
      <c r="E3516" s="2">
        <v>4980.25</v>
      </c>
      <c r="F3516" s="2">
        <v>4924.3</v>
      </c>
      <c r="G3516" s="3">
        <f t="shared" si="164"/>
        <v>5.6812984663545674E-3</v>
      </c>
      <c r="H3516" s="2">
        <f t="shared" si="162"/>
        <v>55.949999999999818</v>
      </c>
      <c r="I3516" s="3">
        <f t="shared" si="163"/>
        <v>1.1362020997908295E-2</v>
      </c>
    </row>
    <row r="3517" spans="2:9" x14ac:dyDescent="0.25">
      <c r="B3517" s="1">
        <v>40319</v>
      </c>
      <c r="C3517" s="2">
        <v>4931.1499999999996</v>
      </c>
      <c r="D3517" s="2">
        <v>4946.7</v>
      </c>
      <c r="E3517" s="2">
        <v>4946.7</v>
      </c>
      <c r="F3517" s="2">
        <v>4842.3</v>
      </c>
      <c r="G3517" s="3">
        <f t="shared" si="164"/>
        <v>-3.3248443689871676E-3</v>
      </c>
      <c r="H3517" s="2">
        <f t="shared" si="162"/>
        <v>104.39999999999964</v>
      </c>
      <c r="I3517" s="3">
        <f t="shared" si="163"/>
        <v>2.1104979076960326E-2</v>
      </c>
    </row>
    <row r="3518" spans="2:9" x14ac:dyDescent="0.25">
      <c r="B3518" s="1">
        <v>40322</v>
      </c>
      <c r="C3518" s="2">
        <v>4943.95</v>
      </c>
      <c r="D3518" s="2">
        <v>4944.3</v>
      </c>
      <c r="E3518" s="2">
        <v>5029.55</v>
      </c>
      <c r="F3518" s="2">
        <v>4923.45</v>
      </c>
      <c r="G3518" s="3">
        <f t="shared" si="164"/>
        <v>2.5957433864312041E-3</v>
      </c>
      <c r="H3518" s="2">
        <f t="shared" si="162"/>
        <v>106.10000000000036</v>
      </c>
      <c r="I3518" s="3">
        <f t="shared" si="163"/>
        <v>2.1459053860000476E-2</v>
      </c>
    </row>
    <row r="3519" spans="2:9" x14ac:dyDescent="0.25">
      <c r="B3519" s="1">
        <v>40323</v>
      </c>
      <c r="C3519" s="2">
        <v>4806.75</v>
      </c>
      <c r="D3519" s="2">
        <v>4945.3</v>
      </c>
      <c r="E3519" s="2">
        <v>4946.6000000000004</v>
      </c>
      <c r="F3519" s="2">
        <v>4786.45</v>
      </c>
      <c r="G3519" s="3">
        <f t="shared" si="164"/>
        <v>-2.7751089715713162E-2</v>
      </c>
      <c r="H3519" s="2">
        <f t="shared" si="162"/>
        <v>160.15000000000055</v>
      </c>
      <c r="I3519" s="3">
        <f t="shared" si="163"/>
        <v>3.2384284067700754E-2</v>
      </c>
    </row>
    <row r="3520" spans="2:9" x14ac:dyDescent="0.25">
      <c r="B3520" s="1">
        <v>40324</v>
      </c>
      <c r="C3520" s="2">
        <v>4917.3999999999996</v>
      </c>
      <c r="D3520" s="2">
        <v>4807.3</v>
      </c>
      <c r="E3520" s="2">
        <v>4925.45</v>
      </c>
      <c r="F3520" s="2">
        <v>4807.3</v>
      </c>
      <c r="G3520" s="3">
        <f t="shared" si="164"/>
        <v>2.3019711863525139E-2</v>
      </c>
      <c r="H3520" s="2">
        <f t="shared" si="162"/>
        <v>118.14999999999964</v>
      </c>
      <c r="I3520" s="3">
        <f t="shared" si="163"/>
        <v>2.457720549996872E-2</v>
      </c>
    </row>
    <row r="3521" spans="2:9" x14ac:dyDescent="0.25">
      <c r="B3521" s="1">
        <v>40325</v>
      </c>
      <c r="C3521" s="2">
        <v>5003.1000000000004</v>
      </c>
      <c r="D3521" s="2">
        <v>4915.1499999999996</v>
      </c>
      <c r="E3521" s="2">
        <v>5016.6000000000004</v>
      </c>
      <c r="F3521" s="2">
        <v>4897.6000000000004</v>
      </c>
      <c r="G3521" s="3">
        <f t="shared" si="164"/>
        <v>1.742790905763214E-2</v>
      </c>
      <c r="H3521" s="2">
        <f t="shared" si="162"/>
        <v>119</v>
      </c>
      <c r="I3521" s="3">
        <f t="shared" si="163"/>
        <v>2.4210858264752857E-2</v>
      </c>
    </row>
    <row r="3522" spans="2:9" x14ac:dyDescent="0.25">
      <c r="B3522" s="1">
        <v>40326</v>
      </c>
      <c r="C3522" s="2">
        <v>5066.55</v>
      </c>
      <c r="D3522" s="2">
        <v>5005.6000000000004</v>
      </c>
      <c r="E3522" s="2">
        <v>5077.25</v>
      </c>
      <c r="F3522" s="2">
        <v>5005.6000000000004</v>
      </c>
      <c r="G3522" s="3">
        <f t="shared" si="164"/>
        <v>1.2682137075013422E-2</v>
      </c>
      <c r="H3522" s="2">
        <f t="shared" si="162"/>
        <v>71.649999999999636</v>
      </c>
      <c r="I3522" s="3">
        <f t="shared" si="163"/>
        <v>1.4313968355441832E-2</v>
      </c>
    </row>
    <row r="3523" spans="2:9" x14ac:dyDescent="0.25">
      <c r="B3523" s="1">
        <v>40329</v>
      </c>
      <c r="C3523" s="2">
        <v>5086.3</v>
      </c>
      <c r="D3523" s="2">
        <v>5076.1000000000004</v>
      </c>
      <c r="E3523" s="2">
        <v>5097.6000000000004</v>
      </c>
      <c r="F3523" s="2">
        <v>5038.55</v>
      </c>
      <c r="G3523" s="3">
        <f t="shared" si="164"/>
        <v>3.8981160750410915E-3</v>
      </c>
      <c r="H3523" s="2">
        <f t="shared" si="162"/>
        <v>59.050000000000182</v>
      </c>
      <c r="I3523" s="3">
        <f t="shared" si="163"/>
        <v>1.1632946553456428E-2</v>
      </c>
    </row>
    <row r="3524" spans="2:9" x14ac:dyDescent="0.25">
      <c r="B3524" s="1">
        <v>40330</v>
      </c>
      <c r="C3524" s="2">
        <v>4970.2</v>
      </c>
      <c r="D3524" s="2">
        <v>5086.25</v>
      </c>
      <c r="E3524" s="2">
        <v>5086.95</v>
      </c>
      <c r="F3524" s="2">
        <v>4961.05</v>
      </c>
      <c r="G3524" s="3">
        <f t="shared" si="164"/>
        <v>-2.282602284568358E-2</v>
      </c>
      <c r="H3524" s="2">
        <f t="shared" si="162"/>
        <v>125.89999999999964</v>
      </c>
      <c r="I3524" s="3">
        <f t="shared" si="163"/>
        <v>2.4753010567706981E-2</v>
      </c>
    </row>
    <row r="3525" spans="2:9" x14ac:dyDescent="0.25">
      <c r="B3525" s="1">
        <v>40331</v>
      </c>
      <c r="C3525" s="2">
        <v>5019.8500000000004</v>
      </c>
      <c r="D3525" s="2">
        <v>4970.75</v>
      </c>
      <c r="E3525" s="2">
        <v>5031.2</v>
      </c>
      <c r="F3525" s="2">
        <v>4967.05</v>
      </c>
      <c r="G3525" s="3">
        <f t="shared" si="164"/>
        <v>9.9895376443603912E-3</v>
      </c>
      <c r="H3525" s="2">
        <f t="shared" ref="H3525:H3588" si="165">E3525-F3525</f>
        <v>64.149999999999636</v>
      </c>
      <c r="I3525" s="3">
        <f t="shared" si="163"/>
        <v>1.290549715837643E-2</v>
      </c>
    </row>
    <row r="3526" spans="2:9" x14ac:dyDescent="0.25">
      <c r="B3526" s="1">
        <v>40332</v>
      </c>
      <c r="C3526" s="2">
        <v>5110.5</v>
      </c>
      <c r="D3526" s="2">
        <v>5020.1499999999996</v>
      </c>
      <c r="E3526" s="2">
        <v>5125.7</v>
      </c>
      <c r="F3526" s="2">
        <v>5020.1499999999996</v>
      </c>
      <c r="G3526" s="3">
        <f t="shared" si="164"/>
        <v>1.8058308515194632E-2</v>
      </c>
      <c r="H3526" s="2">
        <f t="shared" si="165"/>
        <v>105.55000000000018</v>
      </c>
      <c r="I3526" s="3">
        <f t="shared" ref="I3526:I3589" si="166">H3526/D3526</f>
        <v>2.1025268169277848E-2</v>
      </c>
    </row>
    <row r="3527" spans="2:9" x14ac:dyDescent="0.25">
      <c r="B3527" s="1">
        <v>40333</v>
      </c>
      <c r="C3527" s="2">
        <v>5135.5</v>
      </c>
      <c r="D3527" s="2">
        <v>5112.6000000000004</v>
      </c>
      <c r="E3527" s="2">
        <v>5147.8999999999996</v>
      </c>
      <c r="F3527" s="2">
        <v>5091.6000000000004</v>
      </c>
      <c r="G3527" s="3">
        <f t="shared" ref="G3527:G3590" si="167">C3527/C3526-1</f>
        <v>4.8918892476275122E-3</v>
      </c>
      <c r="H3527" s="2">
        <f t="shared" si="165"/>
        <v>56.299999999999272</v>
      </c>
      <c r="I3527" s="3">
        <f t="shared" si="166"/>
        <v>1.101200954504543E-2</v>
      </c>
    </row>
    <row r="3528" spans="2:9" x14ac:dyDescent="0.25">
      <c r="B3528" s="1">
        <v>40336</v>
      </c>
      <c r="C3528" s="2">
        <v>5034</v>
      </c>
      <c r="D3528" s="2">
        <v>5132.95</v>
      </c>
      <c r="E3528" s="2">
        <v>5132.95</v>
      </c>
      <c r="F3528" s="2">
        <v>5004.25</v>
      </c>
      <c r="G3528" s="3">
        <f t="shared" si="167"/>
        <v>-1.9764385162106879E-2</v>
      </c>
      <c r="H3528" s="2">
        <f t="shared" si="165"/>
        <v>128.69999999999982</v>
      </c>
      <c r="I3528" s="3">
        <f t="shared" si="166"/>
        <v>2.5073300928316042E-2</v>
      </c>
    </row>
    <row r="3529" spans="2:9" x14ac:dyDescent="0.25">
      <c r="B3529" s="1">
        <v>40337</v>
      </c>
      <c r="C3529" s="2">
        <v>4987.1000000000004</v>
      </c>
      <c r="D3529" s="2">
        <v>5036.7</v>
      </c>
      <c r="E3529" s="2">
        <v>5071.3500000000004</v>
      </c>
      <c r="F3529" s="2">
        <v>4967.3</v>
      </c>
      <c r="G3529" s="3">
        <f t="shared" si="167"/>
        <v>-9.3166468017480408E-3</v>
      </c>
      <c r="H3529" s="2">
        <f t="shared" si="165"/>
        <v>104.05000000000018</v>
      </c>
      <c r="I3529" s="3">
        <f t="shared" si="166"/>
        <v>2.0658367581948535E-2</v>
      </c>
    </row>
    <row r="3530" spans="2:9" x14ac:dyDescent="0.25">
      <c r="B3530" s="1">
        <v>40338</v>
      </c>
      <c r="C3530" s="2">
        <v>5000.3</v>
      </c>
      <c r="D3530" s="2">
        <v>4985.05</v>
      </c>
      <c r="E3530" s="2">
        <v>5050.6000000000004</v>
      </c>
      <c r="F3530" s="2">
        <v>4980.1000000000004</v>
      </c>
      <c r="G3530" s="3">
        <f t="shared" si="167"/>
        <v>2.6468288183512101E-3</v>
      </c>
      <c r="H3530" s="2">
        <f t="shared" si="165"/>
        <v>70.5</v>
      </c>
      <c r="I3530" s="3">
        <f t="shared" si="166"/>
        <v>1.4142285433446002E-2</v>
      </c>
    </row>
    <row r="3531" spans="2:9" x14ac:dyDescent="0.25">
      <c r="B3531" s="1">
        <v>40339</v>
      </c>
      <c r="C3531" s="2">
        <v>5078.6000000000004</v>
      </c>
      <c r="D3531" s="2">
        <v>4999.6000000000004</v>
      </c>
      <c r="E3531" s="2">
        <v>5085.2</v>
      </c>
      <c r="F3531" s="2">
        <v>4997.6000000000004</v>
      </c>
      <c r="G3531" s="3">
        <f t="shared" si="167"/>
        <v>1.5659060456372664E-2</v>
      </c>
      <c r="H3531" s="2">
        <f t="shared" si="165"/>
        <v>87.599999999999454</v>
      </c>
      <c r="I3531" s="3">
        <f t="shared" si="166"/>
        <v>1.7521401712136859E-2</v>
      </c>
    </row>
    <row r="3532" spans="2:9" x14ac:dyDescent="0.25">
      <c r="B3532" s="1">
        <v>40340</v>
      </c>
      <c r="C3532" s="2">
        <v>5119.3500000000004</v>
      </c>
      <c r="D3532" s="2">
        <v>5078.75</v>
      </c>
      <c r="E3532" s="2">
        <v>5139.05</v>
      </c>
      <c r="F3532" s="2">
        <v>5078.75</v>
      </c>
      <c r="G3532" s="3">
        <f t="shared" si="167"/>
        <v>8.0238648446422367E-3</v>
      </c>
      <c r="H3532" s="2">
        <f t="shared" si="165"/>
        <v>60.300000000000182</v>
      </c>
      <c r="I3532" s="3">
        <f t="shared" si="166"/>
        <v>1.187300024612359E-2</v>
      </c>
    </row>
    <row r="3533" spans="2:9" x14ac:dyDescent="0.25">
      <c r="B3533" s="1">
        <v>40343</v>
      </c>
      <c r="C3533" s="2">
        <v>5197.7</v>
      </c>
      <c r="D3533" s="2">
        <v>5120.1499999999996</v>
      </c>
      <c r="E3533" s="2">
        <v>5201.25</v>
      </c>
      <c r="F3533" s="2">
        <v>5120.1499999999996</v>
      </c>
      <c r="G3533" s="3">
        <f t="shared" si="167"/>
        <v>1.530467735161678E-2</v>
      </c>
      <c r="H3533" s="2">
        <f t="shared" si="165"/>
        <v>81.100000000000364</v>
      </c>
      <c r="I3533" s="3">
        <f t="shared" si="166"/>
        <v>1.5839379705672757E-2</v>
      </c>
    </row>
    <row r="3534" spans="2:9" x14ac:dyDescent="0.25">
      <c r="B3534" s="1">
        <v>40344</v>
      </c>
      <c r="C3534" s="2">
        <v>5222.3500000000004</v>
      </c>
      <c r="D3534" s="2">
        <v>5201.3</v>
      </c>
      <c r="E3534" s="2">
        <v>5231.45</v>
      </c>
      <c r="F3534" s="2">
        <v>5171.05</v>
      </c>
      <c r="G3534" s="3">
        <f t="shared" si="167"/>
        <v>4.7424822517652121E-3</v>
      </c>
      <c r="H3534" s="2">
        <f t="shared" si="165"/>
        <v>60.399999999999636</v>
      </c>
      <c r="I3534" s="3">
        <f t="shared" si="166"/>
        <v>1.1612481495010792E-2</v>
      </c>
    </row>
    <row r="3535" spans="2:9" x14ac:dyDescent="0.25">
      <c r="B3535" s="1">
        <v>40345</v>
      </c>
      <c r="C3535" s="2">
        <v>5233.3500000000004</v>
      </c>
      <c r="D3535" s="2">
        <v>5225.05</v>
      </c>
      <c r="E3535" s="2">
        <v>5255.65</v>
      </c>
      <c r="F3535" s="2">
        <v>5214.8999999999996</v>
      </c>
      <c r="G3535" s="3">
        <f t="shared" si="167"/>
        <v>2.1063314408265033E-3</v>
      </c>
      <c r="H3535" s="2">
        <f t="shared" si="165"/>
        <v>40.75</v>
      </c>
      <c r="I3535" s="3">
        <f t="shared" si="166"/>
        <v>7.7989684309241053E-3</v>
      </c>
    </row>
    <row r="3536" spans="2:9" x14ac:dyDescent="0.25">
      <c r="B3536" s="1">
        <v>40346</v>
      </c>
      <c r="C3536" s="2">
        <v>5274.85</v>
      </c>
      <c r="D3536" s="2">
        <v>5233.6499999999996</v>
      </c>
      <c r="E3536" s="2">
        <v>5285.55</v>
      </c>
      <c r="F3536" s="2">
        <v>5206.55</v>
      </c>
      <c r="G3536" s="3">
        <f t="shared" si="167"/>
        <v>7.9299110512387472E-3</v>
      </c>
      <c r="H3536" s="2">
        <f t="shared" si="165"/>
        <v>79</v>
      </c>
      <c r="I3536" s="3">
        <f t="shared" si="166"/>
        <v>1.5094628032061755E-2</v>
      </c>
    </row>
    <row r="3537" spans="2:9" x14ac:dyDescent="0.25">
      <c r="B3537" s="1">
        <v>40347</v>
      </c>
      <c r="C3537" s="2">
        <v>5262.6</v>
      </c>
      <c r="D3537" s="2">
        <v>5274.95</v>
      </c>
      <c r="E3537" s="2">
        <v>5302.3</v>
      </c>
      <c r="F3537" s="2">
        <v>5245.5</v>
      </c>
      <c r="G3537" s="3">
        <f t="shared" si="167"/>
        <v>-2.3223409196470035E-3</v>
      </c>
      <c r="H3537" s="2">
        <f t="shared" si="165"/>
        <v>56.800000000000182</v>
      </c>
      <c r="I3537" s="3">
        <f t="shared" si="166"/>
        <v>1.0767874577010244E-2</v>
      </c>
    </row>
    <row r="3538" spans="2:9" x14ac:dyDescent="0.25">
      <c r="B3538" s="1">
        <v>40350</v>
      </c>
      <c r="C3538" s="2">
        <v>5353.3</v>
      </c>
      <c r="D3538" s="2">
        <v>5266.5</v>
      </c>
      <c r="E3538" s="2">
        <v>5366.75</v>
      </c>
      <c r="F3538" s="2">
        <v>5266.5</v>
      </c>
      <c r="G3538" s="3">
        <f t="shared" si="167"/>
        <v>1.7234826891650457E-2</v>
      </c>
      <c r="H3538" s="2">
        <f t="shared" si="165"/>
        <v>100.25</v>
      </c>
      <c r="I3538" s="3">
        <f t="shared" si="166"/>
        <v>1.9035412513054212E-2</v>
      </c>
    </row>
    <row r="3539" spans="2:9" x14ac:dyDescent="0.25">
      <c r="B3539" s="1">
        <v>40351</v>
      </c>
      <c r="C3539" s="2">
        <v>5316.55</v>
      </c>
      <c r="D3539" s="2">
        <v>5353.95</v>
      </c>
      <c r="E3539" s="2">
        <v>5354.35</v>
      </c>
      <c r="F3539" s="2">
        <v>5311.05</v>
      </c>
      <c r="G3539" s="3">
        <f t="shared" si="167"/>
        <v>-6.8649244391310038E-3</v>
      </c>
      <c r="H3539" s="2">
        <f t="shared" si="165"/>
        <v>43.300000000000182</v>
      </c>
      <c r="I3539" s="3">
        <f t="shared" si="166"/>
        <v>8.0874868088047485E-3</v>
      </c>
    </row>
    <row r="3540" spans="2:9" x14ac:dyDescent="0.25">
      <c r="B3540" s="1">
        <v>40352</v>
      </c>
      <c r="C3540" s="2">
        <v>5323.15</v>
      </c>
      <c r="D3540" s="2">
        <v>5316.15</v>
      </c>
      <c r="E3540" s="2">
        <v>5333.3</v>
      </c>
      <c r="F3540" s="2">
        <v>5288.15</v>
      </c>
      <c r="G3540" s="3">
        <f t="shared" si="167"/>
        <v>1.2414065512409422E-3</v>
      </c>
      <c r="H3540" s="2">
        <f t="shared" si="165"/>
        <v>45.150000000000546</v>
      </c>
      <c r="I3540" s="3">
        <f t="shared" si="166"/>
        <v>8.4929883468300455E-3</v>
      </c>
    </row>
    <row r="3541" spans="2:9" x14ac:dyDescent="0.25">
      <c r="B3541" s="1">
        <v>40353</v>
      </c>
      <c r="C3541" s="2">
        <v>5320.6</v>
      </c>
      <c r="D3541" s="2">
        <v>5323.25</v>
      </c>
      <c r="E3541" s="2">
        <v>5348.3</v>
      </c>
      <c r="F3541" s="2">
        <v>5284.55</v>
      </c>
      <c r="G3541" s="3">
        <f t="shared" si="167"/>
        <v>-4.7903966636286821E-4</v>
      </c>
      <c r="H3541" s="2">
        <f t="shared" si="165"/>
        <v>63.75</v>
      </c>
      <c r="I3541" s="3">
        <f t="shared" si="166"/>
        <v>1.1975766683886724E-2</v>
      </c>
    </row>
    <row r="3542" spans="2:9" x14ac:dyDescent="0.25">
      <c r="B3542" s="1">
        <v>40354</v>
      </c>
      <c r="C3542" s="2">
        <v>5269.05</v>
      </c>
      <c r="D3542" s="2">
        <v>5320.5</v>
      </c>
      <c r="E3542" s="2">
        <v>5320.5</v>
      </c>
      <c r="F3542" s="2">
        <v>5259.9</v>
      </c>
      <c r="G3542" s="3">
        <f t="shared" si="167"/>
        <v>-9.688756907115792E-3</v>
      </c>
      <c r="H3542" s="2">
        <f t="shared" si="165"/>
        <v>60.600000000000364</v>
      </c>
      <c r="I3542" s="3">
        <f t="shared" si="166"/>
        <v>1.1389906963631307E-2</v>
      </c>
    </row>
    <row r="3543" spans="2:9" x14ac:dyDescent="0.25">
      <c r="B3543" s="1">
        <v>40357</v>
      </c>
      <c r="C3543" s="2">
        <v>5333.5</v>
      </c>
      <c r="D3543" s="2">
        <v>5271.1</v>
      </c>
      <c r="E3543" s="2">
        <v>5339.45</v>
      </c>
      <c r="F3543" s="2">
        <v>5270.75</v>
      </c>
      <c r="G3543" s="3">
        <f t="shared" si="167"/>
        <v>1.2231806492631447E-2</v>
      </c>
      <c r="H3543" s="2">
        <f t="shared" si="165"/>
        <v>68.699999999999818</v>
      </c>
      <c r="I3543" s="3">
        <f t="shared" si="166"/>
        <v>1.3033332700954225E-2</v>
      </c>
    </row>
    <row r="3544" spans="2:9" x14ac:dyDescent="0.25">
      <c r="B3544" s="1">
        <v>40358</v>
      </c>
      <c r="C3544" s="2">
        <v>5256.15</v>
      </c>
      <c r="D3544" s="2">
        <v>5333.55</v>
      </c>
      <c r="E3544" s="2">
        <v>5334.15</v>
      </c>
      <c r="F3544" s="2">
        <v>5235.8</v>
      </c>
      <c r="G3544" s="3">
        <f t="shared" si="167"/>
        <v>-1.450267179150655E-2</v>
      </c>
      <c r="H3544" s="2">
        <f t="shared" si="165"/>
        <v>98.349999999999454</v>
      </c>
      <c r="I3544" s="3">
        <f t="shared" si="166"/>
        <v>1.843987588004227E-2</v>
      </c>
    </row>
    <row r="3545" spans="2:9" x14ac:dyDescent="0.25">
      <c r="B3545" s="1">
        <v>40359</v>
      </c>
      <c r="C3545" s="2">
        <v>5312.5</v>
      </c>
      <c r="D3545" s="2">
        <v>5254.25</v>
      </c>
      <c r="E3545" s="2">
        <v>5320.35</v>
      </c>
      <c r="F3545" s="2">
        <v>5210</v>
      </c>
      <c r="G3545" s="3">
        <f t="shared" si="167"/>
        <v>1.0720774711528547E-2</v>
      </c>
      <c r="H3545" s="2">
        <f t="shared" si="165"/>
        <v>110.35000000000036</v>
      </c>
      <c r="I3545" s="3">
        <f t="shared" si="166"/>
        <v>2.1002045962792093E-2</v>
      </c>
    </row>
    <row r="3546" spans="2:9" x14ac:dyDescent="0.25">
      <c r="B3546" s="1">
        <v>40360</v>
      </c>
      <c r="C3546" s="2">
        <v>5251.4</v>
      </c>
      <c r="D3546" s="2">
        <v>5312.05</v>
      </c>
      <c r="E3546" s="2">
        <v>5312.55</v>
      </c>
      <c r="F3546" s="2">
        <v>5232.1000000000004</v>
      </c>
      <c r="G3546" s="3">
        <f t="shared" si="167"/>
        <v>-1.1501176470588348E-2</v>
      </c>
      <c r="H3546" s="2">
        <f t="shared" si="165"/>
        <v>80.449999999999818</v>
      </c>
      <c r="I3546" s="3">
        <f t="shared" si="166"/>
        <v>1.514481226645077E-2</v>
      </c>
    </row>
    <row r="3547" spans="2:9" x14ac:dyDescent="0.25">
      <c r="B3547" s="1">
        <v>40361</v>
      </c>
      <c r="C3547" s="2">
        <v>5237.1000000000004</v>
      </c>
      <c r="D3547" s="2">
        <v>5251.25</v>
      </c>
      <c r="E3547" s="2">
        <v>5277.25</v>
      </c>
      <c r="F3547" s="2">
        <v>5225.6000000000004</v>
      </c>
      <c r="G3547" s="3">
        <f t="shared" si="167"/>
        <v>-2.723083368244561E-3</v>
      </c>
      <c r="H3547" s="2">
        <f t="shared" si="165"/>
        <v>51.649999999999636</v>
      </c>
      <c r="I3547" s="3">
        <f t="shared" si="166"/>
        <v>9.8357533920494424E-3</v>
      </c>
    </row>
    <row r="3548" spans="2:9" x14ac:dyDescent="0.25">
      <c r="B3548" s="1">
        <v>40364</v>
      </c>
      <c r="C3548" s="2">
        <v>5235.8999999999996</v>
      </c>
      <c r="D3548" s="2">
        <v>5237</v>
      </c>
      <c r="E3548" s="2">
        <v>5252.75</v>
      </c>
      <c r="F3548" s="2">
        <v>5225.8500000000004</v>
      </c>
      <c r="G3548" s="3">
        <f t="shared" si="167"/>
        <v>-2.2913444463557031E-4</v>
      </c>
      <c r="H3548" s="2">
        <f t="shared" si="165"/>
        <v>26.899999999999636</v>
      </c>
      <c r="I3548" s="3">
        <f t="shared" si="166"/>
        <v>5.1365285468779141E-3</v>
      </c>
    </row>
    <row r="3549" spans="2:9" x14ac:dyDescent="0.25">
      <c r="B3549" s="1">
        <v>40365</v>
      </c>
      <c r="C3549" s="2">
        <v>5289.05</v>
      </c>
      <c r="D3549" s="2">
        <v>5236.1000000000004</v>
      </c>
      <c r="E3549" s="2">
        <v>5297.45</v>
      </c>
      <c r="F3549" s="2">
        <v>5231.5</v>
      </c>
      <c r="G3549" s="3">
        <f t="shared" si="167"/>
        <v>1.0151072403980388E-2</v>
      </c>
      <c r="H3549" s="2">
        <f t="shared" si="165"/>
        <v>65.949999999999818</v>
      </c>
      <c r="I3549" s="3">
        <f t="shared" si="166"/>
        <v>1.259525219151655E-2</v>
      </c>
    </row>
    <row r="3550" spans="2:9" x14ac:dyDescent="0.25">
      <c r="B3550" s="1">
        <v>40366</v>
      </c>
      <c r="C3550" s="2">
        <v>5241.1000000000004</v>
      </c>
      <c r="D3550" s="2">
        <v>5293.1</v>
      </c>
      <c r="E3550" s="2">
        <v>5296.75</v>
      </c>
      <c r="F3550" s="2">
        <v>5233.45</v>
      </c>
      <c r="G3550" s="3">
        <f t="shared" si="167"/>
        <v>-9.0659003034571084E-3</v>
      </c>
      <c r="H3550" s="2">
        <f t="shared" si="165"/>
        <v>63.300000000000182</v>
      </c>
      <c r="I3550" s="3">
        <f t="shared" si="166"/>
        <v>1.1958965445580129E-2</v>
      </c>
    </row>
    <row r="3551" spans="2:9" x14ac:dyDescent="0.25">
      <c r="B3551" s="1">
        <v>40367</v>
      </c>
      <c r="C3551" s="2">
        <v>5296.85</v>
      </c>
      <c r="D3551" s="2">
        <v>5242</v>
      </c>
      <c r="E3551" s="2">
        <v>5320.5</v>
      </c>
      <c r="F3551" s="2">
        <v>5242</v>
      </c>
      <c r="G3551" s="3">
        <f t="shared" si="167"/>
        <v>1.0637080002289689E-2</v>
      </c>
      <c r="H3551" s="2">
        <f t="shared" si="165"/>
        <v>78.5</v>
      </c>
      <c r="I3551" s="3">
        <f t="shared" si="166"/>
        <v>1.4975200305227013E-2</v>
      </c>
    </row>
    <row r="3552" spans="2:9" x14ac:dyDescent="0.25">
      <c r="B3552" s="1">
        <v>40368</v>
      </c>
      <c r="C3552" s="2">
        <v>5352.45</v>
      </c>
      <c r="D3552" s="2">
        <v>5297.2</v>
      </c>
      <c r="E3552" s="2">
        <v>5359.05</v>
      </c>
      <c r="F3552" s="2">
        <v>5297.2</v>
      </c>
      <c r="G3552" s="3">
        <f t="shared" si="167"/>
        <v>1.0496804704682949E-2</v>
      </c>
      <c r="H3552" s="2">
        <f t="shared" si="165"/>
        <v>61.850000000000364</v>
      </c>
      <c r="I3552" s="3">
        <f t="shared" si="166"/>
        <v>1.1675979762893673E-2</v>
      </c>
    </row>
    <row r="3553" spans="2:9" x14ac:dyDescent="0.25">
      <c r="B3553" s="1">
        <v>40371</v>
      </c>
      <c r="C3553" s="2">
        <v>5383</v>
      </c>
      <c r="D3553" s="2">
        <v>5352.25</v>
      </c>
      <c r="E3553" s="2">
        <v>5402.7</v>
      </c>
      <c r="F3553" s="2">
        <v>5351.6</v>
      </c>
      <c r="G3553" s="3">
        <f t="shared" si="167"/>
        <v>5.7076665825930295E-3</v>
      </c>
      <c r="H3553" s="2">
        <f t="shared" si="165"/>
        <v>51.099999999999454</v>
      </c>
      <c r="I3553" s="3">
        <f t="shared" si="166"/>
        <v>9.5473866131065357E-3</v>
      </c>
    </row>
    <row r="3554" spans="2:9" x14ac:dyDescent="0.25">
      <c r="B3554" s="1">
        <v>40372</v>
      </c>
      <c r="C3554" s="2">
        <v>5400.65</v>
      </c>
      <c r="D3554" s="2">
        <v>5370.2</v>
      </c>
      <c r="E3554" s="2">
        <v>5406.2</v>
      </c>
      <c r="F3554" s="2">
        <v>5357.85</v>
      </c>
      <c r="G3554" s="3">
        <f t="shared" si="167"/>
        <v>3.2788407950956611E-3</v>
      </c>
      <c r="H3554" s="2">
        <f t="shared" si="165"/>
        <v>48.349999999999454</v>
      </c>
      <c r="I3554" s="3">
        <f t="shared" si="166"/>
        <v>9.0033890730325597E-3</v>
      </c>
    </row>
    <row r="3555" spans="2:9" x14ac:dyDescent="0.25">
      <c r="B3555" s="1">
        <v>40373</v>
      </c>
      <c r="C3555" s="2">
        <v>5386.15</v>
      </c>
      <c r="D3555" s="2">
        <v>5402</v>
      </c>
      <c r="E3555" s="2">
        <v>5453.45</v>
      </c>
      <c r="F3555" s="2">
        <v>5371.7</v>
      </c>
      <c r="G3555" s="3">
        <f t="shared" si="167"/>
        <v>-2.6848620073509633E-3</v>
      </c>
      <c r="H3555" s="2">
        <f t="shared" si="165"/>
        <v>81.75</v>
      </c>
      <c r="I3555" s="3">
        <f t="shared" si="166"/>
        <v>1.5133283968900407E-2</v>
      </c>
    </row>
    <row r="3556" spans="2:9" x14ac:dyDescent="0.25">
      <c r="B3556" s="1">
        <v>40374</v>
      </c>
      <c r="C3556" s="2">
        <v>5378.75</v>
      </c>
      <c r="D3556" s="2">
        <v>5387.1</v>
      </c>
      <c r="E3556" s="2">
        <v>5399.2</v>
      </c>
      <c r="F3556" s="2">
        <v>5360.6</v>
      </c>
      <c r="G3556" s="3">
        <f t="shared" si="167"/>
        <v>-1.3738941544516603E-3</v>
      </c>
      <c r="H3556" s="2">
        <f t="shared" si="165"/>
        <v>38.599999999999454</v>
      </c>
      <c r="I3556" s="3">
        <f t="shared" si="166"/>
        <v>7.1652651704997962E-3</v>
      </c>
    </row>
    <row r="3557" spans="2:9" x14ac:dyDescent="0.25">
      <c r="B3557" s="1">
        <v>40375</v>
      </c>
      <c r="C3557" s="2">
        <v>5393.9</v>
      </c>
      <c r="D3557" s="2">
        <v>5376.65</v>
      </c>
      <c r="E3557" s="2">
        <v>5401.35</v>
      </c>
      <c r="F3557" s="2">
        <v>5374.4</v>
      </c>
      <c r="G3557" s="3">
        <f t="shared" si="167"/>
        <v>2.8166395537996269E-3</v>
      </c>
      <c r="H3557" s="2">
        <f t="shared" si="165"/>
        <v>26.950000000000728</v>
      </c>
      <c r="I3557" s="3">
        <f t="shared" si="166"/>
        <v>5.0124147935983803E-3</v>
      </c>
    </row>
    <row r="3558" spans="2:9" x14ac:dyDescent="0.25">
      <c r="B3558" s="1">
        <v>40378</v>
      </c>
      <c r="C3558" s="2">
        <v>5386.45</v>
      </c>
      <c r="D3558" s="2">
        <v>5392.7</v>
      </c>
      <c r="E3558" s="2">
        <v>5409.1</v>
      </c>
      <c r="F3558" s="2">
        <v>5361.5</v>
      </c>
      <c r="G3558" s="3">
        <f t="shared" si="167"/>
        <v>-1.3811898626225894E-3</v>
      </c>
      <c r="H3558" s="2">
        <f t="shared" si="165"/>
        <v>47.600000000000364</v>
      </c>
      <c r="I3558" s="3">
        <f t="shared" si="166"/>
        <v>8.8267472694569266E-3</v>
      </c>
    </row>
    <row r="3559" spans="2:9" x14ac:dyDescent="0.25">
      <c r="B3559" s="1">
        <v>40379</v>
      </c>
      <c r="C3559" s="2">
        <v>5368</v>
      </c>
      <c r="D3559" s="2">
        <v>5387</v>
      </c>
      <c r="E3559" s="2">
        <v>5416.45</v>
      </c>
      <c r="F3559" s="2">
        <v>5353.6</v>
      </c>
      <c r="G3559" s="3">
        <f t="shared" si="167"/>
        <v>-3.4252615358909555E-3</v>
      </c>
      <c r="H3559" s="2">
        <f t="shared" si="165"/>
        <v>62.849999999999454</v>
      </c>
      <c r="I3559" s="3">
        <f t="shared" si="166"/>
        <v>1.1666976053461937E-2</v>
      </c>
    </row>
    <row r="3560" spans="2:9" x14ac:dyDescent="0.25">
      <c r="B3560" s="1">
        <v>40380</v>
      </c>
      <c r="C3560" s="2">
        <v>5399.35</v>
      </c>
      <c r="D3560" s="2">
        <v>5368.85</v>
      </c>
      <c r="E3560" s="2">
        <v>5409.1</v>
      </c>
      <c r="F3560" s="2">
        <v>5368.85</v>
      </c>
      <c r="G3560" s="3">
        <f t="shared" si="167"/>
        <v>5.8401639344263234E-3</v>
      </c>
      <c r="H3560" s="2">
        <f t="shared" si="165"/>
        <v>40.25</v>
      </c>
      <c r="I3560" s="3">
        <f t="shared" si="166"/>
        <v>7.496949998603052E-3</v>
      </c>
    </row>
    <row r="3561" spans="2:9" x14ac:dyDescent="0.25">
      <c r="B3561" s="1">
        <v>40381</v>
      </c>
      <c r="C3561" s="2">
        <v>5441.95</v>
      </c>
      <c r="D3561" s="2">
        <v>5399.15</v>
      </c>
      <c r="E3561" s="2">
        <v>5447.15</v>
      </c>
      <c r="F3561" s="2">
        <v>5372.2</v>
      </c>
      <c r="G3561" s="3">
        <f t="shared" si="167"/>
        <v>7.8898385916821301E-3</v>
      </c>
      <c r="H3561" s="2">
        <f t="shared" si="165"/>
        <v>74.949999999999818</v>
      </c>
      <c r="I3561" s="3">
        <f t="shared" si="166"/>
        <v>1.3881814730096372E-2</v>
      </c>
    </row>
    <row r="3562" spans="2:9" x14ac:dyDescent="0.25">
      <c r="B3562" s="1">
        <v>40382</v>
      </c>
      <c r="C3562" s="2">
        <v>5449.1</v>
      </c>
      <c r="D3562" s="2">
        <v>5441.9</v>
      </c>
      <c r="E3562" s="2">
        <v>5477.5</v>
      </c>
      <c r="F3562" s="2">
        <v>5435.15</v>
      </c>
      <c r="G3562" s="3">
        <f t="shared" si="167"/>
        <v>1.3138672718420175E-3</v>
      </c>
      <c r="H3562" s="2">
        <f t="shared" si="165"/>
        <v>42.350000000000364</v>
      </c>
      <c r="I3562" s="3">
        <f t="shared" si="166"/>
        <v>7.7822084198534277E-3</v>
      </c>
    </row>
    <row r="3563" spans="2:9" x14ac:dyDescent="0.25">
      <c r="B3563" s="1">
        <v>40385</v>
      </c>
      <c r="C3563" s="2">
        <v>5418.6</v>
      </c>
      <c r="D3563" s="2">
        <v>5446.55</v>
      </c>
      <c r="E3563" s="2">
        <v>5466.25</v>
      </c>
      <c r="F3563" s="2">
        <v>5409.2</v>
      </c>
      <c r="G3563" s="3">
        <f t="shared" si="167"/>
        <v>-5.5972545925014883E-3</v>
      </c>
      <c r="H3563" s="2">
        <f t="shared" si="165"/>
        <v>57.050000000000182</v>
      </c>
      <c r="I3563" s="3">
        <f t="shared" si="166"/>
        <v>1.0474520568066057E-2</v>
      </c>
    </row>
    <row r="3564" spans="2:9" x14ac:dyDescent="0.25">
      <c r="B3564" s="1">
        <v>40386</v>
      </c>
      <c r="C3564" s="2">
        <v>5430.6</v>
      </c>
      <c r="D3564" s="2">
        <v>5420.2</v>
      </c>
      <c r="E3564" s="2">
        <v>5450.95</v>
      </c>
      <c r="F3564" s="2">
        <v>5407.2</v>
      </c>
      <c r="G3564" s="3">
        <f t="shared" si="167"/>
        <v>2.2145941756173126E-3</v>
      </c>
      <c r="H3564" s="2">
        <f t="shared" si="165"/>
        <v>43.75</v>
      </c>
      <c r="I3564" s="3">
        <f t="shared" si="166"/>
        <v>8.0716578724032324E-3</v>
      </c>
    </row>
    <row r="3565" spans="2:9" x14ac:dyDescent="0.25">
      <c r="B3565" s="1">
        <v>40387</v>
      </c>
      <c r="C3565" s="2">
        <v>5397.55</v>
      </c>
      <c r="D3565" s="2">
        <v>5436.1</v>
      </c>
      <c r="E3565" s="2">
        <v>5447.85</v>
      </c>
      <c r="F3565" s="2">
        <v>5386.25</v>
      </c>
      <c r="G3565" s="3">
        <f t="shared" si="167"/>
        <v>-6.0858836960925311E-3</v>
      </c>
      <c r="H3565" s="2">
        <f t="shared" si="165"/>
        <v>61.600000000000364</v>
      </c>
      <c r="I3565" s="3">
        <f t="shared" si="166"/>
        <v>1.1331653207262626E-2</v>
      </c>
    </row>
    <row r="3566" spans="2:9" x14ac:dyDescent="0.25">
      <c r="B3566" s="1">
        <v>40388</v>
      </c>
      <c r="C3566" s="2">
        <v>5408.9</v>
      </c>
      <c r="D3566" s="2">
        <v>5397.85</v>
      </c>
      <c r="E3566" s="2">
        <v>5415.85</v>
      </c>
      <c r="F3566" s="2">
        <v>5381.55</v>
      </c>
      <c r="G3566" s="3">
        <f t="shared" si="167"/>
        <v>2.1028059026779733E-3</v>
      </c>
      <c r="H3566" s="2">
        <f t="shared" si="165"/>
        <v>34.300000000000182</v>
      </c>
      <c r="I3566" s="3">
        <f t="shared" si="166"/>
        <v>6.3543818372129978E-3</v>
      </c>
    </row>
    <row r="3567" spans="2:9" x14ac:dyDescent="0.25">
      <c r="B3567" s="1">
        <v>40389</v>
      </c>
      <c r="C3567" s="2">
        <v>5367.6</v>
      </c>
      <c r="D3567" s="2">
        <v>5408.4</v>
      </c>
      <c r="E3567" s="2">
        <v>5413.25</v>
      </c>
      <c r="F3567" s="2">
        <v>5349.2</v>
      </c>
      <c r="G3567" s="3">
        <f t="shared" si="167"/>
        <v>-7.6355636081272271E-3</v>
      </c>
      <c r="H3567" s="2">
        <f t="shared" si="165"/>
        <v>64.050000000000182</v>
      </c>
      <c r="I3567" s="3">
        <f t="shared" si="166"/>
        <v>1.1842689150210818E-2</v>
      </c>
    </row>
    <row r="3568" spans="2:9" x14ac:dyDescent="0.25">
      <c r="B3568" s="1">
        <v>40392</v>
      </c>
      <c r="C3568" s="2">
        <v>5431.65</v>
      </c>
      <c r="D3568" s="2">
        <v>5369.55</v>
      </c>
      <c r="E3568" s="2">
        <v>5438.85</v>
      </c>
      <c r="F3568" s="2">
        <v>5351.3</v>
      </c>
      <c r="G3568" s="3">
        <f t="shared" si="167"/>
        <v>1.1932707355242433E-2</v>
      </c>
      <c r="H3568" s="2">
        <f t="shared" si="165"/>
        <v>87.550000000000182</v>
      </c>
      <c r="I3568" s="3">
        <f t="shared" si="166"/>
        <v>1.6304904507826574E-2</v>
      </c>
    </row>
    <row r="3569" spans="2:9" x14ac:dyDescent="0.25">
      <c r="B3569" s="1">
        <v>40393</v>
      </c>
      <c r="C3569" s="2">
        <v>5439.55</v>
      </c>
      <c r="D3569" s="2">
        <v>5432.5</v>
      </c>
      <c r="E3569" s="2">
        <v>5459.2</v>
      </c>
      <c r="F3569" s="2">
        <v>5426.4</v>
      </c>
      <c r="G3569" s="3">
        <f t="shared" si="167"/>
        <v>1.4544383382582016E-3</v>
      </c>
      <c r="H3569" s="2">
        <f t="shared" si="165"/>
        <v>32.800000000000182</v>
      </c>
      <c r="I3569" s="3">
        <f t="shared" si="166"/>
        <v>6.0377358490566373E-3</v>
      </c>
    </row>
    <row r="3570" spans="2:9" x14ac:dyDescent="0.25">
      <c r="B3570" s="1">
        <v>40394</v>
      </c>
      <c r="C3570" s="2">
        <v>5467.85</v>
      </c>
      <c r="D3570" s="2">
        <v>5441.35</v>
      </c>
      <c r="E3570" s="2">
        <v>5481.9</v>
      </c>
      <c r="F3570" s="2">
        <v>5428.4</v>
      </c>
      <c r="G3570" s="3">
        <f t="shared" si="167"/>
        <v>5.2026362474837384E-3</v>
      </c>
      <c r="H3570" s="2">
        <f t="shared" si="165"/>
        <v>53.5</v>
      </c>
      <c r="I3570" s="3">
        <f t="shared" si="166"/>
        <v>9.8321188675604392E-3</v>
      </c>
    </row>
    <row r="3571" spans="2:9" x14ac:dyDescent="0.25">
      <c r="B3571" s="1">
        <v>40395</v>
      </c>
      <c r="C3571" s="2">
        <v>5447.1</v>
      </c>
      <c r="D3571" s="2">
        <v>5470.15</v>
      </c>
      <c r="E3571" s="2">
        <v>5487.15</v>
      </c>
      <c r="F3571" s="2">
        <v>5443.1</v>
      </c>
      <c r="G3571" s="3">
        <f t="shared" si="167"/>
        <v>-3.794910248086536E-3</v>
      </c>
      <c r="H3571" s="2">
        <f t="shared" si="165"/>
        <v>44.049999999999272</v>
      </c>
      <c r="I3571" s="3">
        <f t="shared" si="166"/>
        <v>8.0527956271764529E-3</v>
      </c>
    </row>
    <row r="3572" spans="2:9" x14ac:dyDescent="0.25">
      <c r="B3572" s="1">
        <v>40396</v>
      </c>
      <c r="C3572" s="2">
        <v>5439.25</v>
      </c>
      <c r="D3572" s="2">
        <v>5448.25</v>
      </c>
      <c r="E3572" s="2">
        <v>5471.9</v>
      </c>
      <c r="F3572" s="2">
        <v>5431.35</v>
      </c>
      <c r="G3572" s="3">
        <f t="shared" si="167"/>
        <v>-1.4411338143233143E-3</v>
      </c>
      <c r="H3572" s="2">
        <f t="shared" si="165"/>
        <v>40.549999999999272</v>
      </c>
      <c r="I3572" s="3">
        <f t="shared" si="166"/>
        <v>7.4427568485292105E-3</v>
      </c>
    </row>
    <row r="3573" spans="2:9" x14ac:dyDescent="0.25">
      <c r="B3573" s="1">
        <v>40399</v>
      </c>
      <c r="C3573" s="2">
        <v>5486.15</v>
      </c>
      <c r="D3573" s="2">
        <v>5439.8</v>
      </c>
      <c r="E3573" s="2">
        <v>5492.3</v>
      </c>
      <c r="F3573" s="2">
        <v>5433.25</v>
      </c>
      <c r="G3573" s="3">
        <f t="shared" si="167"/>
        <v>8.6225122948935251E-3</v>
      </c>
      <c r="H3573" s="2">
        <f t="shared" si="165"/>
        <v>59.050000000000182</v>
      </c>
      <c r="I3573" s="3">
        <f t="shared" si="166"/>
        <v>1.0855178499209563E-2</v>
      </c>
    </row>
    <row r="3574" spans="2:9" x14ac:dyDescent="0.25">
      <c r="B3574" s="1">
        <v>40400</v>
      </c>
      <c r="C3574" s="2">
        <v>5460.7</v>
      </c>
      <c r="D3574" s="2">
        <v>5486.8</v>
      </c>
      <c r="E3574" s="2">
        <v>5491.45</v>
      </c>
      <c r="F3574" s="2">
        <v>5445.35</v>
      </c>
      <c r="G3574" s="3">
        <f t="shared" si="167"/>
        <v>-4.6389544580442976E-3</v>
      </c>
      <c r="H3574" s="2">
        <f t="shared" si="165"/>
        <v>46.099999999999454</v>
      </c>
      <c r="I3574" s="3">
        <f t="shared" si="166"/>
        <v>8.4019829408761848E-3</v>
      </c>
    </row>
    <row r="3575" spans="2:9" x14ac:dyDescent="0.25">
      <c r="B3575" s="1">
        <v>40401</v>
      </c>
      <c r="C3575" s="2">
        <v>5420.6</v>
      </c>
      <c r="D3575" s="2">
        <v>5460.7</v>
      </c>
      <c r="E3575" s="2">
        <v>5474.6</v>
      </c>
      <c r="F3575" s="2">
        <v>5412</v>
      </c>
      <c r="G3575" s="3">
        <f t="shared" si="167"/>
        <v>-7.3433808852343407E-3</v>
      </c>
      <c r="H3575" s="2">
        <f t="shared" si="165"/>
        <v>62.600000000000364</v>
      </c>
      <c r="I3575" s="3">
        <f t="shared" si="166"/>
        <v>1.1463731756002045E-2</v>
      </c>
    </row>
    <row r="3576" spans="2:9" x14ac:dyDescent="0.25">
      <c r="B3576" s="1">
        <v>40402</v>
      </c>
      <c r="C3576" s="2">
        <v>5416.45</v>
      </c>
      <c r="D3576" s="2">
        <v>5418.7</v>
      </c>
      <c r="E3576" s="2">
        <v>5431.1</v>
      </c>
      <c r="F3576" s="2">
        <v>5372.45</v>
      </c>
      <c r="G3576" s="3">
        <f t="shared" si="167"/>
        <v>-7.655979042910932E-4</v>
      </c>
      <c r="H3576" s="2">
        <f t="shared" si="165"/>
        <v>58.650000000000546</v>
      </c>
      <c r="I3576" s="3">
        <f t="shared" si="166"/>
        <v>1.0823629283776653E-2</v>
      </c>
    </row>
    <row r="3577" spans="2:9" x14ac:dyDescent="0.25">
      <c r="B3577" s="1">
        <v>40403</v>
      </c>
      <c r="C3577" s="2">
        <v>5452.1</v>
      </c>
      <c r="D3577" s="2">
        <v>5420.65</v>
      </c>
      <c r="E3577" s="2">
        <v>5476.5</v>
      </c>
      <c r="F3577" s="2">
        <v>5415.5</v>
      </c>
      <c r="G3577" s="3">
        <f t="shared" si="167"/>
        <v>6.5818017336078949E-3</v>
      </c>
      <c r="H3577" s="2">
        <f t="shared" si="165"/>
        <v>61</v>
      </c>
      <c r="I3577" s="3">
        <f t="shared" si="166"/>
        <v>1.1253262985066367E-2</v>
      </c>
    </row>
    <row r="3578" spans="2:9" x14ac:dyDescent="0.25">
      <c r="B3578" s="1">
        <v>40406</v>
      </c>
      <c r="C3578" s="2">
        <v>5418.3</v>
      </c>
      <c r="D3578" s="2">
        <v>5452.1</v>
      </c>
      <c r="E3578" s="2">
        <v>5465.25</v>
      </c>
      <c r="F3578" s="2">
        <v>5397.4</v>
      </c>
      <c r="G3578" s="3">
        <f t="shared" si="167"/>
        <v>-6.1994460849947863E-3</v>
      </c>
      <c r="H3578" s="2">
        <f t="shared" si="165"/>
        <v>67.850000000000364</v>
      </c>
      <c r="I3578" s="3">
        <f t="shared" si="166"/>
        <v>1.2444746061150815E-2</v>
      </c>
    </row>
    <row r="3579" spans="2:9" x14ac:dyDescent="0.25">
      <c r="B3579" s="1">
        <v>40407</v>
      </c>
      <c r="C3579" s="2">
        <v>5414.15</v>
      </c>
      <c r="D3579" s="2">
        <v>5422.15</v>
      </c>
      <c r="E3579" s="2">
        <v>5443.55</v>
      </c>
      <c r="F3579" s="2">
        <v>5408.8</v>
      </c>
      <c r="G3579" s="3">
        <f t="shared" si="167"/>
        <v>-7.6592289094379318E-4</v>
      </c>
      <c r="H3579" s="2">
        <f t="shared" si="165"/>
        <v>34.75</v>
      </c>
      <c r="I3579" s="3">
        <f t="shared" si="166"/>
        <v>6.4088968398144652E-3</v>
      </c>
    </row>
    <row r="3580" spans="2:9" x14ac:dyDescent="0.25">
      <c r="B3580" s="1">
        <v>40408</v>
      </c>
      <c r="C3580" s="2">
        <v>5479.15</v>
      </c>
      <c r="D3580" s="2">
        <v>5416.25</v>
      </c>
      <c r="E3580" s="2">
        <v>5487.95</v>
      </c>
      <c r="F3580" s="2">
        <v>5416.25</v>
      </c>
      <c r="G3580" s="3">
        <f t="shared" si="167"/>
        <v>1.2005577976228921E-2</v>
      </c>
      <c r="H3580" s="2">
        <f t="shared" si="165"/>
        <v>71.699999999999818</v>
      </c>
      <c r="I3580" s="3">
        <f t="shared" si="166"/>
        <v>1.3237941380106128E-2</v>
      </c>
    </row>
    <row r="3581" spans="2:9" x14ac:dyDescent="0.25">
      <c r="B3581" s="1">
        <v>40409</v>
      </c>
      <c r="C3581" s="2">
        <v>5540.2</v>
      </c>
      <c r="D3581" s="2">
        <v>5478.25</v>
      </c>
      <c r="E3581" s="2">
        <v>5544.7</v>
      </c>
      <c r="F3581" s="2">
        <v>5478.1</v>
      </c>
      <c r="G3581" s="3">
        <f t="shared" si="167"/>
        <v>1.1142239215936822E-2</v>
      </c>
      <c r="H3581" s="2">
        <f t="shared" si="165"/>
        <v>66.599999999999454</v>
      </c>
      <c r="I3581" s="3">
        <f t="shared" si="166"/>
        <v>1.215716697850581E-2</v>
      </c>
    </row>
    <row r="3582" spans="2:9" x14ac:dyDescent="0.25">
      <c r="B3582" s="1">
        <v>40410</v>
      </c>
      <c r="C3582" s="2">
        <v>5530.65</v>
      </c>
      <c r="D3582" s="2">
        <v>5540.8</v>
      </c>
      <c r="E3582" s="2">
        <v>5546.6</v>
      </c>
      <c r="F3582" s="2">
        <v>5513.35</v>
      </c>
      <c r="G3582" s="3">
        <f t="shared" si="167"/>
        <v>-1.7237644850366385E-3</v>
      </c>
      <c r="H3582" s="2">
        <f t="shared" si="165"/>
        <v>33.25</v>
      </c>
      <c r="I3582" s="3">
        <f t="shared" si="166"/>
        <v>6.000938492636442E-3</v>
      </c>
    </row>
    <row r="3583" spans="2:9" x14ac:dyDescent="0.25">
      <c r="B3583" s="1">
        <v>40413</v>
      </c>
      <c r="C3583" s="2">
        <v>5543.5</v>
      </c>
      <c r="D3583" s="2">
        <v>5531.15</v>
      </c>
      <c r="E3583" s="2">
        <v>5549.8</v>
      </c>
      <c r="F3583" s="2">
        <v>5519.4</v>
      </c>
      <c r="G3583" s="3">
        <f t="shared" si="167"/>
        <v>2.3234158733602683E-3</v>
      </c>
      <c r="H3583" s="2">
        <f t="shared" si="165"/>
        <v>30.400000000000546</v>
      </c>
      <c r="I3583" s="3">
        <f t="shared" si="166"/>
        <v>5.4961445630656459E-3</v>
      </c>
    </row>
    <row r="3584" spans="2:9" x14ac:dyDescent="0.25">
      <c r="B3584" s="1">
        <v>40414</v>
      </c>
      <c r="C3584" s="2">
        <v>5505.1</v>
      </c>
      <c r="D3584" s="2">
        <v>5541.1</v>
      </c>
      <c r="E3584" s="2">
        <v>5547.25</v>
      </c>
      <c r="F3584" s="2">
        <v>5488.45</v>
      </c>
      <c r="G3584" s="3">
        <f t="shared" si="167"/>
        <v>-6.9270316586993452E-3</v>
      </c>
      <c r="H3584" s="2">
        <f t="shared" si="165"/>
        <v>58.800000000000182</v>
      </c>
      <c r="I3584" s="3">
        <f t="shared" si="166"/>
        <v>1.0611611412896389E-2</v>
      </c>
    </row>
    <row r="3585" spans="2:9" x14ac:dyDescent="0.25">
      <c r="B3585" s="1">
        <v>40415</v>
      </c>
      <c r="C3585" s="2">
        <v>5462.35</v>
      </c>
      <c r="D3585" s="2">
        <v>5505.3</v>
      </c>
      <c r="E3585" s="2">
        <v>5506.15</v>
      </c>
      <c r="F3585" s="2">
        <v>5452.55</v>
      </c>
      <c r="G3585" s="3">
        <f t="shared" si="167"/>
        <v>-7.7655265117799743E-3</v>
      </c>
      <c r="H3585" s="2">
        <f t="shared" si="165"/>
        <v>53.599999999999454</v>
      </c>
      <c r="I3585" s="3">
        <f t="shared" si="166"/>
        <v>9.7360725119429378E-3</v>
      </c>
    </row>
    <row r="3586" spans="2:9" x14ac:dyDescent="0.25">
      <c r="B3586" s="1">
        <v>40416</v>
      </c>
      <c r="C3586" s="2">
        <v>5477.9</v>
      </c>
      <c r="D3586" s="2">
        <v>5462.1</v>
      </c>
      <c r="E3586" s="2">
        <v>5486.55</v>
      </c>
      <c r="F3586" s="2">
        <v>5454.7</v>
      </c>
      <c r="G3586" s="3">
        <f t="shared" si="167"/>
        <v>2.846760094098455E-3</v>
      </c>
      <c r="H3586" s="2">
        <f t="shared" si="165"/>
        <v>31.850000000000364</v>
      </c>
      <c r="I3586" s="3">
        <f t="shared" si="166"/>
        <v>5.8310906061771776E-3</v>
      </c>
    </row>
    <row r="3587" spans="2:9" x14ac:dyDescent="0.25">
      <c r="B3587" s="1">
        <v>40417</v>
      </c>
      <c r="C3587" s="2">
        <v>5408.7</v>
      </c>
      <c r="D3587" s="2">
        <v>5489.6</v>
      </c>
      <c r="E3587" s="2">
        <v>5495.2</v>
      </c>
      <c r="F3587" s="2">
        <v>5391.95</v>
      </c>
      <c r="G3587" s="3">
        <f t="shared" si="167"/>
        <v>-1.2632578177768861E-2</v>
      </c>
      <c r="H3587" s="2">
        <f t="shared" si="165"/>
        <v>103.25</v>
      </c>
      <c r="I3587" s="3">
        <f t="shared" si="166"/>
        <v>1.880829204313611E-2</v>
      </c>
    </row>
    <row r="3588" spans="2:9" x14ac:dyDescent="0.25">
      <c r="B3588" s="1">
        <v>40420</v>
      </c>
      <c r="C3588" s="2">
        <v>5415.45</v>
      </c>
      <c r="D3588" s="2">
        <v>5408.9</v>
      </c>
      <c r="E3588" s="2">
        <v>5469</v>
      </c>
      <c r="F3588" s="2">
        <v>5390.35</v>
      </c>
      <c r="G3588" s="3">
        <f t="shared" si="167"/>
        <v>1.2479893504908635E-3</v>
      </c>
      <c r="H3588" s="2">
        <f t="shared" si="165"/>
        <v>78.649999999999636</v>
      </c>
      <c r="I3588" s="3">
        <f t="shared" si="166"/>
        <v>1.4540849340901042E-2</v>
      </c>
    </row>
    <row r="3589" spans="2:9" x14ac:dyDescent="0.25">
      <c r="B3589" s="1">
        <v>40421</v>
      </c>
      <c r="C3589" s="2">
        <v>5402.4</v>
      </c>
      <c r="D3589" s="2">
        <v>5413.55</v>
      </c>
      <c r="E3589" s="2">
        <v>5413.9</v>
      </c>
      <c r="F3589" s="2">
        <v>5348.9</v>
      </c>
      <c r="G3589" s="3">
        <f t="shared" si="167"/>
        <v>-2.4097720411045964E-3</v>
      </c>
      <c r="H3589" s="2">
        <f t="shared" ref="H3589:H3652" si="168">E3589-F3589</f>
        <v>65</v>
      </c>
      <c r="I3589" s="3">
        <f t="shared" si="166"/>
        <v>1.2006908590481292E-2</v>
      </c>
    </row>
    <row r="3590" spans="2:9" x14ac:dyDescent="0.25">
      <c r="B3590" s="1">
        <v>40422</v>
      </c>
      <c r="C3590" s="2">
        <v>5471.85</v>
      </c>
      <c r="D3590" s="2">
        <v>5403.05</v>
      </c>
      <c r="E3590" s="2">
        <v>5478.6</v>
      </c>
      <c r="F3590" s="2">
        <v>5403.05</v>
      </c>
      <c r="G3590" s="3">
        <f t="shared" si="167"/>
        <v>1.2855397601066354E-2</v>
      </c>
      <c r="H3590" s="2">
        <f t="shared" si="168"/>
        <v>75.550000000000182</v>
      </c>
      <c r="I3590" s="3">
        <f t="shared" ref="I3590:I3653" si="169">H3590/D3590</f>
        <v>1.3982843023847676E-2</v>
      </c>
    </row>
    <row r="3591" spans="2:9" x14ac:dyDescent="0.25">
      <c r="B3591" s="1">
        <v>40423</v>
      </c>
      <c r="C3591" s="2">
        <v>5486.15</v>
      </c>
      <c r="D3591" s="2">
        <v>5471.9</v>
      </c>
      <c r="E3591" s="2">
        <v>5513.95</v>
      </c>
      <c r="F3591" s="2">
        <v>5471.85</v>
      </c>
      <c r="G3591" s="3">
        <f t="shared" ref="G3591:G3654" si="170">C3591/C3590-1</f>
        <v>2.6133757321562534E-3</v>
      </c>
      <c r="H3591" s="2">
        <f t="shared" si="168"/>
        <v>42.099999999999454</v>
      </c>
      <c r="I3591" s="3">
        <f t="shared" si="169"/>
        <v>7.6938540543503089E-3</v>
      </c>
    </row>
    <row r="3592" spans="2:9" x14ac:dyDescent="0.25">
      <c r="B3592" s="1">
        <v>40424</v>
      </c>
      <c r="C3592" s="2">
        <v>5479.4</v>
      </c>
      <c r="D3592" s="2">
        <v>5486.3</v>
      </c>
      <c r="E3592" s="2">
        <v>5510.4</v>
      </c>
      <c r="F3592" s="2">
        <v>5473.65</v>
      </c>
      <c r="G3592" s="3">
        <f t="shared" si="170"/>
        <v>-1.2303710252180577E-3</v>
      </c>
      <c r="H3592" s="2">
        <f t="shared" si="168"/>
        <v>36.75</v>
      </c>
      <c r="I3592" s="3">
        <f t="shared" si="169"/>
        <v>6.6985035451943929E-3</v>
      </c>
    </row>
    <row r="3593" spans="2:9" x14ac:dyDescent="0.25">
      <c r="B3593" s="1">
        <v>40427</v>
      </c>
      <c r="C3593" s="2">
        <v>5576.95</v>
      </c>
      <c r="D3593" s="2">
        <v>5479.55</v>
      </c>
      <c r="E3593" s="2">
        <v>5589.4</v>
      </c>
      <c r="F3593" s="2">
        <v>5479.55</v>
      </c>
      <c r="G3593" s="3">
        <f t="shared" si="170"/>
        <v>1.7803044128919199E-2</v>
      </c>
      <c r="H3593" s="2">
        <f t="shared" si="168"/>
        <v>109.84999999999945</v>
      </c>
      <c r="I3593" s="3">
        <f t="shared" si="169"/>
        <v>2.0047266655108441E-2</v>
      </c>
    </row>
    <row r="3594" spans="2:9" x14ac:dyDescent="0.25">
      <c r="B3594" s="1">
        <v>40428</v>
      </c>
      <c r="C3594" s="2">
        <v>5604</v>
      </c>
      <c r="D3594" s="2">
        <v>5575.9</v>
      </c>
      <c r="E3594" s="2">
        <v>5625.5</v>
      </c>
      <c r="F3594" s="2">
        <v>5571.65</v>
      </c>
      <c r="G3594" s="3">
        <f t="shared" si="170"/>
        <v>4.8503214122415095E-3</v>
      </c>
      <c r="H3594" s="2">
        <f t="shared" si="168"/>
        <v>53.850000000000364</v>
      </c>
      <c r="I3594" s="3">
        <f t="shared" si="169"/>
        <v>9.6576337452250523E-3</v>
      </c>
    </row>
    <row r="3595" spans="2:9" x14ac:dyDescent="0.25">
      <c r="B3595" s="1">
        <v>40429</v>
      </c>
      <c r="C3595" s="2">
        <v>5607.85</v>
      </c>
      <c r="D3595" s="2">
        <v>5604.25</v>
      </c>
      <c r="E3595" s="2">
        <v>5625.3</v>
      </c>
      <c r="F3595" s="2">
        <v>5567.75</v>
      </c>
      <c r="G3595" s="3">
        <f t="shared" si="170"/>
        <v>6.8700927908649234E-4</v>
      </c>
      <c r="H3595" s="2">
        <f t="shared" si="168"/>
        <v>57.550000000000182</v>
      </c>
      <c r="I3595" s="3">
        <f t="shared" si="169"/>
        <v>1.0268992282642669E-2</v>
      </c>
    </row>
    <row r="3596" spans="2:9" x14ac:dyDescent="0.25">
      <c r="B3596" s="1">
        <v>40430</v>
      </c>
      <c r="C3596" s="2">
        <v>5640.05</v>
      </c>
      <c r="D3596" s="2">
        <v>5608.3</v>
      </c>
      <c r="E3596" s="2">
        <v>5647.45</v>
      </c>
      <c r="F3596" s="2">
        <v>5608.1</v>
      </c>
      <c r="G3596" s="3">
        <f t="shared" si="170"/>
        <v>5.7419510150948927E-3</v>
      </c>
      <c r="H3596" s="2">
        <f t="shared" si="168"/>
        <v>39.349999999999454</v>
      </c>
      <c r="I3596" s="3">
        <f t="shared" si="169"/>
        <v>7.0163864272594998E-3</v>
      </c>
    </row>
    <row r="3597" spans="2:9" x14ac:dyDescent="0.25">
      <c r="B3597" s="1">
        <v>40434</v>
      </c>
      <c r="C3597" s="2">
        <v>5760</v>
      </c>
      <c r="D3597" s="2">
        <v>5639.2</v>
      </c>
      <c r="E3597" s="2">
        <v>5770.6</v>
      </c>
      <c r="F3597" s="2">
        <v>5639.2</v>
      </c>
      <c r="G3597" s="3">
        <f t="shared" si="170"/>
        <v>2.126754195441527E-2</v>
      </c>
      <c r="H3597" s="2">
        <f t="shared" si="168"/>
        <v>131.40000000000055</v>
      </c>
      <c r="I3597" s="3">
        <f t="shared" si="169"/>
        <v>2.3301177471981939E-2</v>
      </c>
    </row>
    <row r="3598" spans="2:9" x14ac:dyDescent="0.25">
      <c r="B3598" s="1">
        <v>40435</v>
      </c>
      <c r="C3598" s="2">
        <v>5795.55</v>
      </c>
      <c r="D3598" s="2">
        <v>5760.3</v>
      </c>
      <c r="E3598" s="2">
        <v>5838.45</v>
      </c>
      <c r="F3598" s="2">
        <v>5760.3</v>
      </c>
      <c r="G3598" s="3">
        <f t="shared" si="170"/>
        <v>6.1718749999999378E-3</v>
      </c>
      <c r="H3598" s="2">
        <f t="shared" si="168"/>
        <v>78.149999999999636</v>
      </c>
      <c r="I3598" s="3">
        <f t="shared" si="169"/>
        <v>1.3567001718660423E-2</v>
      </c>
    </row>
    <row r="3599" spans="2:9" x14ac:dyDescent="0.25">
      <c r="B3599" s="1">
        <v>40436</v>
      </c>
      <c r="C3599" s="2">
        <v>5860.95</v>
      </c>
      <c r="D3599" s="2">
        <v>5795.25</v>
      </c>
      <c r="E3599" s="2">
        <v>5869.45</v>
      </c>
      <c r="F3599" s="2">
        <v>5792.2</v>
      </c>
      <c r="G3599" s="3">
        <f t="shared" si="170"/>
        <v>1.1284520019670286E-2</v>
      </c>
      <c r="H3599" s="2">
        <f t="shared" si="168"/>
        <v>77.25</v>
      </c>
      <c r="I3599" s="3">
        <f t="shared" si="169"/>
        <v>1.332988223113757E-2</v>
      </c>
    </row>
    <row r="3600" spans="2:9" x14ac:dyDescent="0.25">
      <c r="B3600" s="1">
        <v>40437</v>
      </c>
      <c r="C3600" s="2">
        <v>5828.7</v>
      </c>
      <c r="D3600" s="2">
        <v>5861.1</v>
      </c>
      <c r="E3600" s="2">
        <v>5901.65</v>
      </c>
      <c r="F3600" s="2">
        <v>5815.8</v>
      </c>
      <c r="G3600" s="3">
        <f t="shared" si="170"/>
        <v>-5.5025209223760196E-3</v>
      </c>
      <c r="H3600" s="2">
        <f t="shared" si="168"/>
        <v>85.849999999999454</v>
      </c>
      <c r="I3600" s="3">
        <f t="shared" si="169"/>
        <v>1.4647421132551816E-2</v>
      </c>
    </row>
    <row r="3601" spans="2:9" x14ac:dyDescent="0.25">
      <c r="B3601" s="1">
        <v>40438</v>
      </c>
      <c r="C3601" s="2">
        <v>5884.95</v>
      </c>
      <c r="D3601" s="2">
        <v>5828.7</v>
      </c>
      <c r="E3601" s="2">
        <v>5898.4</v>
      </c>
      <c r="F3601" s="2">
        <v>5828.7</v>
      </c>
      <c r="G3601" s="3">
        <f t="shared" si="170"/>
        <v>9.6505224149467939E-3</v>
      </c>
      <c r="H3601" s="2">
        <f t="shared" si="168"/>
        <v>69.699999999999818</v>
      </c>
      <c r="I3601" s="3">
        <f t="shared" si="169"/>
        <v>1.1958069552387294E-2</v>
      </c>
    </row>
    <row r="3602" spans="2:9" x14ac:dyDescent="0.25">
      <c r="B3602" s="1">
        <v>40441</v>
      </c>
      <c r="C3602" s="2">
        <v>5980.45</v>
      </c>
      <c r="D3602" s="2">
        <v>5885.05</v>
      </c>
      <c r="E3602" s="2">
        <v>5989.5</v>
      </c>
      <c r="F3602" s="2">
        <v>5885.05</v>
      </c>
      <c r="G3602" s="3">
        <f t="shared" si="170"/>
        <v>1.6227835410666192E-2</v>
      </c>
      <c r="H3602" s="2">
        <f t="shared" si="168"/>
        <v>104.44999999999982</v>
      </c>
      <c r="I3602" s="3">
        <f t="shared" si="169"/>
        <v>1.7748362375850642E-2</v>
      </c>
    </row>
    <row r="3603" spans="2:9" x14ac:dyDescent="0.25">
      <c r="B3603" s="1">
        <v>40442</v>
      </c>
      <c r="C3603" s="2">
        <v>6009.05</v>
      </c>
      <c r="D3603" s="2">
        <v>5980.5</v>
      </c>
      <c r="E3603" s="2">
        <v>6032.8</v>
      </c>
      <c r="F3603" s="2">
        <v>5961.85</v>
      </c>
      <c r="G3603" s="3">
        <f t="shared" si="170"/>
        <v>4.7822488274293917E-3</v>
      </c>
      <c r="H3603" s="2">
        <f t="shared" si="168"/>
        <v>70.949999999999818</v>
      </c>
      <c r="I3603" s="3">
        <f t="shared" si="169"/>
        <v>1.1863556558816123E-2</v>
      </c>
    </row>
    <row r="3604" spans="2:9" x14ac:dyDescent="0.25">
      <c r="B3604" s="1">
        <v>40443</v>
      </c>
      <c r="C3604" s="2">
        <v>5991</v>
      </c>
      <c r="D3604" s="2">
        <v>6008.4</v>
      </c>
      <c r="E3604" s="2">
        <v>6037.4</v>
      </c>
      <c r="F3604" s="2">
        <v>5946.45</v>
      </c>
      <c r="G3604" s="3">
        <f t="shared" si="170"/>
        <v>-3.0038025977484617E-3</v>
      </c>
      <c r="H3604" s="2">
        <f t="shared" si="168"/>
        <v>90.949999999999818</v>
      </c>
      <c r="I3604" s="3">
        <f t="shared" si="169"/>
        <v>1.5137141335463655E-2</v>
      </c>
    </row>
    <row r="3605" spans="2:9" x14ac:dyDescent="0.25">
      <c r="B3605" s="1">
        <v>40444</v>
      </c>
      <c r="C3605" s="2">
        <v>5959.55</v>
      </c>
      <c r="D3605" s="2">
        <v>5991.05</v>
      </c>
      <c r="E3605" s="2">
        <v>6006.8</v>
      </c>
      <c r="F3605" s="2">
        <v>5932.4</v>
      </c>
      <c r="G3605" s="3">
        <f t="shared" si="170"/>
        <v>-5.2495409781337932E-3</v>
      </c>
      <c r="H3605" s="2">
        <f t="shared" si="168"/>
        <v>74.400000000000546</v>
      </c>
      <c r="I3605" s="3">
        <f t="shared" si="169"/>
        <v>1.2418524298745719E-2</v>
      </c>
    </row>
    <row r="3606" spans="2:9" x14ac:dyDescent="0.25">
      <c r="B3606" s="1">
        <v>40445</v>
      </c>
      <c r="C3606" s="2">
        <v>6018.3</v>
      </c>
      <c r="D3606" s="2">
        <v>5959.45</v>
      </c>
      <c r="E3606" s="2">
        <v>6029.1</v>
      </c>
      <c r="F3606" s="2">
        <v>5951.2</v>
      </c>
      <c r="G3606" s="3">
        <f t="shared" si="170"/>
        <v>9.8581268719952764E-3</v>
      </c>
      <c r="H3606" s="2">
        <f t="shared" si="168"/>
        <v>77.900000000000546</v>
      </c>
      <c r="I3606" s="3">
        <f t="shared" si="169"/>
        <v>1.3071676077490465E-2</v>
      </c>
    </row>
    <row r="3607" spans="2:9" x14ac:dyDescent="0.25">
      <c r="B3607" s="1">
        <v>40448</v>
      </c>
      <c r="C3607" s="2">
        <v>6035.65</v>
      </c>
      <c r="D3607" s="2">
        <v>6018.3</v>
      </c>
      <c r="E3607" s="2">
        <v>6073.5</v>
      </c>
      <c r="F3607" s="2">
        <v>6018.3</v>
      </c>
      <c r="G3607" s="3">
        <f t="shared" si="170"/>
        <v>2.8828739012676241E-3</v>
      </c>
      <c r="H3607" s="2">
        <f t="shared" si="168"/>
        <v>55.199999999999818</v>
      </c>
      <c r="I3607" s="3">
        <f t="shared" si="169"/>
        <v>9.1720253227655351E-3</v>
      </c>
    </row>
    <row r="3608" spans="2:9" x14ac:dyDescent="0.25">
      <c r="B3608" s="1">
        <v>40449</v>
      </c>
      <c r="C3608" s="2">
        <v>6029.5</v>
      </c>
      <c r="D3608" s="2">
        <v>6036.05</v>
      </c>
      <c r="E3608" s="2">
        <v>6049.8</v>
      </c>
      <c r="F3608" s="2">
        <v>5991.3</v>
      </c>
      <c r="G3608" s="3">
        <f t="shared" si="170"/>
        <v>-1.0189457639193655E-3</v>
      </c>
      <c r="H3608" s="2">
        <f t="shared" si="168"/>
        <v>58.5</v>
      </c>
      <c r="I3608" s="3">
        <f t="shared" si="169"/>
        <v>9.6917686235203481E-3</v>
      </c>
    </row>
    <row r="3609" spans="2:9" x14ac:dyDescent="0.25">
      <c r="B3609" s="1">
        <v>40450</v>
      </c>
      <c r="C3609" s="2">
        <v>5991.3</v>
      </c>
      <c r="D3609" s="2">
        <v>6029.15</v>
      </c>
      <c r="E3609" s="2">
        <v>6071.55</v>
      </c>
      <c r="F3609" s="2">
        <v>5979.65</v>
      </c>
      <c r="G3609" s="3">
        <f t="shared" si="170"/>
        <v>-6.3355170412140449E-3</v>
      </c>
      <c r="H3609" s="2">
        <f t="shared" si="168"/>
        <v>91.900000000000546</v>
      </c>
      <c r="I3609" s="3">
        <f t="shared" si="169"/>
        <v>1.52426129719779E-2</v>
      </c>
    </row>
    <row r="3610" spans="2:9" x14ac:dyDescent="0.25">
      <c r="B3610" s="1">
        <v>40451</v>
      </c>
      <c r="C3610" s="2">
        <v>6029.95</v>
      </c>
      <c r="D3610" s="2">
        <v>5991.35</v>
      </c>
      <c r="E3610" s="2">
        <v>6048.45</v>
      </c>
      <c r="F3610" s="2">
        <v>5963.6</v>
      </c>
      <c r="G3610" s="3">
        <f t="shared" si="170"/>
        <v>6.4510206466041886E-3</v>
      </c>
      <c r="H3610" s="2">
        <f t="shared" si="168"/>
        <v>84.849999999999454</v>
      </c>
      <c r="I3610" s="3">
        <f t="shared" si="169"/>
        <v>1.416208367062506E-2</v>
      </c>
    </row>
    <row r="3611" spans="2:9" x14ac:dyDescent="0.25">
      <c r="B3611" s="1">
        <v>40452</v>
      </c>
      <c r="C3611" s="2">
        <v>6143.4</v>
      </c>
      <c r="D3611" s="2">
        <v>6030.3</v>
      </c>
      <c r="E3611" s="2">
        <v>6153.1</v>
      </c>
      <c r="F3611" s="2">
        <v>6030.3</v>
      </c>
      <c r="G3611" s="3">
        <f t="shared" si="170"/>
        <v>1.8814418030000279E-2</v>
      </c>
      <c r="H3611" s="2">
        <f t="shared" si="168"/>
        <v>122.80000000000018</v>
      </c>
      <c r="I3611" s="3">
        <f t="shared" si="169"/>
        <v>2.036382932855748E-2</v>
      </c>
    </row>
    <row r="3612" spans="2:9" x14ac:dyDescent="0.25">
      <c r="B3612" s="1">
        <v>40455</v>
      </c>
      <c r="C3612" s="2">
        <v>6159.45</v>
      </c>
      <c r="D3612" s="2">
        <v>6144.7</v>
      </c>
      <c r="E3612" s="2">
        <v>6222.1</v>
      </c>
      <c r="F3612" s="2">
        <v>6144.7</v>
      </c>
      <c r="G3612" s="3">
        <f t="shared" si="170"/>
        <v>2.6125598202950684E-3</v>
      </c>
      <c r="H3612" s="2">
        <f t="shared" si="168"/>
        <v>77.400000000000546</v>
      </c>
      <c r="I3612" s="3">
        <f t="shared" si="169"/>
        <v>1.2596221133659991E-2</v>
      </c>
    </row>
    <row r="3613" spans="2:9" x14ac:dyDescent="0.25">
      <c r="B3613" s="1">
        <v>40456</v>
      </c>
      <c r="C3613" s="2">
        <v>6145.8</v>
      </c>
      <c r="D3613" s="2">
        <v>6159.45</v>
      </c>
      <c r="E3613" s="2">
        <v>6188.35</v>
      </c>
      <c r="F3613" s="2">
        <v>6118.05</v>
      </c>
      <c r="G3613" s="3">
        <f t="shared" si="170"/>
        <v>-2.2161069576016601E-3</v>
      </c>
      <c r="H3613" s="2">
        <f t="shared" si="168"/>
        <v>70.300000000000182</v>
      </c>
      <c r="I3613" s="3">
        <f t="shared" si="169"/>
        <v>1.1413356712044125E-2</v>
      </c>
    </row>
    <row r="3614" spans="2:9" x14ac:dyDescent="0.25">
      <c r="B3614" s="1">
        <v>40457</v>
      </c>
      <c r="C3614" s="2">
        <v>6186.45</v>
      </c>
      <c r="D3614" s="2">
        <v>6150.95</v>
      </c>
      <c r="E3614" s="2">
        <v>6223.4</v>
      </c>
      <c r="F3614" s="2">
        <v>6148.6</v>
      </c>
      <c r="G3614" s="3">
        <f t="shared" si="170"/>
        <v>6.6142731621594564E-3</v>
      </c>
      <c r="H3614" s="2">
        <f t="shared" si="168"/>
        <v>74.799999999999272</v>
      </c>
      <c r="I3614" s="3">
        <f t="shared" si="169"/>
        <v>1.21607231403278E-2</v>
      </c>
    </row>
    <row r="3615" spans="2:9" x14ac:dyDescent="0.25">
      <c r="B3615" s="1">
        <v>40458</v>
      </c>
      <c r="C3615" s="2">
        <v>6120.3</v>
      </c>
      <c r="D3615" s="2">
        <v>6186.85</v>
      </c>
      <c r="E3615" s="2">
        <v>6199.45</v>
      </c>
      <c r="F3615" s="2">
        <v>6107.5</v>
      </c>
      <c r="G3615" s="3">
        <f t="shared" si="170"/>
        <v>-1.0692723613704103E-2</v>
      </c>
      <c r="H3615" s="2">
        <f t="shared" si="168"/>
        <v>91.949999999999818</v>
      </c>
      <c r="I3615" s="3">
        <f t="shared" si="169"/>
        <v>1.4862167338791116E-2</v>
      </c>
    </row>
    <row r="3616" spans="2:9" x14ac:dyDescent="0.25">
      <c r="B3616" s="1">
        <v>40459</v>
      </c>
      <c r="C3616" s="2">
        <v>6103.45</v>
      </c>
      <c r="D3616" s="2">
        <v>6121.4</v>
      </c>
      <c r="E3616" s="2">
        <v>6148.6</v>
      </c>
      <c r="F3616" s="2">
        <v>6067</v>
      </c>
      <c r="G3616" s="3">
        <f t="shared" si="170"/>
        <v>-2.7531330163554912E-3</v>
      </c>
      <c r="H3616" s="2">
        <f t="shared" si="168"/>
        <v>81.600000000000364</v>
      </c>
      <c r="I3616" s="3">
        <f t="shared" si="169"/>
        <v>1.3330283921978693E-2</v>
      </c>
    </row>
    <row r="3617" spans="2:9" x14ac:dyDescent="0.25">
      <c r="B3617" s="1">
        <v>40462</v>
      </c>
      <c r="C3617" s="2">
        <v>6135.85</v>
      </c>
      <c r="D3617" s="2">
        <v>6105.95</v>
      </c>
      <c r="E3617" s="2">
        <v>6187.75</v>
      </c>
      <c r="F3617" s="2">
        <v>6105.95</v>
      </c>
      <c r="G3617" s="3">
        <f t="shared" si="170"/>
        <v>5.308473076702569E-3</v>
      </c>
      <c r="H3617" s="2">
        <f t="shared" si="168"/>
        <v>81.800000000000182</v>
      </c>
      <c r="I3617" s="3">
        <f t="shared" si="169"/>
        <v>1.3396768725587368E-2</v>
      </c>
    </row>
    <row r="3618" spans="2:9" x14ac:dyDescent="0.25">
      <c r="B3618" s="1">
        <v>40463</v>
      </c>
      <c r="C3618" s="2">
        <v>6090.9</v>
      </c>
      <c r="D3618" s="2">
        <v>6135.95</v>
      </c>
      <c r="E3618" s="2">
        <v>6144.95</v>
      </c>
      <c r="F3618" s="2">
        <v>6057.95</v>
      </c>
      <c r="G3618" s="3">
        <f t="shared" si="170"/>
        <v>-7.3257983816423788E-3</v>
      </c>
      <c r="H3618" s="2">
        <f t="shared" si="168"/>
        <v>87</v>
      </c>
      <c r="I3618" s="3">
        <f t="shared" si="169"/>
        <v>1.4178733529445318E-2</v>
      </c>
    </row>
    <row r="3619" spans="2:9" x14ac:dyDescent="0.25">
      <c r="B3619" s="1">
        <v>40464</v>
      </c>
      <c r="C3619" s="2">
        <v>6233.9</v>
      </c>
      <c r="D3619" s="2">
        <v>6091.45</v>
      </c>
      <c r="E3619" s="2">
        <v>6240.25</v>
      </c>
      <c r="F3619" s="2">
        <v>6089.75</v>
      </c>
      <c r="G3619" s="3">
        <f t="shared" si="170"/>
        <v>2.3477646981562739E-2</v>
      </c>
      <c r="H3619" s="2">
        <f t="shared" si="168"/>
        <v>150.5</v>
      </c>
      <c r="I3619" s="3">
        <f t="shared" si="169"/>
        <v>2.4706761115990447E-2</v>
      </c>
    </row>
    <row r="3620" spans="2:9" x14ac:dyDescent="0.25">
      <c r="B3620" s="1">
        <v>40465</v>
      </c>
      <c r="C3620" s="2">
        <v>6177.35</v>
      </c>
      <c r="D3620" s="2">
        <v>6234.3</v>
      </c>
      <c r="E3620" s="2">
        <v>6284.1</v>
      </c>
      <c r="F3620" s="2">
        <v>6157.9</v>
      </c>
      <c r="G3620" s="3">
        <f t="shared" si="170"/>
        <v>-9.0713678435648815E-3</v>
      </c>
      <c r="H3620" s="2">
        <f t="shared" si="168"/>
        <v>126.20000000000073</v>
      </c>
      <c r="I3620" s="3">
        <f t="shared" si="169"/>
        <v>2.0242850039298835E-2</v>
      </c>
    </row>
    <row r="3621" spans="2:9" x14ac:dyDescent="0.25">
      <c r="B3621" s="1">
        <v>40466</v>
      </c>
      <c r="C3621" s="2">
        <v>6062.65</v>
      </c>
      <c r="D3621" s="2">
        <v>6175.9</v>
      </c>
      <c r="E3621" s="2">
        <v>6200.6</v>
      </c>
      <c r="F3621" s="2">
        <v>6050.35</v>
      </c>
      <c r="G3621" s="3">
        <f t="shared" si="170"/>
        <v>-1.8567832484803426E-2</v>
      </c>
      <c r="H3621" s="2">
        <f t="shared" si="168"/>
        <v>150.25</v>
      </c>
      <c r="I3621" s="3">
        <f t="shared" si="169"/>
        <v>2.4328437960459207E-2</v>
      </c>
    </row>
    <row r="3622" spans="2:9" x14ac:dyDescent="0.25">
      <c r="B3622" s="1">
        <v>40469</v>
      </c>
      <c r="C3622" s="2">
        <v>6075.95</v>
      </c>
      <c r="D3622" s="2">
        <v>6112.75</v>
      </c>
      <c r="E3622" s="2">
        <v>6115.1</v>
      </c>
      <c r="F3622" s="2">
        <v>5985.1</v>
      </c>
      <c r="G3622" s="3">
        <f t="shared" si="170"/>
        <v>2.1937601543879914E-3</v>
      </c>
      <c r="H3622" s="2">
        <f t="shared" si="168"/>
        <v>130</v>
      </c>
      <c r="I3622" s="3">
        <f t="shared" si="169"/>
        <v>2.1267023843605577E-2</v>
      </c>
    </row>
    <row r="3623" spans="2:9" x14ac:dyDescent="0.25">
      <c r="B3623" s="1">
        <v>40470</v>
      </c>
      <c r="C3623" s="2">
        <v>6027.3</v>
      </c>
      <c r="D3623" s="2">
        <v>6114.45</v>
      </c>
      <c r="E3623" s="2">
        <v>6127.05</v>
      </c>
      <c r="F3623" s="2">
        <v>6008.15</v>
      </c>
      <c r="G3623" s="3">
        <f t="shared" si="170"/>
        <v>-8.0069783326063293E-3</v>
      </c>
      <c r="H3623" s="2">
        <f t="shared" si="168"/>
        <v>118.90000000000055</v>
      </c>
      <c r="I3623" s="3">
        <f t="shared" si="169"/>
        <v>1.9445739191587232E-2</v>
      </c>
    </row>
    <row r="3624" spans="2:9" x14ac:dyDescent="0.25">
      <c r="B3624" s="1">
        <v>40471</v>
      </c>
      <c r="C3624" s="2">
        <v>5982.1</v>
      </c>
      <c r="D3624" s="2">
        <v>6002.95</v>
      </c>
      <c r="E3624" s="2">
        <v>6038.1</v>
      </c>
      <c r="F3624" s="2">
        <v>5966.75</v>
      </c>
      <c r="G3624" s="3">
        <f t="shared" si="170"/>
        <v>-7.4992119191014117E-3</v>
      </c>
      <c r="H3624" s="2">
        <f t="shared" si="168"/>
        <v>71.350000000000364</v>
      </c>
      <c r="I3624" s="3">
        <f t="shared" si="169"/>
        <v>1.1885822803788198E-2</v>
      </c>
    </row>
    <row r="3625" spans="2:9" x14ac:dyDescent="0.25">
      <c r="B3625" s="1">
        <v>40472</v>
      </c>
      <c r="C3625" s="2">
        <v>6101.5</v>
      </c>
      <c r="D3625" s="2">
        <v>6008.9</v>
      </c>
      <c r="E3625" s="2">
        <v>6113.5</v>
      </c>
      <c r="F3625" s="2">
        <v>5984.9</v>
      </c>
      <c r="G3625" s="3">
        <f t="shared" si="170"/>
        <v>1.9959545978836868E-2</v>
      </c>
      <c r="H3625" s="2">
        <f t="shared" si="168"/>
        <v>128.60000000000036</v>
      </c>
      <c r="I3625" s="3">
        <f t="shared" si="169"/>
        <v>2.1401587644993322E-2</v>
      </c>
    </row>
    <row r="3626" spans="2:9" x14ac:dyDescent="0.25">
      <c r="B3626" s="1">
        <v>40473</v>
      </c>
      <c r="C3626" s="2">
        <v>6066.05</v>
      </c>
      <c r="D3626" s="2">
        <v>6113.4</v>
      </c>
      <c r="E3626" s="2">
        <v>6121.1</v>
      </c>
      <c r="F3626" s="2">
        <v>6041.35</v>
      </c>
      <c r="G3626" s="3">
        <f t="shared" si="170"/>
        <v>-5.8100467098254338E-3</v>
      </c>
      <c r="H3626" s="2">
        <f t="shared" si="168"/>
        <v>79.75</v>
      </c>
      <c r="I3626" s="3">
        <f t="shared" si="169"/>
        <v>1.3045114011842837E-2</v>
      </c>
    </row>
    <row r="3627" spans="2:9" x14ac:dyDescent="0.25">
      <c r="B3627" s="1">
        <v>40476</v>
      </c>
      <c r="C3627" s="2">
        <v>6105.8</v>
      </c>
      <c r="D3627" s="2">
        <v>6101.25</v>
      </c>
      <c r="E3627" s="2">
        <v>6151.3</v>
      </c>
      <c r="F3627" s="2">
        <v>6094.6</v>
      </c>
      <c r="G3627" s="3">
        <f t="shared" si="170"/>
        <v>6.5528638900107516E-3</v>
      </c>
      <c r="H3627" s="2">
        <f t="shared" si="168"/>
        <v>56.699999999999818</v>
      </c>
      <c r="I3627" s="3">
        <f t="shared" si="169"/>
        <v>9.2931776275353116E-3</v>
      </c>
    </row>
    <row r="3628" spans="2:9" x14ac:dyDescent="0.25">
      <c r="B3628" s="1">
        <v>40477</v>
      </c>
      <c r="C3628" s="2">
        <v>6082</v>
      </c>
      <c r="D3628" s="2">
        <v>6116.3</v>
      </c>
      <c r="E3628" s="2">
        <v>6120.25</v>
      </c>
      <c r="F3628" s="2">
        <v>6074.65</v>
      </c>
      <c r="G3628" s="3">
        <f t="shared" si="170"/>
        <v>-3.8979331127780847E-3</v>
      </c>
      <c r="H3628" s="2">
        <f t="shared" si="168"/>
        <v>45.600000000000364</v>
      </c>
      <c r="I3628" s="3">
        <f t="shared" si="169"/>
        <v>7.4554877949087458E-3</v>
      </c>
    </row>
    <row r="3629" spans="2:9" x14ac:dyDescent="0.25">
      <c r="B3629" s="1">
        <v>40478</v>
      </c>
      <c r="C3629" s="2">
        <v>6012.65</v>
      </c>
      <c r="D3629" s="2">
        <v>6075.45</v>
      </c>
      <c r="E3629" s="2">
        <v>6075.95</v>
      </c>
      <c r="F3629" s="2">
        <v>5987.55</v>
      </c>
      <c r="G3629" s="3">
        <f t="shared" si="170"/>
        <v>-1.1402499177902037E-2</v>
      </c>
      <c r="H3629" s="2">
        <f t="shared" si="168"/>
        <v>88.399999999999636</v>
      </c>
      <c r="I3629" s="3">
        <f t="shared" si="169"/>
        <v>1.4550362524586597E-2</v>
      </c>
    </row>
    <row r="3630" spans="2:9" x14ac:dyDescent="0.25">
      <c r="B3630" s="1">
        <v>40479</v>
      </c>
      <c r="C3630" s="2">
        <v>5987.7</v>
      </c>
      <c r="D3630" s="2">
        <v>6039.95</v>
      </c>
      <c r="E3630" s="2">
        <v>6071.1</v>
      </c>
      <c r="F3630" s="2">
        <v>5968.1</v>
      </c>
      <c r="G3630" s="3">
        <f t="shared" si="170"/>
        <v>-4.1495846257473268E-3</v>
      </c>
      <c r="H3630" s="2">
        <f t="shared" si="168"/>
        <v>103</v>
      </c>
      <c r="I3630" s="3">
        <f t="shared" si="169"/>
        <v>1.7053121300673019E-2</v>
      </c>
    </row>
    <row r="3631" spans="2:9" x14ac:dyDescent="0.25">
      <c r="B3631" s="1">
        <v>40480</v>
      </c>
      <c r="C3631" s="2">
        <v>6017.7</v>
      </c>
      <c r="D3631" s="2">
        <v>6021.15</v>
      </c>
      <c r="E3631" s="2">
        <v>6032.65</v>
      </c>
      <c r="F3631" s="2">
        <v>5937.1</v>
      </c>
      <c r="G3631" s="3">
        <f t="shared" si="170"/>
        <v>5.010271055664095E-3</v>
      </c>
      <c r="H3631" s="2">
        <f t="shared" si="168"/>
        <v>95.549999999999272</v>
      </c>
      <c r="I3631" s="3">
        <f t="shared" si="169"/>
        <v>1.5869061558007901E-2</v>
      </c>
    </row>
    <row r="3632" spans="2:9" x14ac:dyDescent="0.25">
      <c r="B3632" s="1">
        <v>40483</v>
      </c>
      <c r="C3632" s="2">
        <v>6117.55</v>
      </c>
      <c r="D3632" s="2">
        <v>6092.3</v>
      </c>
      <c r="E3632" s="2">
        <v>6132.4</v>
      </c>
      <c r="F3632" s="2">
        <v>6084.75</v>
      </c>
      <c r="G3632" s="3">
        <f t="shared" si="170"/>
        <v>1.6592718148129793E-2</v>
      </c>
      <c r="H3632" s="2">
        <f t="shared" si="168"/>
        <v>47.649999999999636</v>
      </c>
      <c r="I3632" s="3">
        <f t="shared" si="169"/>
        <v>7.8213482592780458E-3</v>
      </c>
    </row>
    <row r="3633" spans="2:9" x14ac:dyDescent="0.25">
      <c r="B3633" s="1">
        <v>40484</v>
      </c>
      <c r="C3633" s="2">
        <v>6119</v>
      </c>
      <c r="D3633" s="2">
        <v>6127.55</v>
      </c>
      <c r="E3633" s="2">
        <v>6138.1</v>
      </c>
      <c r="F3633" s="2">
        <v>6094.4</v>
      </c>
      <c r="G3633" s="3">
        <f t="shared" si="170"/>
        <v>2.3702299123007364E-4</v>
      </c>
      <c r="H3633" s="2">
        <f t="shared" si="168"/>
        <v>43.700000000000728</v>
      </c>
      <c r="I3633" s="3">
        <f t="shared" si="169"/>
        <v>7.1317247513281367E-3</v>
      </c>
    </row>
    <row r="3634" spans="2:9" x14ac:dyDescent="0.25">
      <c r="B3634" s="1">
        <v>40485</v>
      </c>
      <c r="C3634" s="2">
        <v>6160.5</v>
      </c>
      <c r="D3634" s="2">
        <v>6150.6</v>
      </c>
      <c r="E3634" s="2">
        <v>6182.5</v>
      </c>
      <c r="F3634" s="2">
        <v>6146.8</v>
      </c>
      <c r="G3634" s="3">
        <f t="shared" si="170"/>
        <v>6.7821539467232128E-3</v>
      </c>
      <c r="H3634" s="2">
        <f t="shared" si="168"/>
        <v>35.699999999999818</v>
      </c>
      <c r="I3634" s="3">
        <f t="shared" si="169"/>
        <v>5.8043117744609983E-3</v>
      </c>
    </row>
    <row r="3635" spans="2:9" x14ac:dyDescent="0.25">
      <c r="B3635" s="1">
        <v>40486</v>
      </c>
      <c r="C3635" s="2">
        <v>6281.8</v>
      </c>
      <c r="D3635" s="2">
        <v>6209.6</v>
      </c>
      <c r="E3635" s="2">
        <v>6290.15</v>
      </c>
      <c r="F3635" s="2">
        <v>6199.35</v>
      </c>
      <c r="G3635" s="3">
        <f t="shared" si="170"/>
        <v>1.9689960230500736E-2</v>
      </c>
      <c r="H3635" s="2">
        <f t="shared" si="168"/>
        <v>90.799999999999272</v>
      </c>
      <c r="I3635" s="3">
        <f t="shared" si="169"/>
        <v>1.4622519969080016E-2</v>
      </c>
    </row>
    <row r="3636" spans="2:9" x14ac:dyDescent="0.25">
      <c r="B3636" s="1">
        <v>40487</v>
      </c>
      <c r="C3636" s="2">
        <v>6312.45</v>
      </c>
      <c r="D3636" s="2">
        <v>6321.85</v>
      </c>
      <c r="E3636" s="2">
        <v>6338.5</v>
      </c>
      <c r="F3636" s="2">
        <v>6303.1</v>
      </c>
      <c r="G3636" s="3">
        <f t="shared" si="170"/>
        <v>4.8791747588270429E-3</v>
      </c>
      <c r="H3636" s="2">
        <f t="shared" si="168"/>
        <v>35.399999999999636</v>
      </c>
      <c r="I3636" s="3">
        <f t="shared" si="169"/>
        <v>5.5996266915538384E-3</v>
      </c>
    </row>
    <row r="3637" spans="2:9" x14ac:dyDescent="0.25">
      <c r="B3637" s="1">
        <v>40490</v>
      </c>
      <c r="C3637" s="2">
        <v>6273.2</v>
      </c>
      <c r="D3637" s="2">
        <v>6335.25</v>
      </c>
      <c r="E3637" s="2">
        <v>6335.9</v>
      </c>
      <c r="F3637" s="2">
        <v>6265.35</v>
      </c>
      <c r="G3637" s="3">
        <f t="shared" si="170"/>
        <v>-6.2178710326418196E-3</v>
      </c>
      <c r="H3637" s="2">
        <f t="shared" si="168"/>
        <v>70.549999999999272</v>
      </c>
      <c r="I3637" s="3">
        <f t="shared" si="169"/>
        <v>1.1136103547610477E-2</v>
      </c>
    </row>
    <row r="3638" spans="2:9" x14ac:dyDescent="0.25">
      <c r="B3638" s="1">
        <v>40491</v>
      </c>
      <c r="C3638" s="2">
        <v>6301.55</v>
      </c>
      <c r="D3638" s="2">
        <v>6281</v>
      </c>
      <c r="E3638" s="2">
        <v>6310.9</v>
      </c>
      <c r="F3638" s="2">
        <v>6243.55</v>
      </c>
      <c r="G3638" s="3">
        <f t="shared" si="170"/>
        <v>4.5192246381433598E-3</v>
      </c>
      <c r="H3638" s="2">
        <f t="shared" si="168"/>
        <v>67.349999999999454</v>
      </c>
      <c r="I3638" s="3">
        <f t="shared" si="169"/>
        <v>1.0722814838401441E-2</v>
      </c>
    </row>
    <row r="3639" spans="2:9" x14ac:dyDescent="0.25">
      <c r="B3639" s="1">
        <v>40492</v>
      </c>
      <c r="C3639" s="2">
        <v>6275.7</v>
      </c>
      <c r="D3639" s="2">
        <v>6303.2</v>
      </c>
      <c r="E3639" s="2">
        <v>6307.65</v>
      </c>
      <c r="F3639" s="2">
        <v>6269.25</v>
      </c>
      <c r="G3639" s="3">
        <f t="shared" si="170"/>
        <v>-4.1021653402735225E-3</v>
      </c>
      <c r="H3639" s="2">
        <f t="shared" si="168"/>
        <v>38.399999999999636</v>
      </c>
      <c r="I3639" s="3">
        <f t="shared" si="169"/>
        <v>6.0921436730548987E-3</v>
      </c>
    </row>
    <row r="3640" spans="2:9" x14ac:dyDescent="0.25">
      <c r="B3640" s="1">
        <v>40493</v>
      </c>
      <c r="C3640" s="2">
        <v>6194.25</v>
      </c>
      <c r="D3640" s="2">
        <v>6286.35</v>
      </c>
      <c r="E3640" s="2">
        <v>6296.55</v>
      </c>
      <c r="F3640" s="2">
        <v>6179.5</v>
      </c>
      <c r="G3640" s="3">
        <f t="shared" si="170"/>
        <v>-1.2978631865767976E-2</v>
      </c>
      <c r="H3640" s="2">
        <f t="shared" si="168"/>
        <v>117.05000000000018</v>
      </c>
      <c r="I3640" s="3">
        <f t="shared" si="169"/>
        <v>1.8619707779554143E-2</v>
      </c>
    </row>
    <row r="3641" spans="2:9" x14ac:dyDescent="0.25">
      <c r="B3641" s="1">
        <v>40494</v>
      </c>
      <c r="C3641" s="2">
        <v>6071.65</v>
      </c>
      <c r="D3641" s="2">
        <v>6182.3</v>
      </c>
      <c r="E3641" s="2">
        <v>6202.5</v>
      </c>
      <c r="F3641" s="2">
        <v>6056.75</v>
      </c>
      <c r="G3641" s="3">
        <f t="shared" si="170"/>
        <v>-1.9792549541913895E-2</v>
      </c>
      <c r="H3641" s="2">
        <f t="shared" si="168"/>
        <v>145.75</v>
      </c>
      <c r="I3641" s="3">
        <f t="shared" si="169"/>
        <v>2.3575368390404864E-2</v>
      </c>
    </row>
    <row r="3642" spans="2:9" x14ac:dyDescent="0.25">
      <c r="B3642" s="1">
        <v>40497</v>
      </c>
      <c r="C3642" s="2">
        <v>6121.6</v>
      </c>
      <c r="D3642" s="2">
        <v>6079.9</v>
      </c>
      <c r="E3642" s="2">
        <v>6128.75</v>
      </c>
      <c r="F3642" s="2">
        <v>6039.4</v>
      </c>
      <c r="G3642" s="3">
        <f t="shared" si="170"/>
        <v>8.2267587887971949E-3</v>
      </c>
      <c r="H3642" s="2">
        <f t="shared" si="168"/>
        <v>89.350000000000364</v>
      </c>
      <c r="I3642" s="3">
        <f t="shared" si="169"/>
        <v>1.4695965394167728E-2</v>
      </c>
    </row>
    <row r="3643" spans="2:9" x14ac:dyDescent="0.25">
      <c r="B3643" s="1">
        <v>40498</v>
      </c>
      <c r="C3643" s="2">
        <v>5988.7</v>
      </c>
      <c r="D3643" s="2">
        <v>6143.45</v>
      </c>
      <c r="E3643" s="2">
        <v>6144.05</v>
      </c>
      <c r="F3643" s="2">
        <v>5970.6</v>
      </c>
      <c r="G3643" s="3">
        <f t="shared" si="170"/>
        <v>-2.1710010454783157E-2</v>
      </c>
      <c r="H3643" s="2">
        <f t="shared" si="168"/>
        <v>173.44999999999982</v>
      </c>
      <c r="I3643" s="3">
        <f t="shared" si="169"/>
        <v>2.8233321667792497E-2</v>
      </c>
    </row>
    <row r="3644" spans="2:9" x14ac:dyDescent="0.25">
      <c r="B3644" s="1">
        <v>40500</v>
      </c>
      <c r="C3644" s="2">
        <v>5998.8</v>
      </c>
      <c r="D3644" s="2">
        <v>6075.95</v>
      </c>
      <c r="E3644" s="2">
        <v>6076.2</v>
      </c>
      <c r="F3644" s="2">
        <v>5906.75</v>
      </c>
      <c r="G3644" s="3">
        <f t="shared" si="170"/>
        <v>1.6865095930669316E-3</v>
      </c>
      <c r="H3644" s="2">
        <f t="shared" si="168"/>
        <v>169.44999999999982</v>
      </c>
      <c r="I3644" s="3">
        <f t="shared" si="169"/>
        <v>2.7888642928266334E-2</v>
      </c>
    </row>
    <row r="3645" spans="2:9" x14ac:dyDescent="0.25">
      <c r="B3645" s="1">
        <v>40501</v>
      </c>
      <c r="C3645" s="2">
        <v>5890.3</v>
      </c>
      <c r="D3645" s="2">
        <v>6011.3</v>
      </c>
      <c r="E3645" s="2">
        <v>6013.25</v>
      </c>
      <c r="F3645" s="2">
        <v>5863.95</v>
      </c>
      <c r="G3645" s="3">
        <f t="shared" si="170"/>
        <v>-1.808695072347799E-2</v>
      </c>
      <c r="H3645" s="2">
        <f t="shared" si="168"/>
        <v>149.30000000000018</v>
      </c>
      <c r="I3645" s="3">
        <f t="shared" si="169"/>
        <v>2.4836557816113016E-2</v>
      </c>
    </row>
    <row r="3646" spans="2:9" x14ac:dyDescent="0.25">
      <c r="B3646" s="1">
        <v>40504</v>
      </c>
      <c r="C3646" s="2">
        <v>6010</v>
      </c>
      <c r="D3646" s="2">
        <v>5920.9</v>
      </c>
      <c r="E3646" s="2">
        <v>6020.25</v>
      </c>
      <c r="F3646" s="2">
        <v>5905.15</v>
      </c>
      <c r="G3646" s="3">
        <f t="shared" si="170"/>
        <v>2.0321545591905243E-2</v>
      </c>
      <c r="H3646" s="2">
        <f t="shared" si="168"/>
        <v>115.10000000000036</v>
      </c>
      <c r="I3646" s="3">
        <f t="shared" si="169"/>
        <v>1.9439612221115097E-2</v>
      </c>
    </row>
    <row r="3647" spans="2:9" x14ac:dyDescent="0.25">
      <c r="B3647" s="1">
        <v>40505</v>
      </c>
      <c r="C3647" s="2">
        <v>5934.75</v>
      </c>
      <c r="D3647" s="2">
        <v>5971.55</v>
      </c>
      <c r="E3647" s="2">
        <v>5973.35</v>
      </c>
      <c r="F3647" s="2">
        <v>5824.95</v>
      </c>
      <c r="G3647" s="3">
        <f t="shared" si="170"/>
        <v>-1.2520798668885225E-2</v>
      </c>
      <c r="H3647" s="2">
        <f t="shared" si="168"/>
        <v>148.40000000000055</v>
      </c>
      <c r="I3647" s="3">
        <f t="shared" si="169"/>
        <v>2.4851169294404393E-2</v>
      </c>
    </row>
    <row r="3648" spans="2:9" x14ac:dyDescent="0.25">
      <c r="B3648" s="1">
        <v>40506</v>
      </c>
      <c r="C3648" s="2">
        <v>5865.75</v>
      </c>
      <c r="D3648" s="2">
        <v>5946.8</v>
      </c>
      <c r="E3648" s="2">
        <v>5976.65</v>
      </c>
      <c r="F3648" s="2">
        <v>5833.6</v>
      </c>
      <c r="G3648" s="3">
        <f t="shared" si="170"/>
        <v>-1.1626437507898379E-2</v>
      </c>
      <c r="H3648" s="2">
        <f t="shared" si="168"/>
        <v>143.04999999999927</v>
      </c>
      <c r="I3648" s="3">
        <f t="shared" si="169"/>
        <v>2.4054953924799768E-2</v>
      </c>
    </row>
    <row r="3649" spans="2:9" x14ac:dyDescent="0.25">
      <c r="B3649" s="1">
        <v>40507</v>
      </c>
      <c r="C3649" s="2">
        <v>5799.75</v>
      </c>
      <c r="D3649" s="2">
        <v>5883.95</v>
      </c>
      <c r="E3649" s="2">
        <v>5907.1</v>
      </c>
      <c r="F3649" s="2">
        <v>5780.35</v>
      </c>
      <c r="G3649" s="3">
        <f t="shared" si="170"/>
        <v>-1.1251758087201136E-2</v>
      </c>
      <c r="H3649" s="2">
        <f t="shared" si="168"/>
        <v>126.75</v>
      </c>
      <c r="I3649" s="3">
        <f t="shared" si="169"/>
        <v>2.1541651441633596E-2</v>
      </c>
    </row>
    <row r="3650" spans="2:9" x14ac:dyDescent="0.25">
      <c r="B3650" s="1">
        <v>40508</v>
      </c>
      <c r="C3650" s="2">
        <v>5751.95</v>
      </c>
      <c r="D3650" s="2">
        <v>5828.55</v>
      </c>
      <c r="E3650" s="2">
        <v>5838.5</v>
      </c>
      <c r="F3650" s="2">
        <v>5690.35</v>
      </c>
      <c r="G3650" s="3">
        <f t="shared" si="170"/>
        <v>-8.241734557524083E-3</v>
      </c>
      <c r="H3650" s="2">
        <f t="shared" si="168"/>
        <v>148.14999999999964</v>
      </c>
      <c r="I3650" s="3">
        <f t="shared" si="169"/>
        <v>2.5417985605339172E-2</v>
      </c>
    </row>
    <row r="3651" spans="2:9" x14ac:dyDescent="0.25">
      <c r="B3651" s="1">
        <v>40511</v>
      </c>
      <c r="C3651" s="2">
        <v>5830</v>
      </c>
      <c r="D3651" s="2">
        <v>5789.95</v>
      </c>
      <c r="E3651" s="2">
        <v>5843.15</v>
      </c>
      <c r="F3651" s="2">
        <v>5754.7</v>
      </c>
      <c r="G3651" s="3">
        <f t="shared" si="170"/>
        <v>1.3569311277045193E-2</v>
      </c>
      <c r="H3651" s="2">
        <f t="shared" si="168"/>
        <v>88.449999999999818</v>
      </c>
      <c r="I3651" s="3">
        <f t="shared" si="169"/>
        <v>1.5276470435841384E-2</v>
      </c>
    </row>
    <row r="3652" spans="2:9" x14ac:dyDescent="0.25">
      <c r="B3652" s="1">
        <v>40512</v>
      </c>
      <c r="C3652" s="2">
        <v>5862.7</v>
      </c>
      <c r="D3652" s="2">
        <v>5811.6</v>
      </c>
      <c r="E3652" s="2">
        <v>5892.25</v>
      </c>
      <c r="F3652" s="2">
        <v>5768.35</v>
      </c>
      <c r="G3652" s="3">
        <f t="shared" si="170"/>
        <v>5.608919382504185E-3</v>
      </c>
      <c r="H3652" s="2">
        <f t="shared" si="168"/>
        <v>123.89999999999964</v>
      </c>
      <c r="I3652" s="3">
        <f t="shared" si="169"/>
        <v>2.1319430105306566E-2</v>
      </c>
    </row>
    <row r="3653" spans="2:9" x14ac:dyDescent="0.25">
      <c r="B3653" s="1">
        <v>40513</v>
      </c>
      <c r="C3653" s="2">
        <v>5960.9</v>
      </c>
      <c r="D3653" s="2">
        <v>5871</v>
      </c>
      <c r="E3653" s="2">
        <v>5971</v>
      </c>
      <c r="F3653" s="2">
        <v>5865.55</v>
      </c>
      <c r="G3653" s="3">
        <f t="shared" si="170"/>
        <v>1.6749961621778331E-2</v>
      </c>
      <c r="H3653" s="2">
        <f t="shared" ref="H3653:H3716" si="171">E3653-F3653</f>
        <v>105.44999999999982</v>
      </c>
      <c r="I3653" s="3">
        <f t="shared" si="169"/>
        <v>1.796116504854366E-2</v>
      </c>
    </row>
    <row r="3654" spans="2:9" x14ac:dyDescent="0.25">
      <c r="B3654" s="1">
        <v>40514</v>
      </c>
      <c r="C3654" s="2">
        <v>6011.7</v>
      </c>
      <c r="D3654" s="2">
        <v>6023.05</v>
      </c>
      <c r="E3654" s="2">
        <v>6029.5</v>
      </c>
      <c r="F3654" s="2">
        <v>5980.6</v>
      </c>
      <c r="G3654" s="3">
        <f t="shared" si="170"/>
        <v>8.5222030230334145E-3</v>
      </c>
      <c r="H3654" s="2">
        <f t="shared" si="171"/>
        <v>48.899999999999636</v>
      </c>
      <c r="I3654" s="3">
        <f t="shared" ref="I3654:I3717" si="172">H3654/D3654</f>
        <v>8.1188102373381654E-3</v>
      </c>
    </row>
    <row r="3655" spans="2:9" x14ac:dyDescent="0.25">
      <c r="B3655" s="1">
        <v>40515</v>
      </c>
      <c r="C3655" s="2">
        <v>5992.8</v>
      </c>
      <c r="D3655" s="2">
        <v>6013.35</v>
      </c>
      <c r="E3655" s="2">
        <v>6025.4</v>
      </c>
      <c r="F3655" s="2">
        <v>5964.25</v>
      </c>
      <c r="G3655" s="3">
        <f t="shared" ref="G3655:G3718" si="173">C3655/C3654-1</f>
        <v>-3.1438694545635748E-3</v>
      </c>
      <c r="H3655" s="2">
        <f t="shared" si="171"/>
        <v>61.149999999999636</v>
      </c>
      <c r="I3655" s="3">
        <f t="shared" si="172"/>
        <v>1.0169040551439652E-2</v>
      </c>
    </row>
    <row r="3656" spans="2:9" x14ac:dyDescent="0.25">
      <c r="B3656" s="1">
        <v>40518</v>
      </c>
      <c r="C3656" s="2">
        <v>5992.25</v>
      </c>
      <c r="D3656" s="2">
        <v>6033.65</v>
      </c>
      <c r="E3656" s="2">
        <v>6069.45</v>
      </c>
      <c r="F3656" s="2">
        <v>5981.7</v>
      </c>
      <c r="G3656" s="3">
        <f t="shared" si="173"/>
        <v>-9.1776798825327077E-5</v>
      </c>
      <c r="H3656" s="2">
        <f t="shared" si="171"/>
        <v>87.75</v>
      </c>
      <c r="I3656" s="3">
        <f t="shared" si="172"/>
        <v>1.4543435565536616E-2</v>
      </c>
    </row>
    <row r="3657" spans="2:9" x14ac:dyDescent="0.25">
      <c r="B3657" s="1">
        <v>40519</v>
      </c>
      <c r="C3657" s="2">
        <v>5976.55</v>
      </c>
      <c r="D3657" s="2">
        <v>5995.05</v>
      </c>
      <c r="E3657" s="2">
        <v>6001</v>
      </c>
      <c r="F3657" s="2">
        <v>5939.7</v>
      </c>
      <c r="G3657" s="3">
        <f t="shared" si="173"/>
        <v>-2.6200508990779081E-3</v>
      </c>
      <c r="H3657" s="2">
        <f t="shared" si="171"/>
        <v>61.300000000000182</v>
      </c>
      <c r="I3657" s="3">
        <f t="shared" si="172"/>
        <v>1.0225102376127001E-2</v>
      </c>
    </row>
    <row r="3658" spans="2:9" x14ac:dyDescent="0.25">
      <c r="B3658" s="1">
        <v>40520</v>
      </c>
      <c r="C3658" s="2">
        <v>5903.7</v>
      </c>
      <c r="D3658" s="2">
        <v>5954.4</v>
      </c>
      <c r="E3658" s="2">
        <v>5960</v>
      </c>
      <c r="F3658" s="2">
        <v>5878.6</v>
      </c>
      <c r="G3658" s="3">
        <f t="shared" si="173"/>
        <v>-1.2189306539726164E-2</v>
      </c>
      <c r="H3658" s="2">
        <f t="shared" si="171"/>
        <v>81.399999999999636</v>
      </c>
      <c r="I3658" s="3">
        <f t="shared" si="172"/>
        <v>1.3670562945048979E-2</v>
      </c>
    </row>
    <row r="3659" spans="2:9" x14ac:dyDescent="0.25">
      <c r="B3659" s="1">
        <v>40521</v>
      </c>
      <c r="C3659" s="2">
        <v>5766.5</v>
      </c>
      <c r="D3659" s="2">
        <v>5924.25</v>
      </c>
      <c r="E3659" s="2">
        <v>5927.3</v>
      </c>
      <c r="F3659" s="2">
        <v>5742.3</v>
      </c>
      <c r="G3659" s="3">
        <f t="shared" si="173"/>
        <v>-2.3239663262022092E-2</v>
      </c>
      <c r="H3659" s="2">
        <f t="shared" si="171"/>
        <v>185</v>
      </c>
      <c r="I3659" s="3">
        <f t="shared" si="172"/>
        <v>3.1227581550407224E-2</v>
      </c>
    </row>
    <row r="3660" spans="2:9" x14ac:dyDescent="0.25">
      <c r="B3660" s="1">
        <v>40522</v>
      </c>
      <c r="C3660" s="2">
        <v>5857.35</v>
      </c>
      <c r="D3660" s="2">
        <v>5761</v>
      </c>
      <c r="E3660" s="2">
        <v>5865.5</v>
      </c>
      <c r="F3660" s="2">
        <v>5721.15</v>
      </c>
      <c r="G3660" s="3">
        <f t="shared" si="173"/>
        <v>1.5754790600884583E-2</v>
      </c>
      <c r="H3660" s="2">
        <f t="shared" si="171"/>
        <v>144.35000000000036</v>
      </c>
      <c r="I3660" s="3">
        <f t="shared" si="172"/>
        <v>2.5056413817045715E-2</v>
      </c>
    </row>
    <row r="3661" spans="2:9" x14ac:dyDescent="0.25">
      <c r="B3661" s="1">
        <v>40525</v>
      </c>
      <c r="C3661" s="2">
        <v>5907.65</v>
      </c>
      <c r="D3661" s="2">
        <v>5882.65</v>
      </c>
      <c r="E3661" s="2">
        <v>5913.8</v>
      </c>
      <c r="F3661" s="2">
        <v>5795.9</v>
      </c>
      <c r="G3661" s="3">
        <f t="shared" si="173"/>
        <v>8.587501173738854E-3</v>
      </c>
      <c r="H3661" s="2">
        <f t="shared" si="171"/>
        <v>117.90000000000055</v>
      </c>
      <c r="I3661" s="3">
        <f t="shared" si="172"/>
        <v>2.0041987879612172E-2</v>
      </c>
    </row>
    <row r="3662" spans="2:9" x14ac:dyDescent="0.25">
      <c r="B3662" s="1">
        <v>40526</v>
      </c>
      <c r="C3662" s="2">
        <v>5944.1</v>
      </c>
      <c r="D3662" s="2">
        <v>5928.7</v>
      </c>
      <c r="E3662" s="2">
        <v>5953.95</v>
      </c>
      <c r="F3662" s="2">
        <v>5888.75</v>
      </c>
      <c r="G3662" s="3">
        <f t="shared" si="173"/>
        <v>6.169966060954879E-3</v>
      </c>
      <c r="H3662" s="2">
        <f t="shared" si="171"/>
        <v>65.199999999999818</v>
      </c>
      <c r="I3662" s="3">
        <f t="shared" si="172"/>
        <v>1.0997351864658327E-2</v>
      </c>
    </row>
    <row r="3663" spans="2:9" x14ac:dyDescent="0.25">
      <c r="B3663" s="1">
        <v>40527</v>
      </c>
      <c r="C3663" s="2">
        <v>5892.3</v>
      </c>
      <c r="D3663" s="2">
        <v>5931.15</v>
      </c>
      <c r="E3663" s="2">
        <v>5942.75</v>
      </c>
      <c r="F3663" s="2">
        <v>5865.8</v>
      </c>
      <c r="G3663" s="3">
        <f t="shared" si="173"/>
        <v>-8.7145236452953467E-3</v>
      </c>
      <c r="H3663" s="2">
        <f t="shared" si="171"/>
        <v>76.949999999999818</v>
      </c>
      <c r="I3663" s="3">
        <f t="shared" si="172"/>
        <v>1.2973875218127989E-2</v>
      </c>
    </row>
    <row r="3664" spans="2:9" x14ac:dyDescent="0.25">
      <c r="B3664" s="1">
        <v>40528</v>
      </c>
      <c r="C3664" s="2">
        <v>5948.75</v>
      </c>
      <c r="D3664" s="2">
        <v>5910.55</v>
      </c>
      <c r="E3664" s="2">
        <v>5956.15</v>
      </c>
      <c r="F3664" s="2">
        <v>5855.05</v>
      </c>
      <c r="G3664" s="3">
        <f t="shared" si="173"/>
        <v>9.5802997131850809E-3</v>
      </c>
      <c r="H3664" s="2">
        <f t="shared" si="171"/>
        <v>101.09999999999945</v>
      </c>
      <c r="I3664" s="3">
        <f t="shared" si="172"/>
        <v>1.7105007148234843E-2</v>
      </c>
    </row>
    <row r="3665" spans="2:9" x14ac:dyDescent="0.25">
      <c r="B3665" s="1">
        <v>40532</v>
      </c>
      <c r="C3665" s="2">
        <v>5947.05</v>
      </c>
      <c r="D3665" s="2">
        <v>5926.85</v>
      </c>
      <c r="E3665" s="2">
        <v>5985</v>
      </c>
      <c r="F3665" s="2">
        <v>5900.25</v>
      </c>
      <c r="G3665" s="3">
        <f t="shared" si="173"/>
        <v>-2.8577432233656275E-4</v>
      </c>
      <c r="H3665" s="2">
        <f t="shared" si="171"/>
        <v>84.75</v>
      </c>
      <c r="I3665" s="3">
        <f t="shared" si="172"/>
        <v>1.4299332697807435E-2</v>
      </c>
    </row>
    <row r="3666" spans="2:9" x14ac:dyDescent="0.25">
      <c r="B3666" s="1">
        <v>40533</v>
      </c>
      <c r="C3666" s="2">
        <v>6000.65</v>
      </c>
      <c r="D3666" s="2">
        <v>5960.4</v>
      </c>
      <c r="E3666" s="2">
        <v>6007.45</v>
      </c>
      <c r="F3666" s="2">
        <v>5960.05</v>
      </c>
      <c r="G3666" s="3">
        <f t="shared" si="173"/>
        <v>9.0128719280986314E-3</v>
      </c>
      <c r="H3666" s="2">
        <f t="shared" si="171"/>
        <v>47.399999999999636</v>
      </c>
      <c r="I3666" s="3">
        <f t="shared" si="172"/>
        <v>7.9524864103079733E-3</v>
      </c>
    </row>
    <row r="3667" spans="2:9" x14ac:dyDescent="0.25">
      <c r="B3667" s="1">
        <v>40534</v>
      </c>
      <c r="C3667" s="2">
        <v>5984.4</v>
      </c>
      <c r="D3667" s="2">
        <v>6019</v>
      </c>
      <c r="E3667" s="2">
        <v>6023.8</v>
      </c>
      <c r="F3667" s="2">
        <v>5958</v>
      </c>
      <c r="G3667" s="3">
        <f t="shared" si="173"/>
        <v>-2.7080399623373719E-3</v>
      </c>
      <c r="H3667" s="2">
        <f t="shared" si="171"/>
        <v>65.800000000000182</v>
      </c>
      <c r="I3667" s="3">
        <f t="shared" si="172"/>
        <v>1.0932048513042063E-2</v>
      </c>
    </row>
    <row r="3668" spans="2:9" x14ac:dyDescent="0.25">
      <c r="B3668" s="1">
        <v>40535</v>
      </c>
      <c r="C3668" s="2">
        <v>5980</v>
      </c>
      <c r="D3668" s="2">
        <v>6005.9</v>
      </c>
      <c r="E3668" s="2">
        <v>6006.45</v>
      </c>
      <c r="F3668" s="2">
        <v>5964.6</v>
      </c>
      <c r="G3668" s="3">
        <f t="shared" si="173"/>
        <v>-7.3524497025589941E-4</v>
      </c>
      <c r="H3668" s="2">
        <f t="shared" si="171"/>
        <v>41.849999999999454</v>
      </c>
      <c r="I3668" s="3">
        <f t="shared" si="172"/>
        <v>6.9681479878118948E-3</v>
      </c>
    </row>
    <row r="3669" spans="2:9" x14ac:dyDescent="0.25">
      <c r="B3669" s="1">
        <v>40536</v>
      </c>
      <c r="C3669" s="2">
        <v>6011.6</v>
      </c>
      <c r="D3669" s="2">
        <v>5940.25</v>
      </c>
      <c r="E3669" s="2">
        <v>6017.35</v>
      </c>
      <c r="F3669" s="2">
        <v>5940.25</v>
      </c>
      <c r="G3669" s="3">
        <f t="shared" si="173"/>
        <v>5.2842809364548327E-3</v>
      </c>
      <c r="H3669" s="2">
        <f t="shared" si="171"/>
        <v>77.100000000000364</v>
      </c>
      <c r="I3669" s="3">
        <f t="shared" si="172"/>
        <v>1.2979251714995222E-2</v>
      </c>
    </row>
    <row r="3670" spans="2:9" x14ac:dyDescent="0.25">
      <c r="B3670" s="1">
        <v>40539</v>
      </c>
      <c r="C3670" s="2">
        <v>5998.1</v>
      </c>
      <c r="D3670" s="2">
        <v>6013.3</v>
      </c>
      <c r="E3670" s="2">
        <v>6045.75</v>
      </c>
      <c r="F3670" s="2">
        <v>5991.1</v>
      </c>
      <c r="G3670" s="3">
        <f t="shared" si="173"/>
        <v>-2.2456583937719987E-3</v>
      </c>
      <c r="H3670" s="2">
        <f t="shared" si="171"/>
        <v>54.649999999999636</v>
      </c>
      <c r="I3670" s="3">
        <f t="shared" si="172"/>
        <v>9.088187850265184E-3</v>
      </c>
    </row>
    <row r="3671" spans="2:9" x14ac:dyDescent="0.25">
      <c r="B3671" s="1">
        <v>40540</v>
      </c>
      <c r="C3671" s="2">
        <v>5996</v>
      </c>
      <c r="D3671" s="2">
        <v>6005.35</v>
      </c>
      <c r="E3671" s="2">
        <v>6010.9</v>
      </c>
      <c r="F3671" s="2">
        <v>5982.25</v>
      </c>
      <c r="G3671" s="3">
        <f t="shared" si="173"/>
        <v>-3.5011086844172201E-4</v>
      </c>
      <c r="H3671" s="2">
        <f t="shared" si="171"/>
        <v>28.649999999999636</v>
      </c>
      <c r="I3671" s="3">
        <f t="shared" si="172"/>
        <v>4.7707460847410451E-3</v>
      </c>
    </row>
    <row r="3672" spans="2:9" x14ac:dyDescent="0.25">
      <c r="B3672" s="1">
        <v>40541</v>
      </c>
      <c r="C3672" s="2">
        <v>6060.35</v>
      </c>
      <c r="D3672" s="2">
        <v>6005.15</v>
      </c>
      <c r="E3672" s="2">
        <v>6067.55</v>
      </c>
      <c r="F3672" s="2">
        <v>6002.85</v>
      </c>
      <c r="G3672" s="3">
        <f t="shared" si="173"/>
        <v>1.073215476984668E-2</v>
      </c>
      <c r="H3672" s="2">
        <f t="shared" si="171"/>
        <v>64.699999999999818</v>
      </c>
      <c r="I3672" s="3">
        <f t="shared" si="172"/>
        <v>1.0774085576546768E-2</v>
      </c>
    </row>
    <row r="3673" spans="2:9" x14ac:dyDescent="0.25">
      <c r="B3673" s="1">
        <v>40542</v>
      </c>
      <c r="C3673" s="2">
        <v>6101.85</v>
      </c>
      <c r="D3673" s="2">
        <v>6062.35</v>
      </c>
      <c r="E3673" s="2">
        <v>6106.4</v>
      </c>
      <c r="F3673" s="2">
        <v>6062.35</v>
      </c>
      <c r="G3673" s="3">
        <f t="shared" si="173"/>
        <v>6.847789319098796E-3</v>
      </c>
      <c r="H3673" s="2">
        <f t="shared" si="171"/>
        <v>44.049999999999272</v>
      </c>
      <c r="I3673" s="3">
        <f t="shared" si="172"/>
        <v>7.2661591627008124E-3</v>
      </c>
    </row>
    <row r="3674" spans="2:9" x14ac:dyDescent="0.25">
      <c r="B3674" s="1">
        <v>40543</v>
      </c>
      <c r="C3674" s="2">
        <v>6134.5</v>
      </c>
      <c r="D3674" s="2">
        <v>6105.1</v>
      </c>
      <c r="E3674" s="2">
        <v>6147.3</v>
      </c>
      <c r="F3674" s="2">
        <v>6103.55</v>
      </c>
      <c r="G3674" s="3">
        <f t="shared" si="173"/>
        <v>5.3508362218015471E-3</v>
      </c>
      <c r="H3674" s="2">
        <f t="shared" si="171"/>
        <v>43.75</v>
      </c>
      <c r="I3674" s="3">
        <f t="shared" si="172"/>
        <v>7.1661397847701102E-3</v>
      </c>
    </row>
    <row r="3675" spans="2:9" x14ac:dyDescent="0.25">
      <c r="B3675" s="1">
        <v>40546</v>
      </c>
      <c r="C3675" s="2">
        <v>6157.6</v>
      </c>
      <c r="D3675" s="2">
        <v>6177.45</v>
      </c>
      <c r="E3675" s="2">
        <v>6178.55</v>
      </c>
      <c r="F3675" s="2">
        <v>6147.2</v>
      </c>
      <c r="G3675" s="3">
        <f t="shared" si="173"/>
        <v>3.7655880674871689E-3</v>
      </c>
      <c r="H3675" s="2">
        <f t="shared" si="171"/>
        <v>31.350000000000364</v>
      </c>
      <c r="I3675" s="3">
        <f t="shared" si="172"/>
        <v>5.0749095500571212E-3</v>
      </c>
    </row>
    <row r="3676" spans="2:9" x14ac:dyDescent="0.25">
      <c r="B3676" s="1">
        <v>40547</v>
      </c>
      <c r="C3676" s="2">
        <v>6146.35</v>
      </c>
      <c r="D3676" s="2">
        <v>6172.75</v>
      </c>
      <c r="E3676" s="2">
        <v>6181.05</v>
      </c>
      <c r="F3676" s="2">
        <v>6124.4</v>
      </c>
      <c r="G3676" s="3">
        <f t="shared" si="173"/>
        <v>-1.8270105235805856E-3</v>
      </c>
      <c r="H3676" s="2">
        <f t="shared" si="171"/>
        <v>56.650000000000546</v>
      </c>
      <c r="I3676" s="3">
        <f t="shared" si="172"/>
        <v>9.1774330727796439E-3</v>
      </c>
    </row>
    <row r="3677" spans="2:9" x14ac:dyDescent="0.25">
      <c r="B3677" s="1">
        <v>40548</v>
      </c>
      <c r="C3677" s="2">
        <v>6079.8</v>
      </c>
      <c r="D3677" s="2">
        <v>6141.35</v>
      </c>
      <c r="E3677" s="2">
        <v>6141.35</v>
      </c>
      <c r="F3677" s="2">
        <v>6062.35</v>
      </c>
      <c r="G3677" s="3">
        <f t="shared" si="173"/>
        <v>-1.0827564326795658E-2</v>
      </c>
      <c r="H3677" s="2">
        <f t="shared" si="171"/>
        <v>79</v>
      </c>
      <c r="I3677" s="3">
        <f t="shared" si="172"/>
        <v>1.2863621190780527E-2</v>
      </c>
    </row>
    <row r="3678" spans="2:9" x14ac:dyDescent="0.25">
      <c r="B3678" s="1">
        <v>40549</v>
      </c>
      <c r="C3678" s="2">
        <v>6048.25</v>
      </c>
      <c r="D3678" s="2">
        <v>6107</v>
      </c>
      <c r="E3678" s="2">
        <v>6116.15</v>
      </c>
      <c r="F3678" s="2">
        <v>6022.3</v>
      </c>
      <c r="G3678" s="3">
        <f t="shared" si="173"/>
        <v>-5.1893154380078244E-3</v>
      </c>
      <c r="H3678" s="2">
        <f t="shared" si="171"/>
        <v>93.849999999999454</v>
      </c>
      <c r="I3678" s="3">
        <f t="shared" si="172"/>
        <v>1.5367610938267473E-2</v>
      </c>
    </row>
    <row r="3679" spans="2:9" x14ac:dyDescent="0.25">
      <c r="B3679" s="1">
        <v>40550</v>
      </c>
      <c r="C3679" s="2">
        <v>5904.6</v>
      </c>
      <c r="D3679" s="2">
        <v>6030.9</v>
      </c>
      <c r="E3679" s="2">
        <v>6051.2</v>
      </c>
      <c r="F3679" s="2">
        <v>5883.6</v>
      </c>
      <c r="G3679" s="3">
        <f t="shared" si="173"/>
        <v>-2.3750671681891378E-2</v>
      </c>
      <c r="H3679" s="2">
        <f t="shared" si="171"/>
        <v>167.59999999999945</v>
      </c>
      <c r="I3679" s="3">
        <f t="shared" si="172"/>
        <v>2.77902137326103E-2</v>
      </c>
    </row>
    <row r="3680" spans="2:9" x14ac:dyDescent="0.25">
      <c r="B3680" s="1">
        <v>40553</v>
      </c>
      <c r="C3680" s="2">
        <v>5762.85</v>
      </c>
      <c r="D3680" s="2">
        <v>5901.3</v>
      </c>
      <c r="E3680" s="2">
        <v>5907.25</v>
      </c>
      <c r="F3680" s="2">
        <v>5740.95</v>
      </c>
      <c r="G3680" s="3">
        <f t="shared" si="173"/>
        <v>-2.4006706635504527E-2</v>
      </c>
      <c r="H3680" s="2">
        <f t="shared" si="171"/>
        <v>166.30000000000018</v>
      </c>
      <c r="I3680" s="3">
        <f t="shared" si="172"/>
        <v>2.8180231474420919E-2</v>
      </c>
    </row>
    <row r="3681" spans="2:9" x14ac:dyDescent="0.25">
      <c r="B3681" s="1">
        <v>40554</v>
      </c>
      <c r="C3681" s="2">
        <v>5754.1</v>
      </c>
      <c r="D3681" s="2">
        <v>5767.95</v>
      </c>
      <c r="E3681" s="2">
        <v>5842.6</v>
      </c>
      <c r="F3681" s="2">
        <v>5698.2</v>
      </c>
      <c r="G3681" s="3">
        <f t="shared" si="173"/>
        <v>-1.5183459572953861E-3</v>
      </c>
      <c r="H3681" s="2">
        <f t="shared" si="171"/>
        <v>144.40000000000055</v>
      </c>
      <c r="I3681" s="3">
        <f t="shared" si="172"/>
        <v>2.5034891079153E-2</v>
      </c>
    </row>
    <row r="3682" spans="2:9" x14ac:dyDescent="0.25">
      <c r="B3682" s="1">
        <v>40555</v>
      </c>
      <c r="C3682" s="2">
        <v>5863.25</v>
      </c>
      <c r="D3682" s="2">
        <v>5800.05</v>
      </c>
      <c r="E3682" s="2">
        <v>5874.2</v>
      </c>
      <c r="F3682" s="2">
        <v>5711.3</v>
      </c>
      <c r="G3682" s="3">
        <f t="shared" si="173"/>
        <v>1.8969082914791047E-2</v>
      </c>
      <c r="H3682" s="2">
        <f t="shared" si="171"/>
        <v>162.89999999999964</v>
      </c>
      <c r="I3682" s="3">
        <f t="shared" si="172"/>
        <v>2.8085964776165658E-2</v>
      </c>
    </row>
    <row r="3683" spans="2:9" x14ac:dyDescent="0.25">
      <c r="B3683" s="1">
        <v>40556</v>
      </c>
      <c r="C3683" s="2">
        <v>5751.9</v>
      </c>
      <c r="D3683" s="2">
        <v>5850.75</v>
      </c>
      <c r="E3683" s="2">
        <v>5857.75</v>
      </c>
      <c r="F3683" s="2">
        <v>5736.7</v>
      </c>
      <c r="G3683" s="3">
        <f t="shared" si="173"/>
        <v>-1.8991173837035857E-2</v>
      </c>
      <c r="H3683" s="2">
        <f t="shared" si="171"/>
        <v>121.05000000000018</v>
      </c>
      <c r="I3683" s="3">
        <f t="shared" si="172"/>
        <v>2.0689655172413824E-2</v>
      </c>
    </row>
    <row r="3684" spans="2:9" x14ac:dyDescent="0.25">
      <c r="B3684" s="1">
        <v>40557</v>
      </c>
      <c r="C3684" s="2">
        <v>5654.55</v>
      </c>
      <c r="D3684" s="2">
        <v>5752.1</v>
      </c>
      <c r="E3684" s="2">
        <v>5833.65</v>
      </c>
      <c r="F3684" s="2">
        <v>5639.65</v>
      </c>
      <c r="G3684" s="3">
        <f t="shared" si="173"/>
        <v>-1.6924842226046954E-2</v>
      </c>
      <c r="H3684" s="2">
        <f t="shared" si="171"/>
        <v>194</v>
      </c>
      <c r="I3684" s="3">
        <f t="shared" si="172"/>
        <v>3.3726812816188868E-2</v>
      </c>
    </row>
    <row r="3685" spans="2:9" x14ac:dyDescent="0.25">
      <c r="B3685" s="1">
        <v>40560</v>
      </c>
      <c r="C3685" s="2">
        <v>5654.75</v>
      </c>
      <c r="D3685" s="2">
        <v>5648.8</v>
      </c>
      <c r="E3685" s="2">
        <v>5696.15</v>
      </c>
      <c r="F3685" s="2">
        <v>5624.15</v>
      </c>
      <c r="G3685" s="3">
        <f t="shared" si="173"/>
        <v>3.5369746487212694E-5</v>
      </c>
      <c r="H3685" s="2">
        <f t="shared" si="171"/>
        <v>72</v>
      </c>
      <c r="I3685" s="3">
        <f t="shared" si="172"/>
        <v>1.274606996176179E-2</v>
      </c>
    </row>
    <row r="3686" spans="2:9" x14ac:dyDescent="0.25">
      <c r="B3686" s="1">
        <v>40561</v>
      </c>
      <c r="C3686" s="2">
        <v>5724.05</v>
      </c>
      <c r="D3686" s="2">
        <v>5682.55</v>
      </c>
      <c r="E3686" s="2">
        <v>5730.5</v>
      </c>
      <c r="F3686" s="2">
        <v>5671.25</v>
      </c>
      <c r="G3686" s="3">
        <f t="shared" si="173"/>
        <v>1.2255183695123684E-2</v>
      </c>
      <c r="H3686" s="2">
        <f t="shared" si="171"/>
        <v>59.25</v>
      </c>
      <c r="I3686" s="3">
        <f t="shared" si="172"/>
        <v>1.0426657046572401E-2</v>
      </c>
    </row>
    <row r="3687" spans="2:9" x14ac:dyDescent="0.25">
      <c r="B3687" s="1">
        <v>40562</v>
      </c>
      <c r="C3687" s="2">
        <v>5691.05</v>
      </c>
      <c r="D3687" s="2">
        <v>5737.35</v>
      </c>
      <c r="E3687" s="2">
        <v>5747.65</v>
      </c>
      <c r="F3687" s="2">
        <v>5662.55</v>
      </c>
      <c r="G3687" s="3">
        <f t="shared" si="173"/>
        <v>-5.7651488019846431E-3</v>
      </c>
      <c r="H3687" s="2">
        <f t="shared" si="171"/>
        <v>85.099999999999454</v>
      </c>
      <c r="I3687" s="3">
        <f t="shared" si="172"/>
        <v>1.4832631789937767E-2</v>
      </c>
    </row>
    <row r="3688" spans="2:9" x14ac:dyDescent="0.25">
      <c r="B3688" s="1">
        <v>40563</v>
      </c>
      <c r="C3688" s="2">
        <v>5711.6</v>
      </c>
      <c r="D3688" s="2">
        <v>5656</v>
      </c>
      <c r="E3688" s="2">
        <v>5729.45</v>
      </c>
      <c r="F3688" s="2">
        <v>5634.5</v>
      </c>
      <c r="G3688" s="3">
        <f t="shared" si="173"/>
        <v>3.6109329561329062E-3</v>
      </c>
      <c r="H3688" s="2">
        <f t="shared" si="171"/>
        <v>94.949999999999818</v>
      </c>
      <c r="I3688" s="3">
        <f t="shared" si="172"/>
        <v>1.6787482319660506E-2</v>
      </c>
    </row>
    <row r="3689" spans="2:9" x14ac:dyDescent="0.25">
      <c r="B3689" s="1">
        <v>40564</v>
      </c>
      <c r="C3689" s="2">
        <v>5696.5</v>
      </c>
      <c r="D3689" s="2">
        <v>5692.05</v>
      </c>
      <c r="E3689" s="2">
        <v>5717.55</v>
      </c>
      <c r="F3689" s="2">
        <v>5674.5</v>
      </c>
      <c r="G3689" s="3">
        <f t="shared" si="173"/>
        <v>-2.643742559002793E-3</v>
      </c>
      <c r="H3689" s="2">
        <f t="shared" si="171"/>
        <v>43.050000000000182</v>
      </c>
      <c r="I3689" s="3">
        <f t="shared" si="172"/>
        <v>7.5631802250507602E-3</v>
      </c>
    </row>
    <row r="3690" spans="2:9" x14ac:dyDescent="0.25">
      <c r="B3690" s="1">
        <v>40567</v>
      </c>
      <c r="C3690" s="2">
        <v>5743.25</v>
      </c>
      <c r="D3690" s="2">
        <v>5717.1</v>
      </c>
      <c r="E3690" s="2">
        <v>5756</v>
      </c>
      <c r="F3690" s="2">
        <v>5697.75</v>
      </c>
      <c r="G3690" s="3">
        <f t="shared" si="173"/>
        <v>8.2067936452208112E-3</v>
      </c>
      <c r="H3690" s="2">
        <f t="shared" si="171"/>
        <v>58.25</v>
      </c>
      <c r="I3690" s="3">
        <f t="shared" si="172"/>
        <v>1.0188732049465637E-2</v>
      </c>
    </row>
    <row r="3691" spans="2:9" x14ac:dyDescent="0.25">
      <c r="B3691" s="1">
        <v>40568</v>
      </c>
      <c r="C3691" s="2">
        <v>5687.4</v>
      </c>
      <c r="D3691" s="2">
        <v>5763.3</v>
      </c>
      <c r="E3691" s="2">
        <v>5801.55</v>
      </c>
      <c r="F3691" s="2">
        <v>5680.65</v>
      </c>
      <c r="G3691" s="3">
        <f t="shared" si="173"/>
        <v>-9.7244591476951525E-3</v>
      </c>
      <c r="H3691" s="2">
        <f t="shared" si="171"/>
        <v>120.90000000000055</v>
      </c>
      <c r="I3691" s="3">
        <f t="shared" si="172"/>
        <v>2.0977564936755077E-2</v>
      </c>
    </row>
    <row r="3692" spans="2:9" x14ac:dyDescent="0.25">
      <c r="B3692" s="1">
        <v>40570</v>
      </c>
      <c r="C3692" s="2">
        <v>5604.3</v>
      </c>
      <c r="D3692" s="2">
        <v>5725.3</v>
      </c>
      <c r="E3692" s="2">
        <v>5726.1</v>
      </c>
      <c r="F3692" s="2">
        <v>5594.95</v>
      </c>
      <c r="G3692" s="3">
        <f t="shared" si="173"/>
        <v>-1.4611245912015902E-2</v>
      </c>
      <c r="H3692" s="2">
        <f t="shared" si="171"/>
        <v>131.15000000000055</v>
      </c>
      <c r="I3692" s="3">
        <f t="shared" si="172"/>
        <v>2.2907096571358802E-2</v>
      </c>
    </row>
    <row r="3693" spans="2:9" x14ac:dyDescent="0.25">
      <c r="B3693" s="1">
        <v>40571</v>
      </c>
      <c r="C3693" s="2">
        <v>5512.15</v>
      </c>
      <c r="D3693" s="2">
        <v>5614</v>
      </c>
      <c r="E3693" s="2">
        <v>5614.4</v>
      </c>
      <c r="F3693" s="2">
        <v>5459.55</v>
      </c>
      <c r="G3693" s="3">
        <f t="shared" si="173"/>
        <v>-1.6442731474046846E-2</v>
      </c>
      <c r="H3693" s="2">
        <f t="shared" si="171"/>
        <v>154.84999999999945</v>
      </c>
      <c r="I3693" s="3">
        <f t="shared" si="172"/>
        <v>2.7582828642678921E-2</v>
      </c>
    </row>
    <row r="3694" spans="2:9" x14ac:dyDescent="0.25">
      <c r="B3694" s="1">
        <v>40574</v>
      </c>
      <c r="C3694" s="2">
        <v>5505.9</v>
      </c>
      <c r="D3694" s="2">
        <v>5452.55</v>
      </c>
      <c r="E3694" s="2">
        <v>5526.85</v>
      </c>
      <c r="F3694" s="2">
        <v>5416.65</v>
      </c>
      <c r="G3694" s="3">
        <f t="shared" si="173"/>
        <v>-1.1338588391099913E-3</v>
      </c>
      <c r="H3694" s="2">
        <f t="shared" si="171"/>
        <v>110.20000000000073</v>
      </c>
      <c r="I3694" s="3">
        <f t="shared" si="172"/>
        <v>2.0210727090994255E-2</v>
      </c>
    </row>
    <row r="3695" spans="2:9" x14ac:dyDescent="0.25">
      <c r="B3695" s="1">
        <v>40575</v>
      </c>
      <c r="C3695" s="2">
        <v>5417.2</v>
      </c>
      <c r="D3695" s="2">
        <v>5537.3</v>
      </c>
      <c r="E3695" s="2">
        <v>5539.15</v>
      </c>
      <c r="F3695" s="2">
        <v>5402</v>
      </c>
      <c r="G3695" s="3">
        <f t="shared" si="173"/>
        <v>-1.6109991100455856E-2</v>
      </c>
      <c r="H3695" s="2">
        <f t="shared" si="171"/>
        <v>137.14999999999964</v>
      </c>
      <c r="I3695" s="3">
        <f t="shared" si="172"/>
        <v>2.4768388926010805E-2</v>
      </c>
    </row>
    <row r="3696" spans="2:9" x14ac:dyDescent="0.25">
      <c r="B3696" s="1">
        <v>40576</v>
      </c>
      <c r="C3696" s="2">
        <v>5432</v>
      </c>
      <c r="D3696" s="2">
        <v>5469.55</v>
      </c>
      <c r="E3696" s="2">
        <v>5490.6</v>
      </c>
      <c r="F3696" s="2">
        <v>5415.65</v>
      </c>
      <c r="G3696" s="3">
        <f t="shared" si="173"/>
        <v>2.7320386915750117E-3</v>
      </c>
      <c r="H3696" s="2">
        <f t="shared" si="171"/>
        <v>74.950000000000728</v>
      </c>
      <c r="I3696" s="3">
        <f t="shared" si="172"/>
        <v>1.3703138283771192E-2</v>
      </c>
    </row>
    <row r="3697" spans="2:9" x14ac:dyDescent="0.25">
      <c r="B3697" s="1">
        <v>40577</v>
      </c>
      <c r="C3697" s="2">
        <v>5526.75</v>
      </c>
      <c r="D3697" s="2">
        <v>5430.45</v>
      </c>
      <c r="E3697" s="2">
        <v>5532.65</v>
      </c>
      <c r="F3697" s="2">
        <v>5418</v>
      </c>
      <c r="G3697" s="3">
        <f t="shared" si="173"/>
        <v>1.7442930780559696E-2</v>
      </c>
      <c r="H3697" s="2">
        <f t="shared" si="171"/>
        <v>114.64999999999964</v>
      </c>
      <c r="I3697" s="3">
        <f t="shared" si="172"/>
        <v>2.1112430829857497E-2</v>
      </c>
    </row>
    <row r="3698" spans="2:9" x14ac:dyDescent="0.25">
      <c r="B3698" s="1">
        <v>40578</v>
      </c>
      <c r="C3698" s="2">
        <v>5395.75</v>
      </c>
      <c r="D3698" s="2">
        <v>5519.9</v>
      </c>
      <c r="E3698" s="2">
        <v>5556.3</v>
      </c>
      <c r="F3698" s="2">
        <v>5369.05</v>
      </c>
      <c r="G3698" s="3">
        <f t="shared" si="173"/>
        <v>-2.3702899534084221E-2</v>
      </c>
      <c r="H3698" s="2">
        <f t="shared" si="171"/>
        <v>187.25</v>
      </c>
      <c r="I3698" s="3">
        <f t="shared" si="172"/>
        <v>3.3922715991231728E-2</v>
      </c>
    </row>
    <row r="3699" spans="2:9" x14ac:dyDescent="0.25">
      <c r="B3699" s="1">
        <v>40581</v>
      </c>
      <c r="C3699" s="2">
        <v>5396</v>
      </c>
      <c r="D3699" s="2">
        <v>5430.15</v>
      </c>
      <c r="E3699" s="2">
        <v>5440.35</v>
      </c>
      <c r="F3699" s="2">
        <v>5376.95</v>
      </c>
      <c r="G3699" s="3">
        <f t="shared" si="173"/>
        <v>4.6332761896028529E-5</v>
      </c>
      <c r="H3699" s="2">
        <f t="shared" si="171"/>
        <v>63.400000000000546</v>
      </c>
      <c r="I3699" s="3">
        <f t="shared" si="172"/>
        <v>1.16755522407301E-2</v>
      </c>
    </row>
    <row r="3700" spans="2:9" x14ac:dyDescent="0.25">
      <c r="B3700" s="1">
        <v>40582</v>
      </c>
      <c r="C3700" s="2">
        <v>5312.55</v>
      </c>
      <c r="D3700" s="2">
        <v>5432.35</v>
      </c>
      <c r="E3700" s="2">
        <v>5432.35</v>
      </c>
      <c r="F3700" s="2">
        <v>5303.4</v>
      </c>
      <c r="G3700" s="3">
        <f t="shared" si="173"/>
        <v>-1.5465159377316517E-2</v>
      </c>
      <c r="H3700" s="2">
        <f t="shared" si="171"/>
        <v>128.95000000000073</v>
      </c>
      <c r="I3700" s="3">
        <f t="shared" si="172"/>
        <v>2.3737424871372557E-2</v>
      </c>
    </row>
    <row r="3701" spans="2:9" x14ac:dyDescent="0.25">
      <c r="B3701" s="1">
        <v>40583</v>
      </c>
      <c r="C3701" s="2">
        <v>5253.55</v>
      </c>
      <c r="D3701" s="2">
        <v>5293.05</v>
      </c>
      <c r="E3701" s="2">
        <v>5339.45</v>
      </c>
      <c r="F3701" s="2">
        <v>5225.6499999999996</v>
      </c>
      <c r="G3701" s="3">
        <f t="shared" si="173"/>
        <v>-1.1105777827973395E-2</v>
      </c>
      <c r="H3701" s="2">
        <f t="shared" si="171"/>
        <v>113.80000000000018</v>
      </c>
      <c r="I3701" s="3">
        <f t="shared" si="172"/>
        <v>2.1499891366981265E-2</v>
      </c>
    </row>
    <row r="3702" spans="2:9" x14ac:dyDescent="0.25">
      <c r="B3702" s="1">
        <v>40584</v>
      </c>
      <c r="C3702" s="2">
        <v>5225.8</v>
      </c>
      <c r="D3702" s="2">
        <v>5246.05</v>
      </c>
      <c r="E3702" s="2">
        <v>5272.6</v>
      </c>
      <c r="F3702" s="2">
        <v>5196.8</v>
      </c>
      <c r="G3702" s="3">
        <f t="shared" si="173"/>
        <v>-5.2821425512272757E-3</v>
      </c>
      <c r="H3702" s="2">
        <f t="shared" si="171"/>
        <v>75.800000000000182</v>
      </c>
      <c r="I3702" s="3">
        <f t="shared" si="172"/>
        <v>1.444896636517002E-2</v>
      </c>
    </row>
    <row r="3703" spans="2:9" x14ac:dyDescent="0.25">
      <c r="B3703" s="1">
        <v>40585</v>
      </c>
      <c r="C3703" s="2">
        <v>5310</v>
      </c>
      <c r="D3703" s="2">
        <v>5219.6499999999996</v>
      </c>
      <c r="E3703" s="2">
        <v>5319.45</v>
      </c>
      <c r="F3703" s="2">
        <v>5177.7</v>
      </c>
      <c r="G3703" s="3">
        <f t="shared" si="173"/>
        <v>1.6112365570821741E-2</v>
      </c>
      <c r="H3703" s="2">
        <f t="shared" si="171"/>
        <v>141.75</v>
      </c>
      <c r="I3703" s="3">
        <f t="shared" si="172"/>
        <v>2.7156993284990376E-2</v>
      </c>
    </row>
    <row r="3704" spans="2:9" x14ac:dyDescent="0.25">
      <c r="B3704" s="1">
        <v>40588</v>
      </c>
      <c r="C3704" s="2">
        <v>5456</v>
      </c>
      <c r="D3704" s="2">
        <v>5340.25</v>
      </c>
      <c r="E3704" s="2">
        <v>5463.8</v>
      </c>
      <c r="F3704" s="2">
        <v>5340.25</v>
      </c>
      <c r="G3704" s="3">
        <f t="shared" si="173"/>
        <v>2.7495291902071672E-2</v>
      </c>
      <c r="H3704" s="2">
        <f t="shared" si="171"/>
        <v>123.55000000000018</v>
      </c>
      <c r="I3704" s="3">
        <f t="shared" si="172"/>
        <v>2.3135620991526648E-2</v>
      </c>
    </row>
    <row r="3705" spans="2:9" x14ac:dyDescent="0.25">
      <c r="B3705" s="1">
        <v>40589</v>
      </c>
      <c r="C3705" s="2">
        <v>5481</v>
      </c>
      <c r="D3705" s="2">
        <v>5467.75</v>
      </c>
      <c r="E3705" s="2">
        <v>5506.5</v>
      </c>
      <c r="F3705" s="2">
        <v>5408.35</v>
      </c>
      <c r="G3705" s="3">
        <f t="shared" si="173"/>
        <v>4.5821114369501981E-3</v>
      </c>
      <c r="H3705" s="2">
        <f t="shared" si="171"/>
        <v>98.149999999999636</v>
      </c>
      <c r="I3705" s="3">
        <f t="shared" si="172"/>
        <v>1.7950710987151869E-2</v>
      </c>
    </row>
    <row r="3706" spans="2:9" x14ac:dyDescent="0.25">
      <c r="B3706" s="1">
        <v>40590</v>
      </c>
      <c r="C3706" s="2">
        <v>5481.7</v>
      </c>
      <c r="D3706" s="2">
        <v>5467.6</v>
      </c>
      <c r="E3706" s="2">
        <v>5504.8</v>
      </c>
      <c r="F3706" s="2">
        <v>5460.35</v>
      </c>
      <c r="G3706" s="3">
        <f t="shared" si="173"/>
        <v>1.2771392081734056E-4</v>
      </c>
      <c r="H3706" s="2">
        <f t="shared" si="171"/>
        <v>44.449999999999818</v>
      </c>
      <c r="I3706" s="3">
        <f t="shared" si="172"/>
        <v>8.1297095617821006E-3</v>
      </c>
    </row>
    <row r="3707" spans="2:9" x14ac:dyDescent="0.25">
      <c r="B3707" s="1">
        <v>40591</v>
      </c>
      <c r="C3707" s="2">
        <v>5546.45</v>
      </c>
      <c r="D3707" s="2">
        <v>5501.7</v>
      </c>
      <c r="E3707" s="2">
        <v>5553</v>
      </c>
      <c r="F3707" s="2">
        <v>5463.4</v>
      </c>
      <c r="G3707" s="3">
        <f t="shared" si="173"/>
        <v>1.1812029115055633E-2</v>
      </c>
      <c r="H3707" s="2">
        <f t="shared" si="171"/>
        <v>89.600000000000364</v>
      </c>
      <c r="I3707" s="3">
        <f t="shared" si="172"/>
        <v>1.6285875274915092E-2</v>
      </c>
    </row>
    <row r="3708" spans="2:9" x14ac:dyDescent="0.25">
      <c r="B3708" s="1">
        <v>40592</v>
      </c>
      <c r="C3708" s="2">
        <v>5458.95</v>
      </c>
      <c r="D3708" s="2">
        <v>5557.55</v>
      </c>
      <c r="E3708" s="2">
        <v>5599.25</v>
      </c>
      <c r="F3708" s="2">
        <v>5441.95</v>
      </c>
      <c r="G3708" s="3">
        <f t="shared" si="173"/>
        <v>-1.5775856629014928E-2</v>
      </c>
      <c r="H3708" s="2">
        <f t="shared" si="171"/>
        <v>157.30000000000018</v>
      </c>
      <c r="I3708" s="3">
        <f t="shared" si="172"/>
        <v>2.8303838921827095E-2</v>
      </c>
    </row>
    <row r="3709" spans="2:9" x14ac:dyDescent="0.25">
      <c r="B3709" s="1">
        <v>40595</v>
      </c>
      <c r="C3709" s="2">
        <v>5518.6</v>
      </c>
      <c r="D3709" s="2">
        <v>5456.6</v>
      </c>
      <c r="E3709" s="2">
        <v>5526.25</v>
      </c>
      <c r="F3709" s="2">
        <v>5413.1</v>
      </c>
      <c r="G3709" s="3">
        <f t="shared" si="173"/>
        <v>1.0927009772941698E-2</v>
      </c>
      <c r="H3709" s="2">
        <f t="shared" si="171"/>
        <v>113.14999999999964</v>
      </c>
      <c r="I3709" s="3">
        <f t="shared" si="172"/>
        <v>2.0736355972583592E-2</v>
      </c>
    </row>
    <row r="3710" spans="2:9" x14ac:dyDescent="0.25">
      <c r="B3710" s="1">
        <v>40596</v>
      </c>
      <c r="C3710" s="2">
        <v>5469.2</v>
      </c>
      <c r="D3710" s="2">
        <v>5504.4</v>
      </c>
      <c r="E3710" s="2">
        <v>5519.45</v>
      </c>
      <c r="F3710" s="2">
        <v>5437.3</v>
      </c>
      <c r="G3710" s="3">
        <f t="shared" si="173"/>
        <v>-8.9515456818759498E-3</v>
      </c>
      <c r="H3710" s="2">
        <f t="shared" si="171"/>
        <v>82.149999999999636</v>
      </c>
      <c r="I3710" s="3">
        <f t="shared" si="172"/>
        <v>1.4924424097085902E-2</v>
      </c>
    </row>
    <row r="3711" spans="2:9" x14ac:dyDescent="0.25">
      <c r="B3711" s="1">
        <v>40597</v>
      </c>
      <c r="C3711" s="2">
        <v>5437.35</v>
      </c>
      <c r="D3711" s="2">
        <v>5452.45</v>
      </c>
      <c r="E3711" s="2">
        <v>5495.2</v>
      </c>
      <c r="F3711" s="2">
        <v>5427.55</v>
      </c>
      <c r="G3711" s="3">
        <f t="shared" si="173"/>
        <v>-5.8235208074306488E-3</v>
      </c>
      <c r="H3711" s="2">
        <f t="shared" si="171"/>
        <v>67.649999999999636</v>
      </c>
      <c r="I3711" s="3">
        <f t="shared" si="172"/>
        <v>1.2407266458197624E-2</v>
      </c>
    </row>
    <row r="3712" spans="2:9" x14ac:dyDescent="0.25">
      <c r="B3712" s="1">
        <v>40598</v>
      </c>
      <c r="C3712" s="2">
        <v>5262.7</v>
      </c>
      <c r="D3712" s="2">
        <v>5408.75</v>
      </c>
      <c r="E3712" s="2">
        <v>5423.4</v>
      </c>
      <c r="F3712" s="2">
        <v>5242.5</v>
      </c>
      <c r="G3712" s="3">
        <f t="shared" si="173"/>
        <v>-3.2120426310610961E-2</v>
      </c>
      <c r="H3712" s="2">
        <f t="shared" si="171"/>
        <v>180.89999999999964</v>
      </c>
      <c r="I3712" s="3">
        <f t="shared" si="172"/>
        <v>3.3445805407903789E-2</v>
      </c>
    </row>
    <row r="3713" spans="2:9" x14ac:dyDescent="0.25">
      <c r="B3713" s="1">
        <v>40599</v>
      </c>
      <c r="C3713" s="2">
        <v>5303.55</v>
      </c>
      <c r="D3713" s="2">
        <v>5321.05</v>
      </c>
      <c r="E3713" s="2">
        <v>5338.2</v>
      </c>
      <c r="F3713" s="2">
        <v>5232.75</v>
      </c>
      <c r="G3713" s="3">
        <f t="shared" si="173"/>
        <v>7.7621753092520507E-3</v>
      </c>
      <c r="H3713" s="2">
        <f t="shared" si="171"/>
        <v>105.44999999999982</v>
      </c>
      <c r="I3713" s="3">
        <f t="shared" si="172"/>
        <v>1.981751721934577E-2</v>
      </c>
    </row>
    <row r="3714" spans="2:9" x14ac:dyDescent="0.25">
      <c r="B3714" s="1">
        <v>40602</v>
      </c>
      <c r="C3714" s="2">
        <v>5333.25</v>
      </c>
      <c r="D3714" s="2">
        <v>5330.15</v>
      </c>
      <c r="E3714" s="2">
        <v>5477</v>
      </c>
      <c r="F3714" s="2">
        <v>5308.6</v>
      </c>
      <c r="G3714" s="3">
        <f t="shared" si="173"/>
        <v>5.600022626353951E-3</v>
      </c>
      <c r="H3714" s="2">
        <f t="shared" si="171"/>
        <v>168.39999999999964</v>
      </c>
      <c r="I3714" s="3">
        <f t="shared" si="172"/>
        <v>3.1593857583745229E-2</v>
      </c>
    </row>
    <row r="3715" spans="2:9" x14ac:dyDescent="0.25">
      <c r="B3715" s="1">
        <v>40603</v>
      </c>
      <c r="C3715" s="2">
        <v>5522.3</v>
      </c>
      <c r="D3715" s="2">
        <v>5382</v>
      </c>
      <c r="E3715" s="2">
        <v>5533.05</v>
      </c>
      <c r="F3715" s="2">
        <v>5373.55</v>
      </c>
      <c r="G3715" s="3">
        <f t="shared" si="173"/>
        <v>3.5447428866075992E-2</v>
      </c>
      <c r="H3715" s="2">
        <f t="shared" si="171"/>
        <v>159.5</v>
      </c>
      <c r="I3715" s="3">
        <f t="shared" si="172"/>
        <v>2.9635823114083984E-2</v>
      </c>
    </row>
    <row r="3716" spans="2:9" x14ac:dyDescent="0.25">
      <c r="B3716" s="1">
        <v>40605</v>
      </c>
      <c r="C3716" s="2">
        <v>5536.2</v>
      </c>
      <c r="D3716" s="2">
        <v>5478.45</v>
      </c>
      <c r="E3716" s="2">
        <v>5570.75</v>
      </c>
      <c r="F3716" s="2">
        <v>5468.25</v>
      </c>
      <c r="G3716" s="3">
        <f t="shared" si="173"/>
        <v>2.5170671640439846E-3</v>
      </c>
      <c r="H3716" s="2">
        <f t="shared" si="171"/>
        <v>102.5</v>
      </c>
      <c r="I3716" s="3">
        <f t="shared" si="172"/>
        <v>1.8709671531181266E-2</v>
      </c>
    </row>
    <row r="3717" spans="2:9" x14ac:dyDescent="0.25">
      <c r="B3717" s="1">
        <v>40606</v>
      </c>
      <c r="C3717" s="2">
        <v>5538.75</v>
      </c>
      <c r="D3717" s="2">
        <v>5586.2</v>
      </c>
      <c r="E3717" s="2">
        <v>5608.2</v>
      </c>
      <c r="F3717" s="2">
        <v>5524.1</v>
      </c>
      <c r="G3717" s="3">
        <f t="shared" si="173"/>
        <v>4.6060474693843112E-4</v>
      </c>
      <c r="H3717" s="2">
        <f t="shared" ref="H3717:H3780" si="174">E3717-F3717</f>
        <v>84.099999999999454</v>
      </c>
      <c r="I3717" s="3">
        <f t="shared" si="172"/>
        <v>1.5054956857971332E-2</v>
      </c>
    </row>
    <row r="3718" spans="2:9" x14ac:dyDescent="0.25">
      <c r="B3718" s="1">
        <v>40609</v>
      </c>
      <c r="C3718" s="2">
        <v>5463.15</v>
      </c>
      <c r="D3718" s="2">
        <v>5490.05</v>
      </c>
      <c r="E3718" s="2">
        <v>5491.25</v>
      </c>
      <c r="F3718" s="2">
        <v>5408.45</v>
      </c>
      <c r="G3718" s="3">
        <f t="shared" si="173"/>
        <v>-1.3649289099526118E-2</v>
      </c>
      <c r="H3718" s="2">
        <f t="shared" si="174"/>
        <v>82.800000000000182</v>
      </c>
      <c r="I3718" s="3">
        <f t="shared" ref="I3718:I3781" si="175">H3718/D3718</f>
        <v>1.5081829855830125E-2</v>
      </c>
    </row>
    <row r="3719" spans="2:9" x14ac:dyDescent="0.25">
      <c r="B3719" s="1">
        <v>40610</v>
      </c>
      <c r="C3719" s="2">
        <v>5520.8</v>
      </c>
      <c r="D3719" s="2">
        <v>5466.1</v>
      </c>
      <c r="E3719" s="2">
        <v>5530.55</v>
      </c>
      <c r="F3719" s="2">
        <v>5464.75</v>
      </c>
      <c r="G3719" s="3">
        <f t="shared" ref="G3719:G3782" si="176">C3719/C3718-1</f>
        <v>1.0552520066262172E-2</v>
      </c>
      <c r="H3719" s="2">
        <f t="shared" si="174"/>
        <v>65.800000000000182</v>
      </c>
      <c r="I3719" s="3">
        <f t="shared" si="175"/>
        <v>1.2037833190025828E-2</v>
      </c>
    </row>
    <row r="3720" spans="2:9" x14ac:dyDescent="0.25">
      <c r="B3720" s="1">
        <v>40611</v>
      </c>
      <c r="C3720" s="2">
        <v>5531</v>
      </c>
      <c r="D3720" s="2">
        <v>5542.4</v>
      </c>
      <c r="E3720" s="2">
        <v>5563.3</v>
      </c>
      <c r="F3720" s="2">
        <v>5477.45</v>
      </c>
      <c r="G3720" s="3">
        <f t="shared" si="176"/>
        <v>1.8475583248804828E-3</v>
      </c>
      <c r="H3720" s="2">
        <f t="shared" si="174"/>
        <v>85.850000000000364</v>
      </c>
      <c r="I3720" s="3">
        <f t="shared" si="175"/>
        <v>1.5489679561200991E-2</v>
      </c>
    </row>
    <row r="3721" spans="2:9" x14ac:dyDescent="0.25">
      <c r="B3721" s="1">
        <v>40612</v>
      </c>
      <c r="C3721" s="2">
        <v>5494.4</v>
      </c>
      <c r="D3721" s="2">
        <v>5516.1</v>
      </c>
      <c r="E3721" s="2">
        <v>5516.3</v>
      </c>
      <c r="F3721" s="2">
        <v>5468.45</v>
      </c>
      <c r="G3721" s="3">
        <f t="shared" si="176"/>
        <v>-6.6172482372085506E-3</v>
      </c>
      <c r="H3721" s="2">
        <f t="shared" si="174"/>
        <v>47.850000000000364</v>
      </c>
      <c r="I3721" s="3">
        <f t="shared" si="175"/>
        <v>8.6746070593354662E-3</v>
      </c>
    </row>
    <row r="3722" spans="2:9" x14ac:dyDescent="0.25">
      <c r="B3722" s="1">
        <v>40613</v>
      </c>
      <c r="C3722" s="2">
        <v>5445.45</v>
      </c>
      <c r="D3722" s="2">
        <v>5456.15</v>
      </c>
      <c r="E3722" s="2">
        <v>5502.7</v>
      </c>
      <c r="F3722" s="2">
        <v>5411.55</v>
      </c>
      <c r="G3722" s="3">
        <f t="shared" si="176"/>
        <v>-8.9090710541641638E-3</v>
      </c>
      <c r="H3722" s="2">
        <f t="shared" si="174"/>
        <v>91.149999999999636</v>
      </c>
      <c r="I3722" s="3">
        <f t="shared" si="175"/>
        <v>1.670591900882484E-2</v>
      </c>
    </row>
    <row r="3723" spans="2:9" x14ac:dyDescent="0.25">
      <c r="B3723" s="1">
        <v>40616</v>
      </c>
      <c r="C3723" s="2">
        <v>5531.5</v>
      </c>
      <c r="D3723" s="2">
        <v>5436.5</v>
      </c>
      <c r="E3723" s="2">
        <v>5537.3</v>
      </c>
      <c r="F3723" s="2">
        <v>5434.25</v>
      </c>
      <c r="G3723" s="3">
        <f t="shared" si="176"/>
        <v>1.5802183474276754E-2</v>
      </c>
      <c r="H3723" s="2">
        <f t="shared" si="174"/>
        <v>103.05000000000018</v>
      </c>
      <c r="I3723" s="3">
        <f t="shared" si="175"/>
        <v>1.8955210153591497E-2</v>
      </c>
    </row>
    <row r="3724" spans="2:9" x14ac:dyDescent="0.25">
      <c r="B3724" s="1">
        <v>40617</v>
      </c>
      <c r="C3724" s="2">
        <v>5449.65</v>
      </c>
      <c r="D3724" s="2">
        <v>5420</v>
      </c>
      <c r="E3724" s="2">
        <v>5497.85</v>
      </c>
      <c r="F3724" s="2">
        <v>5373.65</v>
      </c>
      <c r="G3724" s="3">
        <f t="shared" si="176"/>
        <v>-1.4797071318810473E-2</v>
      </c>
      <c r="H3724" s="2">
        <f t="shared" si="174"/>
        <v>124.20000000000073</v>
      </c>
      <c r="I3724" s="3">
        <f t="shared" si="175"/>
        <v>2.2915129151291649E-2</v>
      </c>
    </row>
    <row r="3725" spans="2:9" x14ac:dyDescent="0.25">
      <c r="B3725" s="1">
        <v>40618</v>
      </c>
      <c r="C3725" s="2">
        <v>5511.15</v>
      </c>
      <c r="D3725" s="2">
        <v>5475.95</v>
      </c>
      <c r="E3725" s="2">
        <v>5535.1</v>
      </c>
      <c r="F3725" s="2">
        <v>5475.95</v>
      </c>
      <c r="G3725" s="3">
        <f t="shared" si="176"/>
        <v>1.128512840274154E-2</v>
      </c>
      <c r="H3725" s="2">
        <f t="shared" si="174"/>
        <v>59.150000000000546</v>
      </c>
      <c r="I3725" s="3">
        <f t="shared" si="175"/>
        <v>1.0801778686803303E-2</v>
      </c>
    </row>
    <row r="3726" spans="2:9" x14ac:dyDescent="0.25">
      <c r="B3726" s="1">
        <v>40619</v>
      </c>
      <c r="C3726" s="2">
        <v>5446.65</v>
      </c>
      <c r="D3726" s="2">
        <v>5455.4</v>
      </c>
      <c r="E3726" s="2">
        <v>5510.05</v>
      </c>
      <c r="F3726" s="2">
        <v>5435.3</v>
      </c>
      <c r="G3726" s="3">
        <f t="shared" si="176"/>
        <v>-1.1703546446748869E-2</v>
      </c>
      <c r="H3726" s="2">
        <f t="shared" si="174"/>
        <v>74.75</v>
      </c>
      <c r="I3726" s="3">
        <f t="shared" si="175"/>
        <v>1.3702020016864026E-2</v>
      </c>
    </row>
    <row r="3727" spans="2:9" x14ac:dyDescent="0.25">
      <c r="B3727" s="1">
        <v>40620</v>
      </c>
      <c r="C3727" s="2">
        <v>5373.7</v>
      </c>
      <c r="D3727" s="2">
        <v>5475.35</v>
      </c>
      <c r="E3727" s="2">
        <v>5483.05</v>
      </c>
      <c r="F3727" s="2">
        <v>5366.4</v>
      </c>
      <c r="G3727" s="3">
        <f t="shared" si="176"/>
        <v>-1.3393553835844063E-2</v>
      </c>
      <c r="H3727" s="2">
        <f t="shared" si="174"/>
        <v>116.65000000000055</v>
      </c>
      <c r="I3727" s="3">
        <f t="shared" si="175"/>
        <v>2.1304574136813269E-2</v>
      </c>
    </row>
    <row r="3728" spans="2:9" x14ac:dyDescent="0.25">
      <c r="B3728" s="1">
        <v>40623</v>
      </c>
      <c r="C3728" s="2">
        <v>5364.75</v>
      </c>
      <c r="D3728" s="2">
        <v>5408.75</v>
      </c>
      <c r="E3728" s="2">
        <v>5413.3</v>
      </c>
      <c r="F3728" s="2">
        <v>5348.2</v>
      </c>
      <c r="G3728" s="3">
        <f t="shared" si="176"/>
        <v>-1.6655191022945104E-3</v>
      </c>
      <c r="H3728" s="2">
        <f t="shared" si="174"/>
        <v>65.100000000000364</v>
      </c>
      <c r="I3728" s="3">
        <f t="shared" si="175"/>
        <v>1.2036052692396647E-2</v>
      </c>
    </row>
    <row r="3729" spans="2:9" x14ac:dyDescent="0.25">
      <c r="B3729" s="1">
        <v>40624</v>
      </c>
      <c r="C3729" s="2">
        <v>5413.85</v>
      </c>
      <c r="D3729" s="2">
        <v>5390.85</v>
      </c>
      <c r="E3729" s="2">
        <v>5428.15</v>
      </c>
      <c r="F3729" s="2">
        <v>5376.15</v>
      </c>
      <c r="G3729" s="3">
        <f t="shared" si="176"/>
        <v>9.1523370147723604E-3</v>
      </c>
      <c r="H3729" s="2">
        <f t="shared" si="174"/>
        <v>52</v>
      </c>
      <c r="I3729" s="3">
        <f t="shared" si="175"/>
        <v>9.6459741970190225E-3</v>
      </c>
    </row>
    <row r="3730" spans="2:9" x14ac:dyDescent="0.25">
      <c r="B3730" s="1">
        <v>40625</v>
      </c>
      <c r="C3730" s="2">
        <v>5480.25</v>
      </c>
      <c r="D3730" s="2">
        <v>5411.4</v>
      </c>
      <c r="E3730" s="2">
        <v>5484.95</v>
      </c>
      <c r="F3730" s="2">
        <v>5401.95</v>
      </c>
      <c r="G3730" s="3">
        <f t="shared" si="176"/>
        <v>1.2264839254874094E-2</v>
      </c>
      <c r="H3730" s="2">
        <f t="shared" si="174"/>
        <v>83</v>
      </c>
      <c r="I3730" s="3">
        <f t="shared" si="175"/>
        <v>1.5337990168902688E-2</v>
      </c>
    </row>
    <row r="3731" spans="2:9" x14ac:dyDescent="0.25">
      <c r="B3731" s="1">
        <v>40626</v>
      </c>
      <c r="C3731" s="2">
        <v>5522.4</v>
      </c>
      <c r="D3731" s="2">
        <v>5501.8</v>
      </c>
      <c r="E3731" s="2">
        <v>5529</v>
      </c>
      <c r="F3731" s="2">
        <v>5496.1</v>
      </c>
      <c r="G3731" s="3">
        <f t="shared" si="176"/>
        <v>7.6912549609962078E-3</v>
      </c>
      <c r="H3731" s="2">
        <f t="shared" si="174"/>
        <v>32.899999999999636</v>
      </c>
      <c r="I3731" s="3">
        <f t="shared" si="175"/>
        <v>5.9798611363553085E-3</v>
      </c>
    </row>
    <row r="3732" spans="2:9" x14ac:dyDescent="0.25">
      <c r="B3732" s="1">
        <v>40627</v>
      </c>
      <c r="C3732" s="2">
        <v>5654.25</v>
      </c>
      <c r="D3732" s="2">
        <v>5588.65</v>
      </c>
      <c r="E3732" s="2">
        <v>5667.1</v>
      </c>
      <c r="F3732" s="2">
        <v>5560.95</v>
      </c>
      <c r="G3732" s="3">
        <f t="shared" si="176"/>
        <v>2.3875488917861842E-2</v>
      </c>
      <c r="H3732" s="2">
        <f t="shared" si="174"/>
        <v>106.15000000000055</v>
      </c>
      <c r="I3732" s="3">
        <f t="shared" si="175"/>
        <v>1.8993853614021373E-2</v>
      </c>
    </row>
    <row r="3733" spans="2:9" x14ac:dyDescent="0.25">
      <c r="B3733" s="1">
        <v>40630</v>
      </c>
      <c r="C3733" s="2">
        <v>5687.25</v>
      </c>
      <c r="D3733" s="2">
        <v>5645.25</v>
      </c>
      <c r="E3733" s="2">
        <v>5709.1</v>
      </c>
      <c r="F3733" s="2">
        <v>5643.2</v>
      </c>
      <c r="G3733" s="3">
        <f t="shared" si="176"/>
        <v>5.8363178140337091E-3</v>
      </c>
      <c r="H3733" s="2">
        <f t="shared" si="174"/>
        <v>65.900000000000546</v>
      </c>
      <c r="I3733" s="3">
        <f t="shared" si="175"/>
        <v>1.1673530844515397E-2</v>
      </c>
    </row>
    <row r="3734" spans="2:9" x14ac:dyDescent="0.25">
      <c r="B3734" s="1">
        <v>40631</v>
      </c>
      <c r="C3734" s="2">
        <v>5736.35</v>
      </c>
      <c r="D3734" s="2">
        <v>5686.5</v>
      </c>
      <c r="E3734" s="2">
        <v>5770.35</v>
      </c>
      <c r="F3734" s="2">
        <v>5680.7</v>
      </c>
      <c r="G3734" s="3">
        <f t="shared" si="176"/>
        <v>8.6333465207262261E-3</v>
      </c>
      <c r="H3734" s="2">
        <f t="shared" si="174"/>
        <v>89.650000000000546</v>
      </c>
      <c r="I3734" s="3">
        <f t="shared" si="175"/>
        <v>1.5765409302734644E-2</v>
      </c>
    </row>
    <row r="3735" spans="2:9" x14ac:dyDescent="0.25">
      <c r="B3735" s="1">
        <v>40632</v>
      </c>
      <c r="C3735" s="2">
        <v>5787.65</v>
      </c>
      <c r="D3735" s="2">
        <v>5755.8</v>
      </c>
      <c r="E3735" s="2">
        <v>5803.15</v>
      </c>
      <c r="F3735" s="2">
        <v>5753.9</v>
      </c>
      <c r="G3735" s="3">
        <f t="shared" si="176"/>
        <v>8.9429689610989183E-3</v>
      </c>
      <c r="H3735" s="2">
        <f t="shared" si="174"/>
        <v>49.25</v>
      </c>
      <c r="I3735" s="3">
        <f t="shared" si="175"/>
        <v>8.5565863998054142E-3</v>
      </c>
    </row>
    <row r="3736" spans="2:9" x14ac:dyDescent="0.25">
      <c r="B3736" s="1">
        <v>40633</v>
      </c>
      <c r="C3736" s="2">
        <v>5833.75</v>
      </c>
      <c r="D3736" s="2">
        <v>5803.05</v>
      </c>
      <c r="E3736" s="2">
        <v>5872</v>
      </c>
      <c r="F3736" s="2">
        <v>5778.65</v>
      </c>
      <c r="G3736" s="3">
        <f t="shared" si="176"/>
        <v>7.9652363221687228E-3</v>
      </c>
      <c r="H3736" s="2">
        <f t="shared" si="174"/>
        <v>93.350000000000364</v>
      </c>
      <c r="I3736" s="3">
        <f t="shared" si="175"/>
        <v>1.6086368375251008E-2</v>
      </c>
    </row>
    <row r="3737" spans="2:9" x14ac:dyDescent="0.25">
      <c r="B3737" s="1">
        <v>40634</v>
      </c>
      <c r="C3737" s="2">
        <v>5826.05</v>
      </c>
      <c r="D3737" s="2">
        <v>5835</v>
      </c>
      <c r="E3737" s="2">
        <v>5860.2</v>
      </c>
      <c r="F3737" s="2">
        <v>5810.4</v>
      </c>
      <c r="G3737" s="3">
        <f t="shared" si="176"/>
        <v>-1.3199057210199205E-3</v>
      </c>
      <c r="H3737" s="2">
        <f t="shared" si="174"/>
        <v>49.800000000000182</v>
      </c>
      <c r="I3737" s="3">
        <f t="shared" si="175"/>
        <v>8.5347043701799793E-3</v>
      </c>
    </row>
    <row r="3738" spans="2:9" x14ac:dyDescent="0.25">
      <c r="B3738" s="1">
        <v>40637</v>
      </c>
      <c r="C3738" s="2">
        <v>5908.45</v>
      </c>
      <c r="D3738" s="2">
        <v>5842</v>
      </c>
      <c r="E3738" s="2">
        <v>5918.7</v>
      </c>
      <c r="F3738" s="2">
        <v>5833.2</v>
      </c>
      <c r="G3738" s="3">
        <f t="shared" si="176"/>
        <v>1.4143373297517137E-2</v>
      </c>
      <c r="H3738" s="2">
        <f t="shared" si="174"/>
        <v>85.5</v>
      </c>
      <c r="I3738" s="3">
        <f t="shared" si="175"/>
        <v>1.4635398836015064E-2</v>
      </c>
    </row>
    <row r="3739" spans="2:9" x14ac:dyDescent="0.25">
      <c r="B3739" s="1">
        <v>40638</v>
      </c>
      <c r="C3739" s="2">
        <v>5910.05</v>
      </c>
      <c r="D3739" s="2">
        <v>5923.85</v>
      </c>
      <c r="E3739" s="2">
        <v>5928.65</v>
      </c>
      <c r="F3739" s="2">
        <v>5855.85</v>
      </c>
      <c r="G3739" s="3">
        <f t="shared" si="176"/>
        <v>2.7079860200229788E-4</v>
      </c>
      <c r="H3739" s="2">
        <f t="shared" si="174"/>
        <v>72.799999999999272</v>
      </c>
      <c r="I3739" s="3">
        <f t="shared" si="175"/>
        <v>1.2289305097191736E-2</v>
      </c>
    </row>
    <row r="3740" spans="2:9" x14ac:dyDescent="0.25">
      <c r="B3740" s="1">
        <v>40639</v>
      </c>
      <c r="C3740" s="2">
        <v>5891.75</v>
      </c>
      <c r="D3740" s="2">
        <v>5908</v>
      </c>
      <c r="E3740" s="2">
        <v>5944.45</v>
      </c>
      <c r="F3740" s="2">
        <v>5868.8</v>
      </c>
      <c r="G3740" s="3">
        <f t="shared" si="176"/>
        <v>-3.0964205040566739E-3</v>
      </c>
      <c r="H3740" s="2">
        <f t="shared" si="174"/>
        <v>75.649999999999636</v>
      </c>
      <c r="I3740" s="3">
        <f t="shared" si="175"/>
        <v>1.2804671631685789E-2</v>
      </c>
    </row>
    <row r="3741" spans="2:9" x14ac:dyDescent="0.25">
      <c r="B3741" s="1">
        <v>40640</v>
      </c>
      <c r="C3741" s="2">
        <v>5885.7</v>
      </c>
      <c r="D3741" s="2">
        <v>5888.55</v>
      </c>
      <c r="E3741" s="2">
        <v>5906.1</v>
      </c>
      <c r="F3741" s="2">
        <v>5866.25</v>
      </c>
      <c r="G3741" s="3">
        <f t="shared" si="176"/>
        <v>-1.0268595918021539E-3</v>
      </c>
      <c r="H3741" s="2">
        <f t="shared" si="174"/>
        <v>39.850000000000364</v>
      </c>
      <c r="I3741" s="3">
        <f t="shared" si="175"/>
        <v>6.7673705750991948E-3</v>
      </c>
    </row>
    <row r="3742" spans="2:9" x14ac:dyDescent="0.25">
      <c r="B3742" s="1">
        <v>40641</v>
      </c>
      <c r="C3742" s="2">
        <v>5842</v>
      </c>
      <c r="D3742" s="2">
        <v>5886.75</v>
      </c>
      <c r="E3742" s="2">
        <v>5926.95</v>
      </c>
      <c r="F3742" s="2">
        <v>5822</v>
      </c>
      <c r="G3742" s="3">
        <f t="shared" si="176"/>
        <v>-7.4247753028526819E-3</v>
      </c>
      <c r="H3742" s="2">
        <f t="shared" si="174"/>
        <v>104.94999999999982</v>
      </c>
      <c r="I3742" s="3">
        <f t="shared" si="175"/>
        <v>1.7828173440353305E-2</v>
      </c>
    </row>
    <row r="3743" spans="2:9" x14ac:dyDescent="0.25">
      <c r="B3743" s="1">
        <v>40644</v>
      </c>
      <c r="C3743" s="2">
        <v>5785.7</v>
      </c>
      <c r="D3743" s="2">
        <v>5805.35</v>
      </c>
      <c r="E3743" s="2">
        <v>5830.3</v>
      </c>
      <c r="F3743" s="2">
        <v>5777.9</v>
      </c>
      <c r="G3743" s="3">
        <f t="shared" si="176"/>
        <v>-9.6371105785689748E-3</v>
      </c>
      <c r="H3743" s="2">
        <f t="shared" si="174"/>
        <v>52.400000000000546</v>
      </c>
      <c r="I3743" s="3">
        <f t="shared" si="175"/>
        <v>9.0261569069910591E-3</v>
      </c>
    </row>
    <row r="3744" spans="2:9" x14ac:dyDescent="0.25">
      <c r="B3744" s="1">
        <v>40646</v>
      </c>
      <c r="C3744" s="2">
        <v>5911.5</v>
      </c>
      <c r="D3744" s="2">
        <v>5747.95</v>
      </c>
      <c r="E3744" s="2">
        <v>5923.6</v>
      </c>
      <c r="F3744" s="2">
        <v>5735.55</v>
      </c>
      <c r="G3744" s="3">
        <f t="shared" si="176"/>
        <v>2.1743263563613668E-2</v>
      </c>
      <c r="H3744" s="2">
        <f t="shared" si="174"/>
        <v>188.05000000000018</v>
      </c>
      <c r="I3744" s="3">
        <f t="shared" si="175"/>
        <v>3.2716011795509738E-2</v>
      </c>
    </row>
    <row r="3745" spans="2:9" x14ac:dyDescent="0.25">
      <c r="B3745" s="1">
        <v>40648</v>
      </c>
      <c r="C3745" s="2">
        <v>5824.55</v>
      </c>
      <c r="D3745" s="2">
        <v>5898.75</v>
      </c>
      <c r="E3745" s="2">
        <v>5907.35</v>
      </c>
      <c r="F3745" s="2">
        <v>5806.45</v>
      </c>
      <c r="G3745" s="3">
        <f t="shared" si="176"/>
        <v>-1.4708618793876305E-2</v>
      </c>
      <c r="H3745" s="2">
        <f t="shared" si="174"/>
        <v>100.90000000000055</v>
      </c>
      <c r="I3745" s="3">
        <f t="shared" si="175"/>
        <v>1.7105318923500833E-2</v>
      </c>
    </row>
    <row r="3746" spans="2:9" x14ac:dyDescent="0.25">
      <c r="B3746" s="1">
        <v>40651</v>
      </c>
      <c r="C3746" s="2">
        <v>5729.1</v>
      </c>
      <c r="D3746" s="2">
        <v>5824.35</v>
      </c>
      <c r="E3746" s="2">
        <v>5897.9</v>
      </c>
      <c r="F3746" s="2">
        <v>5722.25</v>
      </c>
      <c r="G3746" s="3">
        <f t="shared" si="176"/>
        <v>-1.6387532084023659E-2</v>
      </c>
      <c r="H3746" s="2">
        <f t="shared" si="174"/>
        <v>175.64999999999964</v>
      </c>
      <c r="I3746" s="3">
        <f t="shared" si="175"/>
        <v>3.0157871693837015E-2</v>
      </c>
    </row>
    <row r="3747" spans="2:9" x14ac:dyDescent="0.25">
      <c r="B3747" s="1">
        <v>40652</v>
      </c>
      <c r="C3747" s="2">
        <v>5740.75</v>
      </c>
      <c r="D3747" s="2">
        <v>5716</v>
      </c>
      <c r="E3747" s="2">
        <v>5762.95</v>
      </c>
      <c r="F3747" s="2">
        <v>5693.25</v>
      </c>
      <c r="G3747" s="3">
        <f t="shared" si="176"/>
        <v>2.0334782077464642E-3</v>
      </c>
      <c r="H3747" s="2">
        <f t="shared" si="174"/>
        <v>69.699999999999818</v>
      </c>
      <c r="I3747" s="3">
        <f t="shared" si="175"/>
        <v>1.2193841847445734E-2</v>
      </c>
    </row>
    <row r="3748" spans="2:9" x14ac:dyDescent="0.25">
      <c r="B3748" s="1">
        <v>40653</v>
      </c>
      <c r="C3748" s="2">
        <v>5851.65</v>
      </c>
      <c r="D3748" s="2">
        <v>5786.05</v>
      </c>
      <c r="E3748" s="2">
        <v>5857.35</v>
      </c>
      <c r="F3748" s="2">
        <v>5759.65</v>
      </c>
      <c r="G3748" s="3">
        <f t="shared" si="176"/>
        <v>1.9318033358010744E-2</v>
      </c>
      <c r="H3748" s="2">
        <f t="shared" si="174"/>
        <v>97.700000000000728</v>
      </c>
      <c r="I3748" s="3">
        <f t="shared" si="175"/>
        <v>1.6885439980643225E-2</v>
      </c>
    </row>
    <row r="3749" spans="2:9" x14ac:dyDescent="0.25">
      <c r="B3749" s="1">
        <v>40654</v>
      </c>
      <c r="C3749" s="2">
        <v>5884.7</v>
      </c>
      <c r="D3749" s="2">
        <v>5882.85</v>
      </c>
      <c r="E3749" s="2">
        <v>5912.9</v>
      </c>
      <c r="F3749" s="2">
        <v>5864.35</v>
      </c>
      <c r="G3749" s="3">
        <f t="shared" si="176"/>
        <v>5.6479796296771134E-3</v>
      </c>
      <c r="H3749" s="2">
        <f t="shared" si="174"/>
        <v>48.549999999999272</v>
      </c>
      <c r="I3749" s="3">
        <f t="shared" si="175"/>
        <v>8.2528026381769506E-3</v>
      </c>
    </row>
    <row r="3750" spans="2:9" x14ac:dyDescent="0.25">
      <c r="B3750" s="1">
        <v>40658</v>
      </c>
      <c r="C3750" s="2">
        <v>5874.5</v>
      </c>
      <c r="D3750" s="2">
        <v>5859.6</v>
      </c>
      <c r="E3750" s="2">
        <v>5906.6</v>
      </c>
      <c r="F3750" s="2">
        <v>5857</v>
      </c>
      <c r="G3750" s="3">
        <f t="shared" si="176"/>
        <v>-1.7333084099444562E-3</v>
      </c>
      <c r="H3750" s="2">
        <f t="shared" si="174"/>
        <v>49.600000000000364</v>
      </c>
      <c r="I3750" s="3">
        <f t="shared" si="175"/>
        <v>8.4647416205884968E-3</v>
      </c>
    </row>
    <row r="3751" spans="2:9" x14ac:dyDescent="0.25">
      <c r="B3751" s="1">
        <v>40659</v>
      </c>
      <c r="C3751" s="2">
        <v>5868.4</v>
      </c>
      <c r="D3751" s="2">
        <v>5876.85</v>
      </c>
      <c r="E3751" s="2">
        <v>5893.2</v>
      </c>
      <c r="F3751" s="2">
        <v>5791.55</v>
      </c>
      <c r="G3751" s="3">
        <f t="shared" si="176"/>
        <v>-1.0383862456380122E-3</v>
      </c>
      <c r="H3751" s="2">
        <f t="shared" si="174"/>
        <v>101.64999999999964</v>
      </c>
      <c r="I3751" s="3">
        <f t="shared" si="175"/>
        <v>1.7296681045117644E-2</v>
      </c>
    </row>
    <row r="3752" spans="2:9" x14ac:dyDescent="0.25">
      <c r="B3752" s="1">
        <v>40660</v>
      </c>
      <c r="C3752" s="2">
        <v>5833.9</v>
      </c>
      <c r="D3752" s="2">
        <v>5884.2</v>
      </c>
      <c r="E3752" s="2">
        <v>5892.35</v>
      </c>
      <c r="F3752" s="2">
        <v>5819.95</v>
      </c>
      <c r="G3752" s="3">
        <f t="shared" si="176"/>
        <v>-5.878944857201307E-3</v>
      </c>
      <c r="H3752" s="2">
        <f t="shared" si="174"/>
        <v>72.400000000000546</v>
      </c>
      <c r="I3752" s="3">
        <f t="shared" si="175"/>
        <v>1.2304136501138735E-2</v>
      </c>
    </row>
    <row r="3753" spans="2:9" x14ac:dyDescent="0.25">
      <c r="B3753" s="1">
        <v>40661</v>
      </c>
      <c r="C3753" s="2">
        <v>5785.45</v>
      </c>
      <c r="D3753" s="2">
        <v>5851.35</v>
      </c>
      <c r="E3753" s="2">
        <v>5856.4</v>
      </c>
      <c r="F3753" s="2">
        <v>5776.95</v>
      </c>
      <c r="G3753" s="3">
        <f t="shared" si="176"/>
        <v>-8.3049075232691782E-3</v>
      </c>
      <c r="H3753" s="2">
        <f t="shared" si="174"/>
        <v>79.449999999999818</v>
      </c>
      <c r="I3753" s="3">
        <f t="shared" si="175"/>
        <v>1.3578063182000702E-2</v>
      </c>
    </row>
    <row r="3754" spans="2:9" x14ac:dyDescent="0.25">
      <c r="B3754" s="1">
        <v>40662</v>
      </c>
      <c r="C3754" s="2">
        <v>5749.5</v>
      </c>
      <c r="D3754" s="2">
        <v>5782.5</v>
      </c>
      <c r="E3754" s="2">
        <v>5804.3</v>
      </c>
      <c r="F3754" s="2">
        <v>5706.05</v>
      </c>
      <c r="G3754" s="3">
        <f t="shared" si="176"/>
        <v>-6.2138640900880615E-3</v>
      </c>
      <c r="H3754" s="2">
        <f t="shared" si="174"/>
        <v>98.25</v>
      </c>
      <c r="I3754" s="3">
        <f t="shared" si="175"/>
        <v>1.6990920881971464E-2</v>
      </c>
    </row>
    <row r="3755" spans="2:9" x14ac:dyDescent="0.25">
      <c r="B3755" s="1">
        <v>40665</v>
      </c>
      <c r="C3755" s="2">
        <v>5701.3</v>
      </c>
      <c r="D3755" s="2">
        <v>5766.9</v>
      </c>
      <c r="E3755" s="2">
        <v>5775.25</v>
      </c>
      <c r="F3755" s="2">
        <v>5687.7</v>
      </c>
      <c r="G3755" s="3">
        <f t="shared" si="176"/>
        <v>-8.3833376815375393E-3</v>
      </c>
      <c r="H3755" s="2">
        <f t="shared" si="174"/>
        <v>87.550000000000182</v>
      </c>
      <c r="I3755" s="3">
        <f t="shared" si="175"/>
        <v>1.5181466645858293E-2</v>
      </c>
    </row>
    <row r="3756" spans="2:9" x14ac:dyDescent="0.25">
      <c r="B3756" s="1">
        <v>40666</v>
      </c>
      <c r="C3756" s="2">
        <v>5565.25</v>
      </c>
      <c r="D3756" s="2">
        <v>5689.7</v>
      </c>
      <c r="E3756" s="2">
        <v>5710.8</v>
      </c>
      <c r="F3756" s="2">
        <v>5554.85</v>
      </c>
      <c r="G3756" s="3">
        <f t="shared" si="176"/>
        <v>-2.3862978618911512E-2</v>
      </c>
      <c r="H3756" s="2">
        <f t="shared" si="174"/>
        <v>155.94999999999982</v>
      </c>
      <c r="I3756" s="3">
        <f t="shared" si="175"/>
        <v>2.7409177988294606E-2</v>
      </c>
    </row>
    <row r="3757" spans="2:9" x14ac:dyDescent="0.25">
      <c r="B3757" s="1">
        <v>40667</v>
      </c>
      <c r="C3757" s="2">
        <v>5537.15</v>
      </c>
      <c r="D3757" s="2">
        <v>5567.7</v>
      </c>
      <c r="E3757" s="2">
        <v>5578.8</v>
      </c>
      <c r="F3757" s="2">
        <v>5503</v>
      </c>
      <c r="G3757" s="3">
        <f t="shared" si="176"/>
        <v>-5.049189164907264E-3</v>
      </c>
      <c r="H3757" s="2">
        <f t="shared" si="174"/>
        <v>75.800000000000182</v>
      </c>
      <c r="I3757" s="3">
        <f t="shared" si="175"/>
        <v>1.3614239272949366E-2</v>
      </c>
    </row>
    <row r="3758" spans="2:9" x14ac:dyDescent="0.25">
      <c r="B3758" s="1">
        <v>40668</v>
      </c>
      <c r="C3758" s="2">
        <v>5459.85</v>
      </c>
      <c r="D3758" s="2">
        <v>5531.6</v>
      </c>
      <c r="E3758" s="2">
        <v>5560.3</v>
      </c>
      <c r="F3758" s="2">
        <v>5443.65</v>
      </c>
      <c r="G3758" s="3">
        <f t="shared" si="176"/>
        <v>-1.3960250309274502E-2</v>
      </c>
      <c r="H3758" s="2">
        <f t="shared" si="174"/>
        <v>116.65000000000055</v>
      </c>
      <c r="I3758" s="3">
        <f t="shared" si="175"/>
        <v>2.1087931159158389E-2</v>
      </c>
    </row>
    <row r="3759" spans="2:9" x14ac:dyDescent="0.25">
      <c r="B3759" s="1">
        <v>40669</v>
      </c>
      <c r="C3759" s="2">
        <v>5551.45</v>
      </c>
      <c r="D3759" s="2">
        <v>5477.65</v>
      </c>
      <c r="E3759" s="2">
        <v>5564.4</v>
      </c>
      <c r="F3759" s="2">
        <v>5472.45</v>
      </c>
      <c r="G3759" s="3">
        <f t="shared" si="176"/>
        <v>1.6777017683635931E-2</v>
      </c>
      <c r="H3759" s="2">
        <f t="shared" si="174"/>
        <v>91.949999999999818</v>
      </c>
      <c r="I3759" s="3">
        <f t="shared" si="175"/>
        <v>1.6786395625861424E-2</v>
      </c>
    </row>
    <row r="3760" spans="2:9" x14ac:dyDescent="0.25">
      <c r="B3760" s="1">
        <v>40672</v>
      </c>
      <c r="C3760" s="2">
        <v>5551.1</v>
      </c>
      <c r="D3760" s="2">
        <v>5575.2</v>
      </c>
      <c r="E3760" s="2">
        <v>5586.05</v>
      </c>
      <c r="F3760" s="2">
        <v>5502.4</v>
      </c>
      <c r="G3760" s="3">
        <f t="shared" si="176"/>
        <v>-6.30465914309708E-5</v>
      </c>
      <c r="H3760" s="2">
        <f t="shared" si="174"/>
        <v>83.650000000000546</v>
      </c>
      <c r="I3760" s="3">
        <f t="shared" si="175"/>
        <v>1.5003946046778689E-2</v>
      </c>
    </row>
    <row r="3761" spans="2:9" x14ac:dyDescent="0.25">
      <c r="B3761" s="1">
        <v>40673</v>
      </c>
      <c r="C3761" s="2">
        <v>5541.25</v>
      </c>
      <c r="D3761" s="2">
        <v>5555.55</v>
      </c>
      <c r="E3761" s="2">
        <v>5592.9</v>
      </c>
      <c r="F3761" s="2">
        <v>5514.55</v>
      </c>
      <c r="G3761" s="3">
        <f t="shared" si="176"/>
        <v>-1.7744230873161237E-3</v>
      </c>
      <c r="H3761" s="2">
        <f t="shared" si="174"/>
        <v>78.349999999999454</v>
      </c>
      <c r="I3761" s="3">
        <f t="shared" si="175"/>
        <v>1.4103014103014004E-2</v>
      </c>
    </row>
    <row r="3762" spans="2:9" x14ac:dyDescent="0.25">
      <c r="B3762" s="1">
        <v>40674</v>
      </c>
      <c r="C3762" s="2">
        <v>5565.05</v>
      </c>
      <c r="D3762" s="2">
        <v>5547.2</v>
      </c>
      <c r="E3762" s="2">
        <v>5574.7</v>
      </c>
      <c r="F3762" s="2">
        <v>5525</v>
      </c>
      <c r="G3762" s="3">
        <f t="shared" si="176"/>
        <v>4.2950597789308542E-3</v>
      </c>
      <c r="H3762" s="2">
        <f t="shared" si="174"/>
        <v>49.699999999999818</v>
      </c>
      <c r="I3762" s="3">
        <f t="shared" si="175"/>
        <v>8.9594750504758836E-3</v>
      </c>
    </row>
    <row r="3763" spans="2:9" x14ac:dyDescent="0.25">
      <c r="B3763" s="1">
        <v>40675</v>
      </c>
      <c r="C3763" s="2">
        <v>5486.15</v>
      </c>
      <c r="D3763" s="2">
        <v>5537.8</v>
      </c>
      <c r="E3763" s="2">
        <v>5572.5</v>
      </c>
      <c r="F3763" s="2">
        <v>5476.3</v>
      </c>
      <c r="G3763" s="3">
        <f t="shared" si="176"/>
        <v>-1.4177770190744066E-2</v>
      </c>
      <c r="H3763" s="2">
        <f t="shared" si="174"/>
        <v>96.199999999999818</v>
      </c>
      <c r="I3763" s="3">
        <f t="shared" si="175"/>
        <v>1.7371519375925425E-2</v>
      </c>
    </row>
    <row r="3764" spans="2:9" x14ac:dyDescent="0.25">
      <c r="B3764" s="1">
        <v>40676</v>
      </c>
      <c r="C3764" s="2">
        <v>5544.75</v>
      </c>
      <c r="D3764" s="2">
        <v>5492.35</v>
      </c>
      <c r="E3764" s="2">
        <v>5605</v>
      </c>
      <c r="F3764" s="2">
        <v>5472.15</v>
      </c>
      <c r="G3764" s="3">
        <f t="shared" si="176"/>
        <v>1.0681443270782021E-2</v>
      </c>
      <c r="H3764" s="2">
        <f t="shared" si="174"/>
        <v>132.85000000000036</v>
      </c>
      <c r="I3764" s="3">
        <f t="shared" si="175"/>
        <v>2.418818902655518E-2</v>
      </c>
    </row>
    <row r="3765" spans="2:9" x14ac:dyDescent="0.25">
      <c r="B3765" s="1">
        <v>40679</v>
      </c>
      <c r="C3765" s="2">
        <v>5499</v>
      </c>
      <c r="D3765" s="2">
        <v>5541.7</v>
      </c>
      <c r="E3765" s="2">
        <v>5541.8</v>
      </c>
      <c r="F3765" s="2">
        <v>5487.65</v>
      </c>
      <c r="G3765" s="3">
        <f t="shared" si="176"/>
        <v>-8.2510482889219805E-3</v>
      </c>
      <c r="H3765" s="2">
        <f t="shared" si="174"/>
        <v>54.150000000000546</v>
      </c>
      <c r="I3765" s="3">
        <f t="shared" si="175"/>
        <v>9.7713697962720017E-3</v>
      </c>
    </row>
    <row r="3766" spans="2:9" x14ac:dyDescent="0.25">
      <c r="B3766" s="1">
        <v>40680</v>
      </c>
      <c r="C3766" s="2">
        <v>5438.95</v>
      </c>
      <c r="D3766" s="2">
        <v>5496.1</v>
      </c>
      <c r="E3766" s="2">
        <v>5523.85</v>
      </c>
      <c r="F3766" s="2">
        <v>5421.05</v>
      </c>
      <c r="G3766" s="3">
        <f t="shared" si="176"/>
        <v>-1.0920167303146044E-2</v>
      </c>
      <c r="H3766" s="2">
        <f t="shared" si="174"/>
        <v>102.80000000000018</v>
      </c>
      <c r="I3766" s="3">
        <f t="shared" si="175"/>
        <v>1.8704172049271332E-2</v>
      </c>
    </row>
    <row r="3767" spans="2:9" x14ac:dyDescent="0.25">
      <c r="B3767" s="1">
        <v>40681</v>
      </c>
      <c r="C3767" s="2">
        <v>5420.6</v>
      </c>
      <c r="D3767" s="2">
        <v>5448.2</v>
      </c>
      <c r="E3767" s="2">
        <v>5460.5</v>
      </c>
      <c r="F3767" s="2">
        <v>5401.25</v>
      </c>
      <c r="G3767" s="3">
        <f t="shared" si="176"/>
        <v>-3.3738129602219891E-3</v>
      </c>
      <c r="H3767" s="2">
        <f t="shared" si="174"/>
        <v>59.25</v>
      </c>
      <c r="I3767" s="3">
        <f t="shared" si="175"/>
        <v>1.0875151426159099E-2</v>
      </c>
    </row>
    <row r="3768" spans="2:9" x14ac:dyDescent="0.25">
      <c r="B3768" s="1">
        <v>40682</v>
      </c>
      <c r="C3768" s="2">
        <v>5428.1</v>
      </c>
      <c r="D3768" s="2">
        <v>5448.15</v>
      </c>
      <c r="E3768" s="2">
        <v>5452.6</v>
      </c>
      <c r="F3768" s="2">
        <v>5411.25</v>
      </c>
      <c r="G3768" s="3">
        <f t="shared" si="176"/>
        <v>1.3836106704054885E-3</v>
      </c>
      <c r="H3768" s="2">
        <f t="shared" si="174"/>
        <v>41.350000000000364</v>
      </c>
      <c r="I3768" s="3">
        <f t="shared" si="175"/>
        <v>7.5897322944486418E-3</v>
      </c>
    </row>
    <row r="3769" spans="2:9" x14ac:dyDescent="0.25">
      <c r="B3769" s="1">
        <v>40683</v>
      </c>
      <c r="C3769" s="2">
        <v>5486.35</v>
      </c>
      <c r="D3769" s="2">
        <v>5450.65</v>
      </c>
      <c r="E3769" s="2">
        <v>5517.55</v>
      </c>
      <c r="F3769" s="2">
        <v>5432.75</v>
      </c>
      <c r="G3769" s="3">
        <f t="shared" si="176"/>
        <v>1.0731195077467337E-2</v>
      </c>
      <c r="H3769" s="2">
        <f t="shared" si="174"/>
        <v>84.800000000000182</v>
      </c>
      <c r="I3769" s="3">
        <f t="shared" si="175"/>
        <v>1.555777751277374E-2</v>
      </c>
    </row>
    <row r="3770" spans="2:9" x14ac:dyDescent="0.25">
      <c r="B3770" s="1">
        <v>40686</v>
      </c>
      <c r="C3770" s="2">
        <v>5386.55</v>
      </c>
      <c r="D3770" s="2">
        <v>5456.7</v>
      </c>
      <c r="E3770" s="2">
        <v>5456.7</v>
      </c>
      <c r="F3770" s="2">
        <v>5373</v>
      </c>
      <c r="G3770" s="3">
        <f t="shared" si="176"/>
        <v>-1.8190600308037208E-2</v>
      </c>
      <c r="H3770" s="2">
        <f t="shared" si="174"/>
        <v>83.699999999999818</v>
      </c>
      <c r="I3770" s="3">
        <f t="shared" si="175"/>
        <v>1.5338941118258256E-2</v>
      </c>
    </row>
    <row r="3771" spans="2:9" x14ac:dyDescent="0.25">
      <c r="B3771" s="1">
        <v>40687</v>
      </c>
      <c r="C3771" s="2">
        <v>5394.85</v>
      </c>
      <c r="D3771" s="2">
        <v>5385.1</v>
      </c>
      <c r="E3771" s="2">
        <v>5422.6</v>
      </c>
      <c r="F3771" s="2">
        <v>5367.45</v>
      </c>
      <c r="G3771" s="3">
        <f t="shared" si="176"/>
        <v>1.540874957069116E-3</v>
      </c>
      <c r="H3771" s="2">
        <f t="shared" si="174"/>
        <v>55.150000000000546</v>
      </c>
      <c r="I3771" s="3">
        <f t="shared" si="175"/>
        <v>1.0241221147239707E-2</v>
      </c>
    </row>
    <row r="3772" spans="2:9" x14ac:dyDescent="0.25">
      <c r="B3772" s="1">
        <v>40688</v>
      </c>
      <c r="C3772" s="2">
        <v>5348.95</v>
      </c>
      <c r="D3772" s="2">
        <v>5389.1</v>
      </c>
      <c r="E3772" s="2">
        <v>5389.1</v>
      </c>
      <c r="F3772" s="2">
        <v>5328.7</v>
      </c>
      <c r="G3772" s="3">
        <f t="shared" si="176"/>
        <v>-8.5081142200432724E-3</v>
      </c>
      <c r="H3772" s="2">
        <f t="shared" si="174"/>
        <v>60.400000000000546</v>
      </c>
      <c r="I3772" s="3">
        <f t="shared" si="175"/>
        <v>1.1207808353899638E-2</v>
      </c>
    </row>
    <row r="3773" spans="2:9" x14ac:dyDescent="0.25">
      <c r="B3773" s="1">
        <v>40689</v>
      </c>
      <c r="C3773" s="2">
        <v>5412.35</v>
      </c>
      <c r="D3773" s="2">
        <v>5372.75</v>
      </c>
      <c r="E3773" s="2">
        <v>5422.2</v>
      </c>
      <c r="F3773" s="2">
        <v>5356.35</v>
      </c>
      <c r="G3773" s="3">
        <f t="shared" si="176"/>
        <v>1.1852793538918993E-2</v>
      </c>
      <c r="H3773" s="2">
        <f t="shared" si="174"/>
        <v>65.849999999999454</v>
      </c>
      <c r="I3773" s="3">
        <f t="shared" si="175"/>
        <v>1.2256293332092402E-2</v>
      </c>
    </row>
    <row r="3774" spans="2:9" x14ac:dyDescent="0.25">
      <c r="B3774" s="1">
        <v>40690</v>
      </c>
      <c r="C3774" s="2">
        <v>5476.1</v>
      </c>
      <c r="D3774" s="2">
        <v>5413.7</v>
      </c>
      <c r="E3774" s="2">
        <v>5485.8</v>
      </c>
      <c r="F3774" s="2">
        <v>5413.6</v>
      </c>
      <c r="G3774" s="3">
        <f t="shared" si="176"/>
        <v>1.1778617421267956E-2</v>
      </c>
      <c r="H3774" s="2">
        <f t="shared" si="174"/>
        <v>72.199999999999818</v>
      </c>
      <c r="I3774" s="3">
        <f t="shared" si="175"/>
        <v>1.3336535086909105E-2</v>
      </c>
    </row>
    <row r="3775" spans="2:9" x14ac:dyDescent="0.25">
      <c r="B3775" s="1">
        <v>40693</v>
      </c>
      <c r="C3775" s="2">
        <v>5473.1</v>
      </c>
      <c r="D3775" s="2">
        <v>5493.75</v>
      </c>
      <c r="E3775" s="2">
        <v>5509.3</v>
      </c>
      <c r="F3775" s="2">
        <v>5458.6</v>
      </c>
      <c r="G3775" s="3">
        <f t="shared" si="176"/>
        <v>-5.4783513814571361E-4</v>
      </c>
      <c r="H3775" s="2">
        <f t="shared" si="174"/>
        <v>50.699999999999818</v>
      </c>
      <c r="I3775" s="3">
        <f t="shared" si="175"/>
        <v>9.2286689419794898E-3</v>
      </c>
    </row>
    <row r="3776" spans="2:9" x14ac:dyDescent="0.25">
      <c r="B3776" s="1">
        <v>40694</v>
      </c>
      <c r="C3776" s="2">
        <v>5560.15</v>
      </c>
      <c r="D3776" s="2">
        <v>5492</v>
      </c>
      <c r="E3776" s="2">
        <v>5571.6</v>
      </c>
      <c r="F3776" s="2">
        <v>5489.7</v>
      </c>
      <c r="G3776" s="3">
        <f t="shared" si="176"/>
        <v>1.5905062944217896E-2</v>
      </c>
      <c r="H3776" s="2">
        <f t="shared" si="174"/>
        <v>81.900000000000546</v>
      </c>
      <c r="I3776" s="3">
        <f t="shared" si="175"/>
        <v>1.4912600145666524E-2</v>
      </c>
    </row>
    <row r="3777" spans="2:9" x14ac:dyDescent="0.25">
      <c r="B3777" s="1">
        <v>40695</v>
      </c>
      <c r="C3777" s="2">
        <v>5592</v>
      </c>
      <c r="D3777" s="2">
        <v>5561.05</v>
      </c>
      <c r="E3777" s="2">
        <v>5597.35</v>
      </c>
      <c r="F3777" s="2">
        <v>5559.45</v>
      </c>
      <c r="G3777" s="3">
        <f t="shared" si="176"/>
        <v>5.7282627267249975E-3</v>
      </c>
      <c r="H3777" s="2">
        <f t="shared" si="174"/>
        <v>37.900000000000546</v>
      </c>
      <c r="I3777" s="3">
        <f t="shared" si="175"/>
        <v>6.815259708148739E-3</v>
      </c>
    </row>
    <row r="3778" spans="2:9" x14ac:dyDescent="0.25">
      <c r="B3778" s="1">
        <v>40696</v>
      </c>
      <c r="C3778" s="2">
        <v>5550.35</v>
      </c>
      <c r="D3778" s="2">
        <v>5529.9</v>
      </c>
      <c r="E3778" s="2">
        <v>5568.2</v>
      </c>
      <c r="F3778" s="2">
        <v>5521.95</v>
      </c>
      <c r="G3778" s="3">
        <f t="shared" si="176"/>
        <v>-7.4481402002860575E-3</v>
      </c>
      <c r="H3778" s="2">
        <f t="shared" si="174"/>
        <v>46.25</v>
      </c>
      <c r="I3778" s="3">
        <f t="shared" si="175"/>
        <v>8.3636232119929845E-3</v>
      </c>
    </row>
    <row r="3779" spans="2:9" x14ac:dyDescent="0.25">
      <c r="B3779" s="1">
        <v>40697</v>
      </c>
      <c r="C3779" s="2">
        <v>5516.75</v>
      </c>
      <c r="D3779" s="2">
        <v>5565.7</v>
      </c>
      <c r="E3779" s="2">
        <v>5604.95</v>
      </c>
      <c r="F3779" s="2">
        <v>5507.2</v>
      </c>
      <c r="G3779" s="3">
        <f t="shared" si="176"/>
        <v>-6.0536722909366736E-3</v>
      </c>
      <c r="H3779" s="2">
        <f t="shared" si="174"/>
        <v>97.75</v>
      </c>
      <c r="I3779" s="3">
        <f t="shared" si="175"/>
        <v>1.7562930089656287E-2</v>
      </c>
    </row>
    <row r="3780" spans="2:9" x14ac:dyDescent="0.25">
      <c r="B3780" s="1">
        <v>40700</v>
      </c>
      <c r="C3780" s="2">
        <v>5532.05</v>
      </c>
      <c r="D3780" s="2">
        <v>5504.3</v>
      </c>
      <c r="E3780" s="2">
        <v>5542.65</v>
      </c>
      <c r="F3780" s="2">
        <v>5479.85</v>
      </c>
      <c r="G3780" s="3">
        <f t="shared" si="176"/>
        <v>2.7733720034441856E-3</v>
      </c>
      <c r="H3780" s="2">
        <f t="shared" si="174"/>
        <v>62.799999999999272</v>
      </c>
      <c r="I3780" s="3">
        <f t="shared" si="175"/>
        <v>1.1409261849826366E-2</v>
      </c>
    </row>
    <row r="3781" spans="2:9" x14ac:dyDescent="0.25">
      <c r="B3781" s="1">
        <v>40701</v>
      </c>
      <c r="C3781" s="2">
        <v>5556.15</v>
      </c>
      <c r="D3781" s="2">
        <v>5509.15</v>
      </c>
      <c r="E3781" s="2">
        <v>5570.1</v>
      </c>
      <c r="F3781" s="2">
        <v>5507.8</v>
      </c>
      <c r="G3781" s="3">
        <f t="shared" si="176"/>
        <v>4.3564320640629983E-3</v>
      </c>
      <c r="H3781" s="2">
        <f t="shared" ref="H3781:H3844" si="177">E3781-F3781</f>
        <v>62.300000000000182</v>
      </c>
      <c r="I3781" s="3">
        <f t="shared" si="175"/>
        <v>1.1308459562727496E-2</v>
      </c>
    </row>
    <row r="3782" spans="2:9" x14ac:dyDescent="0.25">
      <c r="B3782" s="1">
        <v>40702</v>
      </c>
      <c r="C3782" s="2">
        <v>5526.85</v>
      </c>
      <c r="D3782" s="2">
        <v>5535.25</v>
      </c>
      <c r="E3782" s="2">
        <v>5556.6</v>
      </c>
      <c r="F3782" s="2">
        <v>5514.9</v>
      </c>
      <c r="G3782" s="3">
        <f t="shared" si="176"/>
        <v>-5.2734357423754874E-3</v>
      </c>
      <c r="H3782" s="2">
        <f t="shared" si="177"/>
        <v>41.700000000000728</v>
      </c>
      <c r="I3782" s="3">
        <f t="shared" ref="I3782:I3845" si="178">H3782/D3782</f>
        <v>7.5335350706834791E-3</v>
      </c>
    </row>
    <row r="3783" spans="2:9" x14ac:dyDescent="0.25">
      <c r="B3783" s="1">
        <v>40703</v>
      </c>
      <c r="C3783" s="2">
        <v>5521.05</v>
      </c>
      <c r="D3783" s="2">
        <v>5523.55</v>
      </c>
      <c r="E3783" s="2">
        <v>5540.1</v>
      </c>
      <c r="F3783" s="2">
        <v>5502.05</v>
      </c>
      <c r="G3783" s="3">
        <f t="shared" ref="G3783:G3846" si="179">C3783/C3782-1</f>
        <v>-1.0494223653618739E-3</v>
      </c>
      <c r="H3783" s="2">
        <f t="shared" si="177"/>
        <v>38.050000000000182</v>
      </c>
      <c r="I3783" s="3">
        <f t="shared" si="178"/>
        <v>6.8886857184238728E-3</v>
      </c>
    </row>
    <row r="3784" spans="2:9" x14ac:dyDescent="0.25">
      <c r="B3784" s="1">
        <v>40704</v>
      </c>
      <c r="C3784" s="2">
        <v>5485.8</v>
      </c>
      <c r="D3784" s="2">
        <v>5518.05</v>
      </c>
      <c r="E3784" s="2">
        <v>5521.45</v>
      </c>
      <c r="F3784" s="2">
        <v>5457.45</v>
      </c>
      <c r="G3784" s="3">
        <f t="shared" si="179"/>
        <v>-6.3846550927812995E-3</v>
      </c>
      <c r="H3784" s="2">
        <f t="shared" si="177"/>
        <v>64</v>
      </c>
      <c r="I3784" s="3">
        <f t="shared" si="178"/>
        <v>1.1598300124138056E-2</v>
      </c>
    </row>
    <row r="3785" spans="2:9" x14ac:dyDescent="0.25">
      <c r="B3785" s="1">
        <v>40707</v>
      </c>
      <c r="C3785" s="2">
        <v>5482.8</v>
      </c>
      <c r="D3785" s="2">
        <v>5469.85</v>
      </c>
      <c r="E3785" s="2">
        <v>5496.7</v>
      </c>
      <c r="F3785" s="2">
        <v>5436.95</v>
      </c>
      <c r="G3785" s="3">
        <f t="shared" si="179"/>
        <v>-5.4686645521162536E-4</v>
      </c>
      <c r="H3785" s="2">
        <f t="shared" si="177"/>
        <v>59.75</v>
      </c>
      <c r="I3785" s="3">
        <f t="shared" si="178"/>
        <v>1.0923517098275088E-2</v>
      </c>
    </row>
    <row r="3786" spans="2:9" x14ac:dyDescent="0.25">
      <c r="B3786" s="1">
        <v>40708</v>
      </c>
      <c r="C3786" s="2">
        <v>5500.5</v>
      </c>
      <c r="D3786" s="2">
        <v>5485.6</v>
      </c>
      <c r="E3786" s="2">
        <v>5520.15</v>
      </c>
      <c r="F3786" s="2">
        <v>5484.2</v>
      </c>
      <c r="G3786" s="3">
        <f t="shared" si="179"/>
        <v>3.228277522433709E-3</v>
      </c>
      <c r="H3786" s="2">
        <f t="shared" si="177"/>
        <v>35.949999999999818</v>
      </c>
      <c r="I3786" s="3">
        <f t="shared" si="178"/>
        <v>6.5535219483738912E-3</v>
      </c>
    </row>
    <row r="3787" spans="2:9" x14ac:dyDescent="0.25">
      <c r="B3787" s="1">
        <v>40709</v>
      </c>
      <c r="C3787" s="2">
        <v>5447.5</v>
      </c>
      <c r="D3787" s="2">
        <v>5494.45</v>
      </c>
      <c r="E3787" s="2">
        <v>5499.35</v>
      </c>
      <c r="F3787" s="2">
        <v>5438.95</v>
      </c>
      <c r="G3787" s="3">
        <f t="shared" si="179"/>
        <v>-9.6354876829378711E-3</v>
      </c>
      <c r="H3787" s="2">
        <f t="shared" si="177"/>
        <v>60.400000000000546</v>
      </c>
      <c r="I3787" s="3">
        <f t="shared" si="178"/>
        <v>1.0992911028401487E-2</v>
      </c>
    </row>
    <row r="3788" spans="2:9" x14ac:dyDescent="0.25">
      <c r="B3788" s="1">
        <v>40710</v>
      </c>
      <c r="C3788" s="2">
        <v>5396.75</v>
      </c>
      <c r="D3788" s="2">
        <v>5419.65</v>
      </c>
      <c r="E3788" s="2">
        <v>5447.5</v>
      </c>
      <c r="F3788" s="2">
        <v>5389.8</v>
      </c>
      <c r="G3788" s="3">
        <f t="shared" si="179"/>
        <v>-9.3162000917852428E-3</v>
      </c>
      <c r="H3788" s="2">
        <f t="shared" si="177"/>
        <v>57.699999999999818</v>
      </c>
      <c r="I3788" s="3">
        <f t="shared" si="178"/>
        <v>1.0646443958558176E-2</v>
      </c>
    </row>
    <row r="3789" spans="2:9" x14ac:dyDescent="0.25">
      <c r="B3789" s="1">
        <v>40711</v>
      </c>
      <c r="C3789" s="2">
        <v>5366.4</v>
      </c>
      <c r="D3789" s="2">
        <v>5412.5</v>
      </c>
      <c r="E3789" s="2">
        <v>5421.15</v>
      </c>
      <c r="F3789" s="2">
        <v>5355.85</v>
      </c>
      <c r="G3789" s="3">
        <f t="shared" si="179"/>
        <v>-5.6237550377542522E-3</v>
      </c>
      <c r="H3789" s="2">
        <f t="shared" si="177"/>
        <v>65.299999999999272</v>
      </c>
      <c r="I3789" s="3">
        <f t="shared" si="178"/>
        <v>1.2064665127020651E-2</v>
      </c>
    </row>
    <row r="3790" spans="2:9" x14ac:dyDescent="0.25">
      <c r="B3790" s="1">
        <v>40714</v>
      </c>
      <c r="C3790" s="2">
        <v>5257.9</v>
      </c>
      <c r="D3790" s="2">
        <v>5372.2</v>
      </c>
      <c r="E3790" s="2">
        <v>5377.4</v>
      </c>
      <c r="F3790" s="2">
        <v>5195.8999999999996</v>
      </c>
      <c r="G3790" s="3">
        <f t="shared" si="179"/>
        <v>-2.0218395945140077E-2</v>
      </c>
      <c r="H3790" s="2">
        <f t="shared" si="177"/>
        <v>181.5</v>
      </c>
      <c r="I3790" s="3">
        <f t="shared" si="178"/>
        <v>3.3785041509995908E-2</v>
      </c>
    </row>
    <row r="3791" spans="2:9" x14ac:dyDescent="0.25">
      <c r="B3791" s="1">
        <v>40715</v>
      </c>
      <c r="C3791" s="2">
        <v>5275.85</v>
      </c>
      <c r="D3791" s="2">
        <v>5280.8</v>
      </c>
      <c r="E3791" s="2">
        <v>5322.45</v>
      </c>
      <c r="F3791" s="2">
        <v>5257</v>
      </c>
      <c r="G3791" s="3">
        <f t="shared" si="179"/>
        <v>3.4139104965862366E-3</v>
      </c>
      <c r="H3791" s="2">
        <f t="shared" si="177"/>
        <v>65.449999999999818</v>
      </c>
      <c r="I3791" s="3">
        <f t="shared" si="178"/>
        <v>1.2393955461293708E-2</v>
      </c>
    </row>
    <row r="3792" spans="2:9" x14ac:dyDescent="0.25">
      <c r="B3792" s="1">
        <v>40716</v>
      </c>
      <c r="C3792" s="2">
        <v>5278.3</v>
      </c>
      <c r="D3792" s="2">
        <v>5304.65</v>
      </c>
      <c r="E3792" s="2">
        <v>5310.5</v>
      </c>
      <c r="F3792" s="2">
        <v>5262.5</v>
      </c>
      <c r="G3792" s="3">
        <f t="shared" si="179"/>
        <v>4.6438014727478993E-4</v>
      </c>
      <c r="H3792" s="2">
        <f t="shared" si="177"/>
        <v>48</v>
      </c>
      <c r="I3792" s="3">
        <f t="shared" si="178"/>
        <v>9.0486648506499026E-3</v>
      </c>
    </row>
    <row r="3793" spans="2:9" x14ac:dyDescent="0.25">
      <c r="B3793" s="1">
        <v>40717</v>
      </c>
      <c r="C3793" s="2">
        <v>5320</v>
      </c>
      <c r="D3793" s="2">
        <v>5269.1</v>
      </c>
      <c r="E3793" s="2">
        <v>5330.6</v>
      </c>
      <c r="F3793" s="2">
        <v>5252.25</v>
      </c>
      <c r="G3793" s="3">
        <f t="shared" si="179"/>
        <v>7.9002709205615584E-3</v>
      </c>
      <c r="H3793" s="2">
        <f t="shared" si="177"/>
        <v>78.350000000000364</v>
      </c>
      <c r="I3793" s="3">
        <f t="shared" si="178"/>
        <v>1.4869712095044762E-2</v>
      </c>
    </row>
    <row r="3794" spans="2:9" x14ac:dyDescent="0.25">
      <c r="B3794" s="1">
        <v>40718</v>
      </c>
      <c r="C3794" s="2">
        <v>5471.25</v>
      </c>
      <c r="D3794" s="2">
        <v>5343.4</v>
      </c>
      <c r="E3794" s="2">
        <v>5477.85</v>
      </c>
      <c r="F3794" s="2">
        <v>5343.4</v>
      </c>
      <c r="G3794" s="3">
        <f t="shared" si="179"/>
        <v>2.84304511278195E-2</v>
      </c>
      <c r="H3794" s="2">
        <f t="shared" si="177"/>
        <v>134.45000000000073</v>
      </c>
      <c r="I3794" s="3">
        <f t="shared" si="178"/>
        <v>2.5161881947823622E-2</v>
      </c>
    </row>
    <row r="3795" spans="2:9" x14ac:dyDescent="0.25">
      <c r="B3795" s="1">
        <v>40721</v>
      </c>
      <c r="C3795" s="2">
        <v>5526.6</v>
      </c>
      <c r="D3795" s="2">
        <v>5441.2</v>
      </c>
      <c r="E3795" s="2">
        <v>5552.65</v>
      </c>
      <c r="F3795" s="2">
        <v>5434.25</v>
      </c>
      <c r="G3795" s="3">
        <f t="shared" si="179"/>
        <v>1.0116518163125532E-2</v>
      </c>
      <c r="H3795" s="2">
        <f t="shared" si="177"/>
        <v>118.39999999999964</v>
      </c>
      <c r="I3795" s="3">
        <f t="shared" si="178"/>
        <v>2.1759905903109542E-2</v>
      </c>
    </row>
    <row r="3796" spans="2:9" x14ac:dyDescent="0.25">
      <c r="B3796" s="1">
        <v>40722</v>
      </c>
      <c r="C3796" s="2">
        <v>5545.3</v>
      </c>
      <c r="D3796" s="2">
        <v>5548.85</v>
      </c>
      <c r="E3796" s="2">
        <v>5558.3</v>
      </c>
      <c r="F3796" s="2">
        <v>5496.35</v>
      </c>
      <c r="G3796" s="3">
        <f t="shared" si="179"/>
        <v>3.3836355082690339E-3</v>
      </c>
      <c r="H3796" s="2">
        <f t="shared" si="177"/>
        <v>61.949999999999818</v>
      </c>
      <c r="I3796" s="3">
        <f t="shared" si="178"/>
        <v>1.1164475521954965E-2</v>
      </c>
    </row>
    <row r="3797" spans="2:9" x14ac:dyDescent="0.25">
      <c r="B3797" s="1">
        <v>40723</v>
      </c>
      <c r="C3797" s="2">
        <v>5600.45</v>
      </c>
      <c r="D3797" s="2">
        <v>5566.5</v>
      </c>
      <c r="E3797" s="2">
        <v>5608.65</v>
      </c>
      <c r="F3797" s="2">
        <v>5566.5</v>
      </c>
      <c r="G3797" s="3">
        <f t="shared" si="179"/>
        <v>9.9453591329594637E-3</v>
      </c>
      <c r="H3797" s="2">
        <f t="shared" si="177"/>
        <v>42.149999999999636</v>
      </c>
      <c r="I3797" s="3">
        <f t="shared" si="178"/>
        <v>7.5720829964968355E-3</v>
      </c>
    </row>
    <row r="3798" spans="2:9" x14ac:dyDescent="0.25">
      <c r="B3798" s="1">
        <v>40724</v>
      </c>
      <c r="C3798" s="2">
        <v>5647.4</v>
      </c>
      <c r="D3798" s="2">
        <v>5614.5</v>
      </c>
      <c r="E3798" s="2">
        <v>5657.9</v>
      </c>
      <c r="F3798" s="2">
        <v>5606.1</v>
      </c>
      <c r="G3798" s="3">
        <f t="shared" si="179"/>
        <v>8.3832549170155257E-3</v>
      </c>
      <c r="H3798" s="2">
        <f t="shared" si="177"/>
        <v>51.799999999999272</v>
      </c>
      <c r="I3798" s="3">
        <f t="shared" si="178"/>
        <v>9.2261109626857723E-3</v>
      </c>
    </row>
    <row r="3799" spans="2:9" x14ac:dyDescent="0.25">
      <c r="B3799" s="1">
        <v>40725</v>
      </c>
      <c r="C3799" s="2">
        <v>5627.2</v>
      </c>
      <c r="D3799" s="2">
        <v>5705.75</v>
      </c>
      <c r="E3799" s="2">
        <v>5705.8</v>
      </c>
      <c r="F3799" s="2">
        <v>5609.75</v>
      </c>
      <c r="G3799" s="3">
        <f t="shared" si="179"/>
        <v>-3.5768672309380856E-3</v>
      </c>
      <c r="H3799" s="2">
        <f t="shared" si="177"/>
        <v>96.050000000000182</v>
      </c>
      <c r="I3799" s="3">
        <f t="shared" si="178"/>
        <v>1.6833895631599732E-2</v>
      </c>
    </row>
    <row r="3800" spans="2:9" x14ac:dyDescent="0.25">
      <c r="B3800" s="1">
        <v>40728</v>
      </c>
      <c r="C3800" s="2">
        <v>5650.5</v>
      </c>
      <c r="D3800" s="2">
        <v>5679.55</v>
      </c>
      <c r="E3800" s="2">
        <v>5679.65</v>
      </c>
      <c r="F3800" s="2">
        <v>5633.1</v>
      </c>
      <c r="G3800" s="3">
        <f t="shared" si="179"/>
        <v>4.1406027864656636E-3</v>
      </c>
      <c r="H3800" s="2">
        <f t="shared" si="177"/>
        <v>46.549999999999272</v>
      </c>
      <c r="I3800" s="3">
        <f t="shared" si="178"/>
        <v>8.1960718718911314E-3</v>
      </c>
    </row>
    <row r="3801" spans="2:9" x14ac:dyDescent="0.25">
      <c r="B3801" s="1">
        <v>40729</v>
      </c>
      <c r="C3801" s="2">
        <v>5632.1</v>
      </c>
      <c r="D3801" s="2">
        <v>5659.85</v>
      </c>
      <c r="E3801" s="2">
        <v>5659.85</v>
      </c>
      <c r="F3801" s="2">
        <v>5612.3</v>
      </c>
      <c r="G3801" s="3">
        <f t="shared" si="179"/>
        <v>-3.2563489956640712E-3</v>
      </c>
      <c r="H3801" s="2">
        <f t="shared" si="177"/>
        <v>47.550000000000182</v>
      </c>
      <c r="I3801" s="3">
        <f t="shared" si="178"/>
        <v>8.4012827195067315E-3</v>
      </c>
    </row>
    <row r="3802" spans="2:9" x14ac:dyDescent="0.25">
      <c r="B3802" s="1">
        <v>40730</v>
      </c>
      <c r="C3802" s="2">
        <v>5625.45</v>
      </c>
      <c r="D3802" s="2">
        <v>5622.7</v>
      </c>
      <c r="E3802" s="2">
        <v>5655.4</v>
      </c>
      <c r="F3802" s="2">
        <v>5610.75</v>
      </c>
      <c r="G3802" s="3">
        <f t="shared" si="179"/>
        <v>-1.1807318762097063E-3</v>
      </c>
      <c r="H3802" s="2">
        <f t="shared" si="177"/>
        <v>44.649999999999636</v>
      </c>
      <c r="I3802" s="3">
        <f t="shared" si="178"/>
        <v>7.9410247745744286E-3</v>
      </c>
    </row>
    <row r="3803" spans="2:9" x14ac:dyDescent="0.25">
      <c r="B3803" s="1">
        <v>40731</v>
      </c>
      <c r="C3803" s="2">
        <v>5728.95</v>
      </c>
      <c r="D3803" s="2">
        <v>5633.35</v>
      </c>
      <c r="E3803" s="2">
        <v>5737.15</v>
      </c>
      <c r="F3803" s="2">
        <v>5632.95</v>
      </c>
      <c r="G3803" s="3">
        <f t="shared" si="179"/>
        <v>1.8398528117750557E-2</v>
      </c>
      <c r="H3803" s="2">
        <f t="shared" si="177"/>
        <v>104.19999999999982</v>
      </c>
      <c r="I3803" s="3">
        <f t="shared" si="178"/>
        <v>1.8496986695305601E-2</v>
      </c>
    </row>
    <row r="3804" spans="2:9" x14ac:dyDescent="0.25">
      <c r="B3804" s="1">
        <v>40732</v>
      </c>
      <c r="C3804" s="2">
        <v>5660.65</v>
      </c>
      <c r="D3804" s="2">
        <v>5734.65</v>
      </c>
      <c r="E3804" s="2">
        <v>5740.4</v>
      </c>
      <c r="F3804" s="2">
        <v>5651.05</v>
      </c>
      <c r="G3804" s="3">
        <f t="shared" si="179"/>
        <v>-1.1921905410240963E-2</v>
      </c>
      <c r="H3804" s="2">
        <f t="shared" si="177"/>
        <v>89.349999999999454</v>
      </c>
      <c r="I3804" s="3">
        <f t="shared" si="178"/>
        <v>1.5580724194152993E-2</v>
      </c>
    </row>
    <row r="3805" spans="2:9" x14ac:dyDescent="0.25">
      <c r="B3805" s="1">
        <v>40735</v>
      </c>
      <c r="C3805" s="2">
        <v>5616.1</v>
      </c>
      <c r="D3805" s="2">
        <v>5648.05</v>
      </c>
      <c r="E3805" s="2">
        <v>5652.9</v>
      </c>
      <c r="F3805" s="2">
        <v>5601.7</v>
      </c>
      <c r="G3805" s="3">
        <f t="shared" si="179"/>
        <v>-7.8701209225087165E-3</v>
      </c>
      <c r="H3805" s="2">
        <f t="shared" si="177"/>
        <v>51.199999999999818</v>
      </c>
      <c r="I3805" s="3">
        <f t="shared" si="178"/>
        <v>9.0650755570506301E-3</v>
      </c>
    </row>
    <row r="3806" spans="2:9" x14ac:dyDescent="0.25">
      <c r="B3806" s="1">
        <v>40736</v>
      </c>
      <c r="C3806" s="2">
        <v>5526.15</v>
      </c>
      <c r="D3806" s="2">
        <v>5556.9</v>
      </c>
      <c r="E3806" s="2">
        <v>5580.25</v>
      </c>
      <c r="F3806" s="2">
        <v>5496.95</v>
      </c>
      <c r="G3806" s="3">
        <f t="shared" si="179"/>
        <v>-1.6016452698491945E-2</v>
      </c>
      <c r="H3806" s="2">
        <f t="shared" si="177"/>
        <v>83.300000000000182</v>
      </c>
      <c r="I3806" s="3">
        <f t="shared" si="178"/>
        <v>1.4990372329896199E-2</v>
      </c>
    </row>
    <row r="3807" spans="2:9" x14ac:dyDescent="0.25">
      <c r="B3807" s="1">
        <v>40737</v>
      </c>
      <c r="C3807" s="2">
        <v>5585.45</v>
      </c>
      <c r="D3807" s="2">
        <v>5542.05</v>
      </c>
      <c r="E3807" s="2">
        <v>5596.15</v>
      </c>
      <c r="F3807" s="2">
        <v>5541.4</v>
      </c>
      <c r="G3807" s="3">
        <f t="shared" si="179"/>
        <v>1.0730798114419571E-2</v>
      </c>
      <c r="H3807" s="2">
        <f t="shared" si="177"/>
        <v>54.75</v>
      </c>
      <c r="I3807" s="3">
        <f t="shared" si="178"/>
        <v>9.87901588762281E-3</v>
      </c>
    </row>
    <row r="3808" spans="2:9" x14ac:dyDescent="0.25">
      <c r="B3808" s="1">
        <v>40738</v>
      </c>
      <c r="C3808" s="2">
        <v>5599.8</v>
      </c>
      <c r="D3808" s="2">
        <v>5569</v>
      </c>
      <c r="E3808" s="2">
        <v>5653.95</v>
      </c>
      <c r="F3808" s="2">
        <v>5541.7</v>
      </c>
      <c r="G3808" s="3">
        <f t="shared" si="179"/>
        <v>2.5691752678835833E-3</v>
      </c>
      <c r="H3808" s="2">
        <f t="shared" si="177"/>
        <v>112.25</v>
      </c>
      <c r="I3808" s="3">
        <f t="shared" si="178"/>
        <v>2.0156221942898185E-2</v>
      </c>
    </row>
    <row r="3809" spans="2:9" x14ac:dyDescent="0.25">
      <c r="B3809" s="1">
        <v>40739</v>
      </c>
      <c r="C3809" s="2">
        <v>5581.1</v>
      </c>
      <c r="D3809" s="2">
        <v>5602.95</v>
      </c>
      <c r="E3809" s="2">
        <v>5631.7</v>
      </c>
      <c r="F3809" s="2">
        <v>5562.75</v>
      </c>
      <c r="G3809" s="3">
        <f t="shared" si="179"/>
        <v>-3.3394049787491831E-3</v>
      </c>
      <c r="H3809" s="2">
        <f t="shared" si="177"/>
        <v>68.949999999999818</v>
      </c>
      <c r="I3809" s="3">
        <f t="shared" si="178"/>
        <v>1.2306017365851886E-2</v>
      </c>
    </row>
    <row r="3810" spans="2:9" x14ac:dyDescent="0.25">
      <c r="B3810" s="1">
        <v>40742</v>
      </c>
      <c r="C3810" s="2">
        <v>5567.05</v>
      </c>
      <c r="D3810" s="2">
        <v>5581.75</v>
      </c>
      <c r="E3810" s="2">
        <v>5596.6</v>
      </c>
      <c r="F3810" s="2">
        <v>5550.95</v>
      </c>
      <c r="G3810" s="3">
        <f t="shared" si="179"/>
        <v>-2.5174248803999655E-3</v>
      </c>
      <c r="H3810" s="2">
        <f t="shared" si="177"/>
        <v>45.650000000000546</v>
      </c>
      <c r="I3810" s="3">
        <f t="shared" si="178"/>
        <v>8.1784386617101343E-3</v>
      </c>
    </row>
    <row r="3811" spans="2:9" x14ac:dyDescent="0.25">
      <c r="B3811" s="1">
        <v>40743</v>
      </c>
      <c r="C3811" s="2">
        <v>5613.55</v>
      </c>
      <c r="D3811" s="2">
        <v>5569.85</v>
      </c>
      <c r="E3811" s="2">
        <v>5627.65</v>
      </c>
      <c r="F3811" s="2">
        <v>5557.2</v>
      </c>
      <c r="G3811" s="3">
        <f t="shared" si="179"/>
        <v>8.3527182259903743E-3</v>
      </c>
      <c r="H3811" s="2">
        <f t="shared" si="177"/>
        <v>70.449999999999818</v>
      </c>
      <c r="I3811" s="3">
        <f t="shared" si="178"/>
        <v>1.2648455523936878E-2</v>
      </c>
    </row>
    <row r="3812" spans="2:9" x14ac:dyDescent="0.25">
      <c r="B3812" s="1">
        <v>40744</v>
      </c>
      <c r="C3812" s="2">
        <v>5567.05</v>
      </c>
      <c r="D3812" s="2">
        <v>5642.05</v>
      </c>
      <c r="E3812" s="2">
        <v>5645.4</v>
      </c>
      <c r="F3812" s="2">
        <v>5555.1</v>
      </c>
      <c r="G3812" s="3">
        <f t="shared" si="179"/>
        <v>-8.2835282486127815E-3</v>
      </c>
      <c r="H3812" s="2">
        <f t="shared" si="177"/>
        <v>90.299999999999272</v>
      </c>
      <c r="I3812" s="3">
        <f t="shared" si="178"/>
        <v>1.6004820942742314E-2</v>
      </c>
    </row>
    <row r="3813" spans="2:9" x14ac:dyDescent="0.25">
      <c r="B3813" s="1">
        <v>40745</v>
      </c>
      <c r="C3813" s="2">
        <v>5541.6</v>
      </c>
      <c r="D3813" s="2">
        <v>5554.6</v>
      </c>
      <c r="E3813" s="2">
        <v>5578.9</v>
      </c>
      <c r="F3813" s="2">
        <v>5532.7</v>
      </c>
      <c r="G3813" s="3">
        <f t="shared" si="179"/>
        <v>-4.5715414806763999E-3</v>
      </c>
      <c r="H3813" s="2">
        <f t="shared" si="177"/>
        <v>46.199999999999818</v>
      </c>
      <c r="I3813" s="3">
        <f t="shared" si="178"/>
        <v>8.3174305980628343E-3</v>
      </c>
    </row>
    <row r="3814" spans="2:9" x14ac:dyDescent="0.25">
      <c r="B3814" s="1">
        <v>40746</v>
      </c>
      <c r="C3814" s="2">
        <v>5633.95</v>
      </c>
      <c r="D3814" s="2">
        <v>5576.95</v>
      </c>
      <c r="E3814" s="2">
        <v>5642.2</v>
      </c>
      <c r="F3814" s="2">
        <v>5567.1</v>
      </c>
      <c r="G3814" s="3">
        <f t="shared" si="179"/>
        <v>1.6664862133679792E-2</v>
      </c>
      <c r="H3814" s="2">
        <f t="shared" si="177"/>
        <v>75.099999999999454</v>
      </c>
      <c r="I3814" s="3">
        <f t="shared" si="178"/>
        <v>1.346614188759079E-2</v>
      </c>
    </row>
    <row r="3815" spans="2:9" x14ac:dyDescent="0.25">
      <c r="B3815" s="1">
        <v>40749</v>
      </c>
      <c r="C3815" s="2">
        <v>5680.3</v>
      </c>
      <c r="D3815" s="2">
        <v>5633.8</v>
      </c>
      <c r="E3815" s="2">
        <v>5700.55</v>
      </c>
      <c r="F3815" s="2">
        <v>5616.7</v>
      </c>
      <c r="G3815" s="3">
        <f t="shared" si="179"/>
        <v>8.2269100719745136E-3</v>
      </c>
      <c r="H3815" s="2">
        <f t="shared" si="177"/>
        <v>83.850000000000364</v>
      </c>
      <c r="I3815" s="3">
        <f t="shared" si="178"/>
        <v>1.4883382441691285E-2</v>
      </c>
    </row>
    <row r="3816" spans="2:9" x14ac:dyDescent="0.25">
      <c r="B3816" s="1">
        <v>40750</v>
      </c>
      <c r="C3816" s="2">
        <v>5574.85</v>
      </c>
      <c r="D3816" s="2">
        <v>5688.45</v>
      </c>
      <c r="E3816" s="2">
        <v>5702.25</v>
      </c>
      <c r="F3816" s="2">
        <v>5560.15</v>
      </c>
      <c r="G3816" s="3">
        <f t="shared" si="179"/>
        <v>-1.8564160343643832E-2</v>
      </c>
      <c r="H3816" s="2">
        <f t="shared" si="177"/>
        <v>142.10000000000036</v>
      </c>
      <c r="I3816" s="3">
        <f t="shared" si="178"/>
        <v>2.4980442827132236E-2</v>
      </c>
    </row>
    <row r="3817" spans="2:9" x14ac:dyDescent="0.25">
      <c r="B3817" s="1">
        <v>40751</v>
      </c>
      <c r="C3817" s="2">
        <v>5546.8</v>
      </c>
      <c r="D3817" s="2">
        <v>5588.55</v>
      </c>
      <c r="E3817" s="2">
        <v>5591.7</v>
      </c>
      <c r="F3817" s="2">
        <v>5521.5</v>
      </c>
      <c r="G3817" s="3">
        <f t="shared" si="179"/>
        <v>-5.031525511897228E-3</v>
      </c>
      <c r="H3817" s="2">
        <f t="shared" si="177"/>
        <v>70.199999999999818</v>
      </c>
      <c r="I3817" s="3">
        <f t="shared" si="178"/>
        <v>1.2561397858120589E-2</v>
      </c>
    </row>
    <row r="3818" spans="2:9" x14ac:dyDescent="0.25">
      <c r="B3818" s="1">
        <v>40752</v>
      </c>
      <c r="C3818" s="2">
        <v>5487.75</v>
      </c>
      <c r="D3818" s="2">
        <v>5492.4</v>
      </c>
      <c r="E3818" s="2">
        <v>5512.1</v>
      </c>
      <c r="F3818" s="2">
        <v>5475.65</v>
      </c>
      <c r="G3818" s="3">
        <f t="shared" si="179"/>
        <v>-1.0645777745727281E-2</v>
      </c>
      <c r="H3818" s="2">
        <f t="shared" si="177"/>
        <v>36.450000000000728</v>
      </c>
      <c r="I3818" s="3">
        <f t="shared" si="178"/>
        <v>6.6364430849903009E-3</v>
      </c>
    </row>
    <row r="3819" spans="2:9" x14ac:dyDescent="0.25">
      <c r="B3819" s="1">
        <v>40753</v>
      </c>
      <c r="C3819" s="2">
        <v>5482</v>
      </c>
      <c r="D3819" s="2">
        <v>5479</v>
      </c>
      <c r="E3819" s="2">
        <v>5520.3</v>
      </c>
      <c r="F3819" s="2">
        <v>5453.95</v>
      </c>
      <c r="G3819" s="3">
        <f t="shared" si="179"/>
        <v>-1.0477882556603202E-3</v>
      </c>
      <c r="H3819" s="2">
        <f t="shared" si="177"/>
        <v>66.350000000000364</v>
      </c>
      <c r="I3819" s="3">
        <f t="shared" si="178"/>
        <v>1.2109874064610397E-2</v>
      </c>
    </row>
    <row r="3820" spans="2:9" x14ac:dyDescent="0.25">
      <c r="B3820" s="1">
        <v>40756</v>
      </c>
      <c r="C3820" s="2">
        <v>5516.8</v>
      </c>
      <c r="D3820" s="2">
        <v>5527.5</v>
      </c>
      <c r="E3820" s="2">
        <v>5551.9</v>
      </c>
      <c r="F3820" s="2">
        <v>5486.45</v>
      </c>
      <c r="G3820" s="3">
        <f t="shared" si="179"/>
        <v>6.3480481576068115E-3</v>
      </c>
      <c r="H3820" s="2">
        <f t="shared" si="177"/>
        <v>65.449999999999818</v>
      </c>
      <c r="I3820" s="3">
        <f t="shared" si="178"/>
        <v>1.1840796019900464E-2</v>
      </c>
    </row>
    <row r="3821" spans="2:9" x14ac:dyDescent="0.25">
      <c r="B3821" s="1">
        <v>40757</v>
      </c>
      <c r="C3821" s="2">
        <v>5456.55</v>
      </c>
      <c r="D3821" s="2">
        <v>5493.2</v>
      </c>
      <c r="E3821" s="2">
        <v>5496.3</v>
      </c>
      <c r="F3821" s="2">
        <v>5433.65</v>
      </c>
      <c r="G3821" s="3">
        <f t="shared" si="179"/>
        <v>-1.0921186194895571E-2</v>
      </c>
      <c r="H3821" s="2">
        <f t="shared" si="177"/>
        <v>62.650000000000546</v>
      </c>
      <c r="I3821" s="3">
        <f t="shared" si="178"/>
        <v>1.1405009830335787E-2</v>
      </c>
    </row>
    <row r="3822" spans="2:9" x14ac:dyDescent="0.25">
      <c r="B3822" s="1">
        <v>40758</v>
      </c>
      <c r="C3822" s="2">
        <v>5404.8</v>
      </c>
      <c r="D3822" s="2">
        <v>5402</v>
      </c>
      <c r="E3822" s="2">
        <v>5422.6</v>
      </c>
      <c r="F3822" s="2">
        <v>5378.85</v>
      </c>
      <c r="G3822" s="3">
        <f t="shared" si="179"/>
        <v>-9.4840146246254475E-3</v>
      </c>
      <c r="H3822" s="2">
        <f t="shared" si="177"/>
        <v>43.75</v>
      </c>
      <c r="I3822" s="3">
        <f t="shared" si="178"/>
        <v>8.0988522769344685E-3</v>
      </c>
    </row>
    <row r="3823" spans="2:9" x14ac:dyDescent="0.25">
      <c r="B3823" s="1">
        <v>40759</v>
      </c>
      <c r="C3823" s="2">
        <v>5331.8</v>
      </c>
      <c r="D3823" s="2">
        <v>5412.4</v>
      </c>
      <c r="E3823" s="2">
        <v>5434.5</v>
      </c>
      <c r="F3823" s="2">
        <v>5323.15</v>
      </c>
      <c r="G3823" s="3">
        <f t="shared" si="179"/>
        <v>-1.3506512729425713E-2</v>
      </c>
      <c r="H3823" s="2">
        <f t="shared" si="177"/>
        <v>111.35000000000036</v>
      </c>
      <c r="I3823" s="3">
        <f t="shared" si="178"/>
        <v>2.0573128371886847E-2</v>
      </c>
    </row>
    <row r="3824" spans="2:9" x14ac:dyDescent="0.25">
      <c r="B3824" s="1">
        <v>40760</v>
      </c>
      <c r="C3824" s="2">
        <v>5211.25</v>
      </c>
      <c r="D3824" s="2">
        <v>5204.3500000000004</v>
      </c>
      <c r="E3824" s="2">
        <v>5229.6499999999996</v>
      </c>
      <c r="F3824" s="2">
        <v>5116.45</v>
      </c>
      <c r="G3824" s="3">
        <f t="shared" si="179"/>
        <v>-2.2609625267264399E-2</v>
      </c>
      <c r="H3824" s="2">
        <f t="shared" si="177"/>
        <v>113.19999999999982</v>
      </c>
      <c r="I3824" s="3">
        <f t="shared" si="178"/>
        <v>2.1751035191714587E-2</v>
      </c>
    </row>
    <row r="3825" spans="2:9" x14ac:dyDescent="0.25">
      <c r="B3825" s="1">
        <v>40763</v>
      </c>
      <c r="C3825" s="2">
        <v>5118.5</v>
      </c>
      <c r="D3825" s="2">
        <v>5083.8500000000004</v>
      </c>
      <c r="E3825" s="2">
        <v>5204.2</v>
      </c>
      <c r="F3825" s="2">
        <v>5054.05</v>
      </c>
      <c r="G3825" s="3">
        <f t="shared" si="179"/>
        <v>-1.7798033101463218E-2</v>
      </c>
      <c r="H3825" s="2">
        <f t="shared" si="177"/>
        <v>150.14999999999964</v>
      </c>
      <c r="I3825" s="3">
        <f t="shared" si="178"/>
        <v>2.9534703030183743E-2</v>
      </c>
    </row>
    <row r="3826" spans="2:9" x14ac:dyDescent="0.25">
      <c r="B3826" s="1">
        <v>40764</v>
      </c>
      <c r="C3826" s="2">
        <v>5072.8500000000004</v>
      </c>
      <c r="D3826" s="2">
        <v>4947.8999999999996</v>
      </c>
      <c r="E3826" s="2">
        <v>5167</v>
      </c>
      <c r="F3826" s="2">
        <v>4946.45</v>
      </c>
      <c r="G3826" s="3">
        <f t="shared" si="179"/>
        <v>-8.9186285044445812E-3</v>
      </c>
      <c r="H3826" s="2">
        <f t="shared" si="177"/>
        <v>220.55000000000018</v>
      </c>
      <c r="I3826" s="3">
        <f t="shared" si="178"/>
        <v>4.4574465935043189E-2</v>
      </c>
    </row>
    <row r="3827" spans="2:9" x14ac:dyDescent="0.25">
      <c r="B3827" s="1">
        <v>40765</v>
      </c>
      <c r="C3827" s="2">
        <v>5161</v>
      </c>
      <c r="D3827" s="2">
        <v>5196.55</v>
      </c>
      <c r="E3827" s="2">
        <v>5197.95</v>
      </c>
      <c r="F3827" s="2">
        <v>5123.3500000000004</v>
      </c>
      <c r="G3827" s="3">
        <f t="shared" si="179"/>
        <v>1.7376819736439897E-2</v>
      </c>
      <c r="H3827" s="2">
        <f t="shared" si="177"/>
        <v>74.599999999999454</v>
      </c>
      <c r="I3827" s="3">
        <f t="shared" si="178"/>
        <v>1.4355678286555398E-2</v>
      </c>
    </row>
    <row r="3828" spans="2:9" x14ac:dyDescent="0.25">
      <c r="B3828" s="1">
        <v>40766</v>
      </c>
      <c r="C3828" s="2">
        <v>5138.3</v>
      </c>
      <c r="D3828" s="2">
        <v>5128</v>
      </c>
      <c r="E3828" s="2">
        <v>5184.95</v>
      </c>
      <c r="F3828" s="2">
        <v>5121</v>
      </c>
      <c r="G3828" s="3">
        <f t="shared" si="179"/>
        <v>-4.3983724084479814E-3</v>
      </c>
      <c r="H3828" s="2">
        <f t="shared" si="177"/>
        <v>63.949999999999818</v>
      </c>
      <c r="I3828" s="3">
        <f t="shared" si="178"/>
        <v>1.2470748829953162E-2</v>
      </c>
    </row>
    <row r="3829" spans="2:9" x14ac:dyDescent="0.25">
      <c r="B3829" s="1">
        <v>40767</v>
      </c>
      <c r="C3829" s="2">
        <v>5072.95</v>
      </c>
      <c r="D3829" s="2">
        <v>5194.3999999999996</v>
      </c>
      <c r="E3829" s="2">
        <v>5194.45</v>
      </c>
      <c r="F3829" s="2">
        <v>5053.3500000000004</v>
      </c>
      <c r="G3829" s="3">
        <f t="shared" si="179"/>
        <v>-1.2718214195356459E-2</v>
      </c>
      <c r="H3829" s="2">
        <f t="shared" si="177"/>
        <v>141.09999999999945</v>
      </c>
      <c r="I3829" s="3">
        <f t="shared" si="178"/>
        <v>2.7163868781764876E-2</v>
      </c>
    </row>
    <row r="3830" spans="2:9" x14ac:dyDescent="0.25">
      <c r="B3830" s="1">
        <v>40771</v>
      </c>
      <c r="C3830" s="2">
        <v>5035.8</v>
      </c>
      <c r="D3830" s="2">
        <v>5125.75</v>
      </c>
      <c r="E3830" s="2">
        <v>5132.2</v>
      </c>
      <c r="F3830" s="2">
        <v>5015.3999999999996</v>
      </c>
      <c r="G3830" s="3">
        <f t="shared" si="179"/>
        <v>-7.3231551661261385E-3</v>
      </c>
      <c r="H3830" s="2">
        <f t="shared" si="177"/>
        <v>116.80000000000018</v>
      </c>
      <c r="I3830" s="3">
        <f t="shared" si="178"/>
        <v>2.2786909232795236E-2</v>
      </c>
    </row>
    <row r="3831" spans="2:9" x14ac:dyDescent="0.25">
      <c r="B3831" s="1">
        <v>40772</v>
      </c>
      <c r="C3831" s="2">
        <v>5056.6000000000004</v>
      </c>
      <c r="D3831" s="2">
        <v>5030.3</v>
      </c>
      <c r="E3831" s="2">
        <v>5112.1499999999996</v>
      </c>
      <c r="F3831" s="2">
        <v>5017.25</v>
      </c>
      <c r="G3831" s="3">
        <f t="shared" si="179"/>
        <v>4.1304261487749017E-3</v>
      </c>
      <c r="H3831" s="2">
        <f t="shared" si="177"/>
        <v>94.899999999999636</v>
      </c>
      <c r="I3831" s="3">
        <f t="shared" si="178"/>
        <v>1.88656740154662E-2</v>
      </c>
    </row>
    <row r="3832" spans="2:9" x14ac:dyDescent="0.25">
      <c r="B3832" s="1">
        <v>40773</v>
      </c>
      <c r="C3832" s="2">
        <v>4944.1499999999996</v>
      </c>
      <c r="D3832" s="2">
        <v>5077.95</v>
      </c>
      <c r="E3832" s="2">
        <v>5078.6000000000004</v>
      </c>
      <c r="F3832" s="2">
        <v>4932.1499999999996</v>
      </c>
      <c r="G3832" s="3">
        <f t="shared" si="179"/>
        <v>-2.2238262864375469E-2</v>
      </c>
      <c r="H3832" s="2">
        <f t="shared" si="177"/>
        <v>146.45000000000073</v>
      </c>
      <c r="I3832" s="3">
        <f t="shared" si="178"/>
        <v>2.8840378499197655E-2</v>
      </c>
    </row>
    <row r="3833" spans="2:9" x14ac:dyDescent="0.25">
      <c r="B3833" s="1">
        <v>40774</v>
      </c>
      <c r="C3833" s="2">
        <v>4845.6499999999996</v>
      </c>
      <c r="D3833" s="2">
        <v>4859.3</v>
      </c>
      <c r="E3833" s="2">
        <v>4893.6000000000004</v>
      </c>
      <c r="F3833" s="2">
        <v>4796.1000000000004</v>
      </c>
      <c r="G3833" s="3">
        <f t="shared" si="179"/>
        <v>-1.9922534712741302E-2</v>
      </c>
      <c r="H3833" s="2">
        <f t="shared" si="177"/>
        <v>97.5</v>
      </c>
      <c r="I3833" s="3">
        <f t="shared" si="178"/>
        <v>2.006461836066923E-2</v>
      </c>
    </row>
    <row r="3834" spans="2:9" x14ac:dyDescent="0.25">
      <c r="B3834" s="1">
        <v>40777</v>
      </c>
      <c r="C3834" s="2">
        <v>4898.8</v>
      </c>
      <c r="D3834" s="2">
        <v>4843.7</v>
      </c>
      <c r="E3834" s="2">
        <v>4910.05</v>
      </c>
      <c r="F3834" s="2">
        <v>4808.75</v>
      </c>
      <c r="G3834" s="3">
        <f t="shared" si="179"/>
        <v>1.0968600703723963E-2</v>
      </c>
      <c r="H3834" s="2">
        <f t="shared" si="177"/>
        <v>101.30000000000018</v>
      </c>
      <c r="I3834" s="3">
        <f t="shared" si="178"/>
        <v>2.0913764271115094E-2</v>
      </c>
    </row>
    <row r="3835" spans="2:9" x14ac:dyDescent="0.25">
      <c r="B3835" s="1">
        <v>40778</v>
      </c>
      <c r="C3835" s="2">
        <v>4948.8999999999996</v>
      </c>
      <c r="D3835" s="2">
        <v>4925.1499999999996</v>
      </c>
      <c r="E3835" s="2">
        <v>4965.8</v>
      </c>
      <c r="F3835" s="2">
        <v>4863.8</v>
      </c>
      <c r="G3835" s="3">
        <f t="shared" si="179"/>
        <v>1.0226994365966968E-2</v>
      </c>
      <c r="H3835" s="2">
        <f t="shared" si="177"/>
        <v>102</v>
      </c>
      <c r="I3835" s="3">
        <f t="shared" si="178"/>
        <v>2.0710029136168442E-2</v>
      </c>
    </row>
    <row r="3836" spans="2:9" x14ac:dyDescent="0.25">
      <c r="B3836" s="1">
        <v>40779</v>
      </c>
      <c r="C3836" s="2">
        <v>4888.8999999999996</v>
      </c>
      <c r="D3836" s="2">
        <v>4934.3500000000004</v>
      </c>
      <c r="E3836" s="2">
        <v>4962.3999999999996</v>
      </c>
      <c r="F3836" s="2">
        <v>4875.3</v>
      </c>
      <c r="G3836" s="3">
        <f t="shared" si="179"/>
        <v>-1.2123906322617173E-2</v>
      </c>
      <c r="H3836" s="2">
        <f t="shared" si="177"/>
        <v>87.099999999999454</v>
      </c>
      <c r="I3836" s="3">
        <f t="shared" si="178"/>
        <v>1.7651767710032618E-2</v>
      </c>
    </row>
    <row r="3837" spans="2:9" x14ac:dyDescent="0.25">
      <c r="B3837" s="1">
        <v>40780</v>
      </c>
      <c r="C3837" s="2">
        <v>4839.6000000000004</v>
      </c>
      <c r="D3837" s="2">
        <v>4914.6499999999996</v>
      </c>
      <c r="E3837" s="2">
        <v>4915.8500000000004</v>
      </c>
      <c r="F3837" s="2">
        <v>4825.05</v>
      </c>
      <c r="G3837" s="3">
        <f t="shared" si="179"/>
        <v>-1.0084067990754453E-2</v>
      </c>
      <c r="H3837" s="2">
        <f t="shared" si="177"/>
        <v>90.800000000000182</v>
      </c>
      <c r="I3837" s="3">
        <f t="shared" si="178"/>
        <v>1.8475374645193492E-2</v>
      </c>
    </row>
    <row r="3838" spans="2:9" x14ac:dyDescent="0.25">
      <c r="B3838" s="1">
        <v>40781</v>
      </c>
      <c r="C3838" s="2">
        <v>4747.8</v>
      </c>
      <c r="D3838" s="2">
        <v>4839.25</v>
      </c>
      <c r="E3838" s="2">
        <v>4872</v>
      </c>
      <c r="F3838" s="2">
        <v>4720</v>
      </c>
      <c r="G3838" s="3">
        <f t="shared" si="179"/>
        <v>-1.8968509794197952E-2</v>
      </c>
      <c r="H3838" s="2">
        <f t="shared" si="177"/>
        <v>152</v>
      </c>
      <c r="I3838" s="3">
        <f t="shared" si="178"/>
        <v>3.1409825902774191E-2</v>
      </c>
    </row>
    <row r="3839" spans="2:9" x14ac:dyDescent="0.25">
      <c r="B3839" s="1">
        <v>40784</v>
      </c>
      <c r="C3839" s="2">
        <v>4919.6000000000004</v>
      </c>
      <c r="D3839" s="2">
        <v>4806.2</v>
      </c>
      <c r="E3839" s="2">
        <v>4934.3999999999996</v>
      </c>
      <c r="F3839" s="2">
        <v>4806.05</v>
      </c>
      <c r="G3839" s="3">
        <f t="shared" si="179"/>
        <v>3.6185180504654912E-2</v>
      </c>
      <c r="H3839" s="2">
        <f t="shared" si="177"/>
        <v>128.34999999999945</v>
      </c>
      <c r="I3839" s="3">
        <f t="shared" si="178"/>
        <v>2.6705089259706102E-2</v>
      </c>
    </row>
    <row r="3840" spans="2:9" x14ac:dyDescent="0.25">
      <c r="B3840" s="1">
        <v>40785</v>
      </c>
      <c r="C3840" s="2">
        <v>5001</v>
      </c>
      <c r="D3840" s="2">
        <v>4973.25</v>
      </c>
      <c r="E3840" s="2">
        <v>5016.25</v>
      </c>
      <c r="F3840" s="2">
        <v>4927.55</v>
      </c>
      <c r="G3840" s="3">
        <f t="shared" si="179"/>
        <v>1.6546060655337813E-2</v>
      </c>
      <c r="H3840" s="2">
        <f t="shared" si="177"/>
        <v>88.699999999999818</v>
      </c>
      <c r="I3840" s="3">
        <f t="shared" si="178"/>
        <v>1.783541949429444E-2</v>
      </c>
    </row>
    <row r="3841" spans="2:9" x14ac:dyDescent="0.25">
      <c r="B3841" s="1">
        <v>40788</v>
      </c>
      <c r="C3841" s="2">
        <v>5040</v>
      </c>
      <c r="D3841" s="2">
        <v>5109.8</v>
      </c>
      <c r="E3841" s="2">
        <v>5113.7</v>
      </c>
      <c r="F3841" s="2">
        <v>4993.3500000000004</v>
      </c>
      <c r="G3841" s="3">
        <f t="shared" si="179"/>
        <v>7.7984403119375489E-3</v>
      </c>
      <c r="H3841" s="2">
        <f t="shared" si="177"/>
        <v>120.34999999999945</v>
      </c>
      <c r="I3841" s="3">
        <f t="shared" si="178"/>
        <v>2.3552780930760391E-2</v>
      </c>
    </row>
    <row r="3842" spans="2:9" x14ac:dyDescent="0.25">
      <c r="B3842" s="1">
        <v>40791</v>
      </c>
      <c r="C3842" s="2">
        <v>5017.2</v>
      </c>
      <c r="D3842" s="2">
        <v>4998.8999999999996</v>
      </c>
      <c r="E3842" s="2">
        <v>5030.3</v>
      </c>
      <c r="F3842" s="2">
        <v>4964.45</v>
      </c>
      <c r="G3842" s="3">
        <f t="shared" si="179"/>
        <v>-4.5238095238095966E-3</v>
      </c>
      <c r="H3842" s="2">
        <f t="shared" si="177"/>
        <v>65.850000000000364</v>
      </c>
      <c r="I3842" s="3">
        <f t="shared" si="178"/>
        <v>1.3172898037568338E-2</v>
      </c>
    </row>
    <row r="3843" spans="2:9" x14ac:dyDescent="0.25">
      <c r="B3843" s="1">
        <v>40792</v>
      </c>
      <c r="C3843" s="2">
        <v>5064.3</v>
      </c>
      <c r="D3843" s="2">
        <v>4993.3500000000004</v>
      </c>
      <c r="E3843" s="2">
        <v>5072.8999999999996</v>
      </c>
      <c r="F3843" s="2">
        <v>4942.8999999999996</v>
      </c>
      <c r="G3843" s="3">
        <f t="shared" si="179"/>
        <v>9.3877062903611197E-3</v>
      </c>
      <c r="H3843" s="2">
        <f t="shared" si="177"/>
        <v>130</v>
      </c>
      <c r="I3843" s="3">
        <f t="shared" si="178"/>
        <v>2.6034626052650021E-2</v>
      </c>
    </row>
    <row r="3844" spans="2:9" x14ac:dyDescent="0.25">
      <c r="B3844" s="1">
        <v>40793</v>
      </c>
      <c r="C3844" s="2">
        <v>5124.6499999999996</v>
      </c>
      <c r="D3844" s="2">
        <v>5080.1499999999996</v>
      </c>
      <c r="E3844" s="2">
        <v>5154.5</v>
      </c>
      <c r="F3844" s="2">
        <v>5076.3</v>
      </c>
      <c r="G3844" s="3">
        <f t="shared" si="179"/>
        <v>1.1916750587445346E-2</v>
      </c>
      <c r="H3844" s="2">
        <f t="shared" si="177"/>
        <v>78.199999999999818</v>
      </c>
      <c r="I3844" s="3">
        <f t="shared" si="178"/>
        <v>1.5393246262413477E-2</v>
      </c>
    </row>
    <row r="3845" spans="2:9" x14ac:dyDescent="0.25">
      <c r="B3845" s="1">
        <v>40794</v>
      </c>
      <c r="C3845" s="2">
        <v>5153.25</v>
      </c>
      <c r="D3845" s="2">
        <v>5139.2</v>
      </c>
      <c r="E3845" s="2">
        <v>5169.25</v>
      </c>
      <c r="F3845" s="2">
        <v>5098.25</v>
      </c>
      <c r="G3845" s="3">
        <f t="shared" si="179"/>
        <v>5.5808689373908482E-3</v>
      </c>
      <c r="H3845" s="2">
        <f t="shared" ref="H3845:H3908" si="180">E3845-F3845</f>
        <v>71</v>
      </c>
      <c r="I3845" s="3">
        <f t="shared" si="178"/>
        <v>1.3815379825653798E-2</v>
      </c>
    </row>
    <row r="3846" spans="2:9" x14ac:dyDescent="0.25">
      <c r="B3846" s="1">
        <v>40795</v>
      </c>
      <c r="C3846" s="2">
        <v>5059.45</v>
      </c>
      <c r="D3846" s="2">
        <v>5161.3</v>
      </c>
      <c r="E3846" s="2">
        <v>5163.75</v>
      </c>
      <c r="F3846" s="2">
        <v>5046.8</v>
      </c>
      <c r="G3846" s="3">
        <f t="shared" si="179"/>
        <v>-1.8202105467423513E-2</v>
      </c>
      <c r="H3846" s="2">
        <f t="shared" si="180"/>
        <v>116.94999999999982</v>
      </c>
      <c r="I3846" s="3">
        <f t="shared" ref="I3846:I3909" si="181">H3846/D3846</f>
        <v>2.2659020014337436E-2</v>
      </c>
    </row>
    <row r="3847" spans="2:9" x14ac:dyDescent="0.25">
      <c r="B3847" s="1">
        <v>40798</v>
      </c>
      <c r="C3847" s="2">
        <v>4946.8</v>
      </c>
      <c r="D3847" s="2">
        <v>4981.7</v>
      </c>
      <c r="E3847" s="2">
        <v>4985.6000000000004</v>
      </c>
      <c r="F3847" s="2">
        <v>4911.25</v>
      </c>
      <c r="G3847" s="3">
        <f t="shared" ref="G3847:G3910" si="182">C3847/C3846-1</f>
        <v>-2.2265265987409633E-2</v>
      </c>
      <c r="H3847" s="2">
        <f t="shared" si="180"/>
        <v>74.350000000000364</v>
      </c>
      <c r="I3847" s="3">
        <f t="shared" si="181"/>
        <v>1.4924624124294994E-2</v>
      </c>
    </row>
    <row r="3848" spans="2:9" x14ac:dyDescent="0.25">
      <c r="B3848" s="1">
        <v>40799</v>
      </c>
      <c r="C3848" s="2">
        <v>4940.95</v>
      </c>
      <c r="D3848" s="2">
        <v>4977.8</v>
      </c>
      <c r="E3848" s="2">
        <v>5030.1499999999996</v>
      </c>
      <c r="F3848" s="2">
        <v>4911.05</v>
      </c>
      <c r="G3848" s="3">
        <f t="shared" si="182"/>
        <v>-1.182582679712163E-3</v>
      </c>
      <c r="H3848" s="2">
        <f t="shared" si="180"/>
        <v>119.09999999999945</v>
      </c>
      <c r="I3848" s="3">
        <f t="shared" si="181"/>
        <v>2.3926232472176352E-2</v>
      </c>
    </row>
    <row r="3849" spans="2:9" x14ac:dyDescent="0.25">
      <c r="B3849" s="1">
        <v>40800</v>
      </c>
      <c r="C3849" s="2">
        <v>5012.55</v>
      </c>
      <c r="D3849" s="2">
        <v>4965.05</v>
      </c>
      <c r="E3849" s="2">
        <v>5026.1499999999996</v>
      </c>
      <c r="F3849" s="2">
        <v>4917.3999999999996</v>
      </c>
      <c r="G3849" s="3">
        <f t="shared" si="182"/>
        <v>1.4491140367743016E-2</v>
      </c>
      <c r="H3849" s="2">
        <f t="shared" si="180"/>
        <v>108.75</v>
      </c>
      <c r="I3849" s="3">
        <f t="shared" si="181"/>
        <v>2.1903102687787633E-2</v>
      </c>
    </row>
    <row r="3850" spans="2:9" x14ac:dyDescent="0.25">
      <c r="B3850" s="1">
        <v>40801</v>
      </c>
      <c r="C3850" s="2">
        <v>5075.7</v>
      </c>
      <c r="D3850" s="2">
        <v>5062.3500000000004</v>
      </c>
      <c r="E3850" s="2">
        <v>5091.45</v>
      </c>
      <c r="F3850" s="2">
        <v>4967.45</v>
      </c>
      <c r="G3850" s="3">
        <f t="shared" si="182"/>
        <v>1.2598378071041694E-2</v>
      </c>
      <c r="H3850" s="2">
        <f t="shared" si="180"/>
        <v>124</v>
      </c>
      <c r="I3850" s="3">
        <f t="shared" si="181"/>
        <v>2.4494552925024938E-2</v>
      </c>
    </row>
    <row r="3851" spans="2:9" x14ac:dyDescent="0.25">
      <c r="B3851" s="1">
        <v>40802</v>
      </c>
      <c r="C3851" s="2">
        <v>5084.25</v>
      </c>
      <c r="D3851" s="2">
        <v>5123.3500000000004</v>
      </c>
      <c r="E3851" s="2">
        <v>5143.6000000000004</v>
      </c>
      <c r="F3851" s="2">
        <v>5068.1000000000004</v>
      </c>
      <c r="G3851" s="3">
        <f t="shared" si="182"/>
        <v>1.6844967196643079E-3</v>
      </c>
      <c r="H3851" s="2">
        <f t="shared" si="180"/>
        <v>75.5</v>
      </c>
      <c r="I3851" s="3">
        <f t="shared" si="181"/>
        <v>1.4736451735680755E-2</v>
      </c>
    </row>
    <row r="3852" spans="2:9" x14ac:dyDescent="0.25">
      <c r="B3852" s="1">
        <v>40805</v>
      </c>
      <c r="C3852" s="2">
        <v>5031.95</v>
      </c>
      <c r="D3852" s="2">
        <v>5068.3999999999996</v>
      </c>
      <c r="E3852" s="2">
        <v>5068.3999999999996</v>
      </c>
      <c r="F3852" s="2">
        <v>5019.25</v>
      </c>
      <c r="G3852" s="3">
        <f t="shared" si="182"/>
        <v>-1.0286669616954347E-2</v>
      </c>
      <c r="H3852" s="2">
        <f t="shared" si="180"/>
        <v>49.149999999999636</v>
      </c>
      <c r="I3852" s="3">
        <f t="shared" si="181"/>
        <v>9.6973403835529243E-3</v>
      </c>
    </row>
    <row r="3853" spans="2:9" x14ac:dyDescent="0.25">
      <c r="B3853" s="1">
        <v>40806</v>
      </c>
      <c r="C3853" s="2">
        <v>5140.2</v>
      </c>
      <c r="D3853" s="2">
        <v>5042.55</v>
      </c>
      <c r="E3853" s="2">
        <v>5149.8999999999996</v>
      </c>
      <c r="F3853" s="2">
        <v>5035.25</v>
      </c>
      <c r="G3853" s="3">
        <f t="shared" si="182"/>
        <v>2.1512534901976466E-2</v>
      </c>
      <c r="H3853" s="2">
        <f t="shared" si="180"/>
        <v>114.64999999999964</v>
      </c>
      <c r="I3853" s="3">
        <f t="shared" si="181"/>
        <v>2.2736512280492931E-2</v>
      </c>
    </row>
    <row r="3854" spans="2:9" x14ac:dyDescent="0.25">
      <c r="B3854" s="1">
        <v>40807</v>
      </c>
      <c r="C3854" s="2">
        <v>5133.25</v>
      </c>
      <c r="D3854" s="2">
        <v>5153.75</v>
      </c>
      <c r="E3854" s="2">
        <v>5168.3999999999996</v>
      </c>
      <c r="F3854" s="2">
        <v>5109.8500000000004</v>
      </c>
      <c r="G3854" s="3">
        <f t="shared" si="182"/>
        <v>-1.3520874674136651E-3</v>
      </c>
      <c r="H3854" s="2">
        <f t="shared" si="180"/>
        <v>58.549999999999272</v>
      </c>
      <c r="I3854" s="3">
        <f t="shared" si="181"/>
        <v>1.136065971380049E-2</v>
      </c>
    </row>
    <row r="3855" spans="2:9" x14ac:dyDescent="0.25">
      <c r="B3855" s="1">
        <v>40808</v>
      </c>
      <c r="C3855" s="2">
        <v>4923.6499999999996</v>
      </c>
      <c r="D3855" s="2">
        <v>5054.45</v>
      </c>
      <c r="E3855" s="2">
        <v>5059.8500000000004</v>
      </c>
      <c r="F3855" s="2">
        <v>4907.75</v>
      </c>
      <c r="G3855" s="3">
        <f t="shared" si="182"/>
        <v>-4.0831831685579356E-2</v>
      </c>
      <c r="H3855" s="2">
        <f t="shared" si="180"/>
        <v>152.10000000000036</v>
      </c>
      <c r="I3855" s="3">
        <f t="shared" si="181"/>
        <v>3.0092294908447084E-2</v>
      </c>
    </row>
    <row r="3856" spans="2:9" x14ac:dyDescent="0.25">
      <c r="B3856" s="1">
        <v>40809</v>
      </c>
      <c r="C3856" s="2">
        <v>4867.75</v>
      </c>
      <c r="D3856" s="2">
        <v>4873.75</v>
      </c>
      <c r="E3856" s="2">
        <v>4930.25</v>
      </c>
      <c r="F3856" s="2">
        <v>4829.6000000000004</v>
      </c>
      <c r="G3856" s="3">
        <f t="shared" si="182"/>
        <v>-1.1353365897251E-2</v>
      </c>
      <c r="H3856" s="2">
        <f t="shared" si="180"/>
        <v>100.64999999999964</v>
      </c>
      <c r="I3856" s="3">
        <f t="shared" si="181"/>
        <v>2.0651449089510054E-2</v>
      </c>
    </row>
    <row r="3857" spans="2:9" x14ac:dyDescent="0.25">
      <c r="B3857" s="1">
        <v>40812</v>
      </c>
      <c r="C3857" s="2">
        <v>4835.3999999999996</v>
      </c>
      <c r="D3857" s="2">
        <v>4878.6000000000004</v>
      </c>
      <c r="E3857" s="2">
        <v>4879.8</v>
      </c>
      <c r="F3857" s="2">
        <v>4758.8500000000004</v>
      </c>
      <c r="G3857" s="3">
        <f t="shared" si="182"/>
        <v>-6.6457809049356165E-3</v>
      </c>
      <c r="H3857" s="2">
        <f t="shared" si="180"/>
        <v>120.94999999999982</v>
      </c>
      <c r="I3857" s="3">
        <f t="shared" si="181"/>
        <v>2.4791948509818352E-2</v>
      </c>
    </row>
    <row r="3858" spans="2:9" x14ac:dyDescent="0.25">
      <c r="B3858" s="1">
        <v>40813</v>
      </c>
      <c r="C3858" s="2">
        <v>4971.25</v>
      </c>
      <c r="D3858" s="2">
        <v>4905.1499999999996</v>
      </c>
      <c r="E3858" s="2">
        <v>4982.95</v>
      </c>
      <c r="F3858" s="2">
        <v>4905.1499999999996</v>
      </c>
      <c r="G3858" s="3">
        <f t="shared" si="182"/>
        <v>2.8094883567026496E-2</v>
      </c>
      <c r="H3858" s="2">
        <f t="shared" si="180"/>
        <v>77.800000000000182</v>
      </c>
      <c r="I3858" s="3">
        <f t="shared" si="181"/>
        <v>1.5860880910879421E-2</v>
      </c>
    </row>
    <row r="3859" spans="2:9" x14ac:dyDescent="0.25">
      <c r="B3859" s="1">
        <v>40814</v>
      </c>
      <c r="C3859" s="2">
        <v>4945.8999999999996</v>
      </c>
      <c r="D3859" s="2">
        <v>5005.5</v>
      </c>
      <c r="E3859" s="2">
        <v>5006.05</v>
      </c>
      <c r="F3859" s="2">
        <v>4918.45</v>
      </c>
      <c r="G3859" s="3">
        <f t="shared" si="182"/>
        <v>-5.0993210963038438E-3</v>
      </c>
      <c r="H3859" s="2">
        <f t="shared" si="180"/>
        <v>87.600000000000364</v>
      </c>
      <c r="I3859" s="3">
        <f t="shared" si="181"/>
        <v>1.7500749175906577E-2</v>
      </c>
    </row>
    <row r="3860" spans="2:9" x14ac:dyDescent="0.25">
      <c r="B3860" s="1">
        <v>40815</v>
      </c>
      <c r="C3860" s="2">
        <v>5015.45</v>
      </c>
      <c r="D3860" s="2">
        <v>4924.2</v>
      </c>
      <c r="E3860" s="2">
        <v>5034.25</v>
      </c>
      <c r="F3860" s="2">
        <v>4906</v>
      </c>
      <c r="G3860" s="3">
        <f t="shared" si="182"/>
        <v>1.4062152489941138E-2</v>
      </c>
      <c r="H3860" s="2">
        <f t="shared" si="180"/>
        <v>128.25</v>
      </c>
      <c r="I3860" s="3">
        <f t="shared" si="181"/>
        <v>2.604483977092726E-2</v>
      </c>
    </row>
    <row r="3861" spans="2:9" x14ac:dyDescent="0.25">
      <c r="B3861" s="1">
        <v>40816</v>
      </c>
      <c r="C3861" s="2">
        <v>4943.25</v>
      </c>
      <c r="D3861" s="2">
        <v>4990.1499999999996</v>
      </c>
      <c r="E3861" s="2">
        <v>5025.55</v>
      </c>
      <c r="F3861" s="2">
        <v>4924.3</v>
      </c>
      <c r="G3861" s="3">
        <f t="shared" si="182"/>
        <v>-1.4395517849843942E-2</v>
      </c>
      <c r="H3861" s="2">
        <f t="shared" si="180"/>
        <v>101.25</v>
      </c>
      <c r="I3861" s="3">
        <f t="shared" si="181"/>
        <v>2.02899712433494E-2</v>
      </c>
    </row>
    <row r="3862" spans="2:9" x14ac:dyDescent="0.25">
      <c r="B3862" s="1">
        <v>40819</v>
      </c>
      <c r="C3862" s="2">
        <v>4849.5</v>
      </c>
      <c r="D3862" s="2">
        <v>4874.3999999999996</v>
      </c>
      <c r="E3862" s="2">
        <v>4879.1499999999996</v>
      </c>
      <c r="F3862" s="2">
        <v>4823.8999999999996</v>
      </c>
      <c r="G3862" s="3">
        <f t="shared" si="182"/>
        <v>-1.8965255651646196E-2</v>
      </c>
      <c r="H3862" s="2">
        <f t="shared" si="180"/>
        <v>55.25</v>
      </c>
      <c r="I3862" s="3">
        <f t="shared" si="181"/>
        <v>1.1334728376825866E-2</v>
      </c>
    </row>
    <row r="3863" spans="2:9" x14ac:dyDescent="0.25">
      <c r="B3863" s="1">
        <v>40820</v>
      </c>
      <c r="C3863" s="2">
        <v>4772.1499999999996</v>
      </c>
      <c r="D3863" s="2">
        <v>4823.5</v>
      </c>
      <c r="E3863" s="2">
        <v>4869.75</v>
      </c>
      <c r="F3863" s="2">
        <v>4728.3</v>
      </c>
      <c r="G3863" s="3">
        <f t="shared" si="182"/>
        <v>-1.5950097948242203E-2</v>
      </c>
      <c r="H3863" s="2">
        <f t="shared" si="180"/>
        <v>141.44999999999982</v>
      </c>
      <c r="I3863" s="3">
        <f t="shared" si="181"/>
        <v>2.9325178812065891E-2</v>
      </c>
    </row>
    <row r="3864" spans="2:9" x14ac:dyDescent="0.25">
      <c r="B3864" s="1">
        <v>40821</v>
      </c>
      <c r="C3864" s="2">
        <v>4751.3</v>
      </c>
      <c r="D3864" s="2">
        <v>4791.3</v>
      </c>
      <c r="E3864" s="2">
        <v>4827.8</v>
      </c>
      <c r="F3864" s="2">
        <v>4741</v>
      </c>
      <c r="G3864" s="3">
        <f t="shared" si="182"/>
        <v>-4.36909988160461E-3</v>
      </c>
      <c r="H3864" s="2">
        <f t="shared" si="180"/>
        <v>86.800000000000182</v>
      </c>
      <c r="I3864" s="3">
        <f t="shared" si="181"/>
        <v>1.8116168889445491E-2</v>
      </c>
    </row>
    <row r="3865" spans="2:9" x14ac:dyDescent="0.25">
      <c r="B3865" s="1">
        <v>40823</v>
      </c>
      <c r="C3865" s="2">
        <v>4888.05</v>
      </c>
      <c r="D3865" s="2">
        <v>4883.6499999999996</v>
      </c>
      <c r="E3865" s="2">
        <v>4922.6000000000004</v>
      </c>
      <c r="F3865" s="2">
        <v>4861.2</v>
      </c>
      <c r="G3865" s="3">
        <f t="shared" si="182"/>
        <v>2.8781596615663041E-2</v>
      </c>
      <c r="H3865" s="2">
        <f t="shared" si="180"/>
        <v>61.400000000000546</v>
      </c>
      <c r="I3865" s="3">
        <f t="shared" si="181"/>
        <v>1.2572563553899348E-2</v>
      </c>
    </row>
    <row r="3866" spans="2:9" x14ac:dyDescent="0.25">
      <c r="B3866" s="1">
        <v>40826</v>
      </c>
      <c r="C3866" s="2">
        <v>4979.6000000000004</v>
      </c>
      <c r="D3866" s="2">
        <v>4886.8500000000004</v>
      </c>
      <c r="E3866" s="2">
        <v>4991.1499999999996</v>
      </c>
      <c r="F3866" s="2">
        <v>4882.05</v>
      </c>
      <c r="G3866" s="3">
        <f t="shared" si="182"/>
        <v>1.8729350149855328E-2</v>
      </c>
      <c r="H3866" s="2">
        <f t="shared" si="180"/>
        <v>109.09999999999945</v>
      </c>
      <c r="I3866" s="3">
        <f t="shared" si="181"/>
        <v>2.2325219722315898E-2</v>
      </c>
    </row>
    <row r="3867" spans="2:9" x14ac:dyDescent="0.25">
      <c r="B3867" s="1">
        <v>40827</v>
      </c>
      <c r="C3867" s="2">
        <v>4974.3500000000004</v>
      </c>
      <c r="D3867" s="2">
        <v>5019.8999999999996</v>
      </c>
      <c r="E3867" s="2">
        <v>5045.1000000000004</v>
      </c>
      <c r="F3867" s="2">
        <v>4964</v>
      </c>
      <c r="G3867" s="3">
        <f t="shared" si="182"/>
        <v>-1.0543015503253761E-3</v>
      </c>
      <c r="H3867" s="2">
        <f t="shared" si="180"/>
        <v>81.100000000000364</v>
      </c>
      <c r="I3867" s="3">
        <f t="shared" si="181"/>
        <v>1.6155700312755306E-2</v>
      </c>
    </row>
    <row r="3868" spans="2:9" x14ac:dyDescent="0.25">
      <c r="B3868" s="1">
        <v>40828</v>
      </c>
      <c r="C3868" s="2">
        <v>5099.3999999999996</v>
      </c>
      <c r="D3868" s="2">
        <v>5011.2</v>
      </c>
      <c r="E3868" s="2">
        <v>5109.8</v>
      </c>
      <c r="F3868" s="2">
        <v>4997.6499999999996</v>
      </c>
      <c r="G3868" s="3">
        <f t="shared" si="182"/>
        <v>2.5138962879571958E-2</v>
      </c>
      <c r="H3868" s="2">
        <f t="shared" si="180"/>
        <v>112.15000000000055</v>
      </c>
      <c r="I3868" s="3">
        <f t="shared" si="181"/>
        <v>2.2379869093231274E-2</v>
      </c>
    </row>
    <row r="3869" spans="2:9" x14ac:dyDescent="0.25">
      <c r="B3869" s="1">
        <v>40829</v>
      </c>
      <c r="C3869" s="2">
        <v>5077.8500000000004</v>
      </c>
      <c r="D3869" s="2">
        <v>5130.8</v>
      </c>
      <c r="E3869" s="2">
        <v>5136.95</v>
      </c>
      <c r="F3869" s="2">
        <v>5067.6499999999996</v>
      </c>
      <c r="G3869" s="3">
        <f t="shared" si="182"/>
        <v>-4.2259873710631668E-3</v>
      </c>
      <c r="H3869" s="2">
        <f t="shared" si="180"/>
        <v>69.300000000000182</v>
      </c>
      <c r="I3869" s="3">
        <f t="shared" si="181"/>
        <v>1.3506665627192676E-2</v>
      </c>
    </row>
    <row r="3870" spans="2:9" x14ac:dyDescent="0.25">
      <c r="B3870" s="1">
        <v>40830</v>
      </c>
      <c r="C3870" s="2">
        <v>5132.3</v>
      </c>
      <c r="D3870" s="2">
        <v>5057.3500000000004</v>
      </c>
      <c r="E3870" s="2">
        <v>5141.3999999999996</v>
      </c>
      <c r="F3870" s="2">
        <v>5056.6000000000004</v>
      </c>
      <c r="G3870" s="3">
        <f t="shared" si="182"/>
        <v>1.0723042232440916E-2</v>
      </c>
      <c r="H3870" s="2">
        <f t="shared" si="180"/>
        <v>84.799999999999272</v>
      </c>
      <c r="I3870" s="3">
        <f t="shared" si="181"/>
        <v>1.6767674770383555E-2</v>
      </c>
    </row>
    <row r="3871" spans="2:9" x14ac:dyDescent="0.25">
      <c r="B3871" s="1">
        <v>40833</v>
      </c>
      <c r="C3871" s="2">
        <v>5118.25</v>
      </c>
      <c r="D3871" s="2">
        <v>5156.2</v>
      </c>
      <c r="E3871" s="2">
        <v>5160.2</v>
      </c>
      <c r="F3871" s="2">
        <v>5084.5</v>
      </c>
      <c r="G3871" s="3">
        <f t="shared" si="182"/>
        <v>-2.7375640551020597E-3</v>
      </c>
      <c r="H3871" s="2">
        <f t="shared" si="180"/>
        <v>75.699999999999818</v>
      </c>
      <c r="I3871" s="3">
        <f t="shared" si="181"/>
        <v>1.4681354485861647E-2</v>
      </c>
    </row>
    <row r="3872" spans="2:9" x14ac:dyDescent="0.25">
      <c r="B3872" s="1">
        <v>40834</v>
      </c>
      <c r="C3872" s="2">
        <v>5037.5</v>
      </c>
      <c r="D3872" s="2">
        <v>5049.45</v>
      </c>
      <c r="E3872" s="2">
        <v>5057.5</v>
      </c>
      <c r="F3872" s="2">
        <v>5011.05</v>
      </c>
      <c r="G3872" s="3">
        <f t="shared" si="182"/>
        <v>-1.5776876862208744E-2</v>
      </c>
      <c r="H3872" s="2">
        <f t="shared" si="180"/>
        <v>46.449999999999818</v>
      </c>
      <c r="I3872" s="3">
        <f t="shared" si="181"/>
        <v>9.1990216756280031E-3</v>
      </c>
    </row>
    <row r="3873" spans="2:9" x14ac:dyDescent="0.25">
      <c r="B3873" s="1">
        <v>40835</v>
      </c>
      <c r="C3873" s="2">
        <v>5139.1499999999996</v>
      </c>
      <c r="D3873" s="2">
        <v>5080.45</v>
      </c>
      <c r="E3873" s="2">
        <v>5148.05</v>
      </c>
      <c r="F3873" s="2">
        <v>5075.3</v>
      </c>
      <c r="G3873" s="3">
        <f t="shared" si="182"/>
        <v>2.017866004962765E-2</v>
      </c>
      <c r="H3873" s="2">
        <f t="shared" si="180"/>
        <v>72.75</v>
      </c>
      <c r="I3873" s="3">
        <f t="shared" si="181"/>
        <v>1.431959767343444E-2</v>
      </c>
    </row>
    <row r="3874" spans="2:9" x14ac:dyDescent="0.25">
      <c r="B3874" s="1">
        <v>40836</v>
      </c>
      <c r="C3874" s="2">
        <v>5091.8999999999996</v>
      </c>
      <c r="D3874" s="2">
        <v>5086.55</v>
      </c>
      <c r="E3874" s="2">
        <v>5099</v>
      </c>
      <c r="F3874" s="2">
        <v>5033.95</v>
      </c>
      <c r="G3874" s="3">
        <f t="shared" si="182"/>
        <v>-9.1941274335249901E-3</v>
      </c>
      <c r="H3874" s="2">
        <f t="shared" si="180"/>
        <v>65.050000000000182</v>
      </c>
      <c r="I3874" s="3">
        <f t="shared" si="181"/>
        <v>1.2788628834868462E-2</v>
      </c>
    </row>
    <row r="3875" spans="2:9" x14ac:dyDescent="0.25">
      <c r="B3875" s="1">
        <v>40837</v>
      </c>
      <c r="C3875" s="2">
        <v>5049.95</v>
      </c>
      <c r="D3875" s="2">
        <v>5106.6000000000004</v>
      </c>
      <c r="E3875" s="2">
        <v>5120.75</v>
      </c>
      <c r="F3875" s="2">
        <v>5037.95</v>
      </c>
      <c r="G3875" s="3">
        <f t="shared" si="182"/>
        <v>-8.238574991653369E-3</v>
      </c>
      <c r="H3875" s="2">
        <f t="shared" si="180"/>
        <v>82.800000000000182</v>
      </c>
      <c r="I3875" s="3">
        <f t="shared" si="181"/>
        <v>1.6214310891787133E-2</v>
      </c>
    </row>
    <row r="3876" spans="2:9" x14ac:dyDescent="0.25">
      <c r="B3876" s="1">
        <v>40840</v>
      </c>
      <c r="C3876" s="2">
        <v>5098.3500000000004</v>
      </c>
      <c r="D3876" s="2">
        <v>5114.7</v>
      </c>
      <c r="E3876" s="2">
        <v>5145.6499999999996</v>
      </c>
      <c r="F3876" s="2">
        <v>5084.75</v>
      </c>
      <c r="G3876" s="3">
        <f t="shared" si="182"/>
        <v>9.5842533094387949E-3</v>
      </c>
      <c r="H3876" s="2">
        <f t="shared" si="180"/>
        <v>60.899999999999636</v>
      </c>
      <c r="I3876" s="3">
        <f t="shared" si="181"/>
        <v>1.1906856707138178E-2</v>
      </c>
    </row>
    <row r="3877" spans="2:9" x14ac:dyDescent="0.25">
      <c r="B3877" s="1">
        <v>40841</v>
      </c>
      <c r="C3877" s="2">
        <v>5191.6000000000004</v>
      </c>
      <c r="D3877" s="2">
        <v>5137.8999999999996</v>
      </c>
      <c r="E3877" s="2">
        <v>5211</v>
      </c>
      <c r="F3877" s="2">
        <v>5085.55</v>
      </c>
      <c r="G3877" s="3">
        <f t="shared" si="182"/>
        <v>1.8290231153216263E-2</v>
      </c>
      <c r="H3877" s="2">
        <f t="shared" si="180"/>
        <v>125.44999999999982</v>
      </c>
      <c r="I3877" s="3">
        <f t="shared" si="181"/>
        <v>2.4416590435781121E-2</v>
      </c>
    </row>
    <row r="3878" spans="2:9" x14ac:dyDescent="0.25">
      <c r="B3878" s="1">
        <v>40842</v>
      </c>
      <c r="C3878" s="2">
        <v>5201.8</v>
      </c>
      <c r="D3878" s="2">
        <v>5214.95</v>
      </c>
      <c r="E3878" s="2">
        <v>5219.25</v>
      </c>
      <c r="F3878" s="2">
        <v>5196.1499999999996</v>
      </c>
      <c r="G3878" s="3">
        <f t="shared" si="182"/>
        <v>1.9647122274442097E-3</v>
      </c>
      <c r="H3878" s="2">
        <f t="shared" si="180"/>
        <v>23.100000000000364</v>
      </c>
      <c r="I3878" s="3">
        <f t="shared" si="181"/>
        <v>4.4295726708789857E-3</v>
      </c>
    </row>
    <row r="3879" spans="2:9" x14ac:dyDescent="0.25">
      <c r="B3879" s="1">
        <v>40844</v>
      </c>
      <c r="C3879" s="2">
        <v>5360.7</v>
      </c>
      <c r="D3879" s="2">
        <v>5341.9</v>
      </c>
      <c r="E3879" s="2">
        <v>5399.7</v>
      </c>
      <c r="F3879" s="2">
        <v>5322.8</v>
      </c>
      <c r="G3879" s="3">
        <f t="shared" si="182"/>
        <v>3.0547118305201959E-2</v>
      </c>
      <c r="H3879" s="2">
        <f t="shared" si="180"/>
        <v>76.899999999999636</v>
      </c>
      <c r="I3879" s="3">
        <f t="shared" si="181"/>
        <v>1.4395627024092484E-2</v>
      </c>
    </row>
    <row r="3880" spans="2:9" x14ac:dyDescent="0.25">
      <c r="B3880" s="1">
        <v>40847</v>
      </c>
      <c r="C3880" s="2">
        <v>5326.6</v>
      </c>
      <c r="D3880" s="2">
        <v>5358.9</v>
      </c>
      <c r="E3880" s="2">
        <v>5360.25</v>
      </c>
      <c r="F3880" s="2">
        <v>5314.6</v>
      </c>
      <c r="G3880" s="3">
        <f t="shared" si="182"/>
        <v>-6.3611095565876408E-3</v>
      </c>
      <c r="H3880" s="2">
        <f t="shared" si="180"/>
        <v>45.649999999999636</v>
      </c>
      <c r="I3880" s="3">
        <f t="shared" si="181"/>
        <v>8.518539252458459E-3</v>
      </c>
    </row>
    <row r="3881" spans="2:9" x14ac:dyDescent="0.25">
      <c r="B3881" s="1">
        <v>40848</v>
      </c>
      <c r="C3881" s="2">
        <v>5257.95</v>
      </c>
      <c r="D3881" s="2">
        <v>5278.6</v>
      </c>
      <c r="E3881" s="2">
        <v>5310.85</v>
      </c>
      <c r="F3881" s="2">
        <v>5238.3</v>
      </c>
      <c r="G3881" s="3">
        <f t="shared" si="182"/>
        <v>-1.2888146284684487E-2</v>
      </c>
      <c r="H3881" s="2">
        <f t="shared" si="180"/>
        <v>72.550000000000182</v>
      </c>
      <c r="I3881" s="3">
        <f t="shared" si="181"/>
        <v>1.3744174591747845E-2</v>
      </c>
    </row>
    <row r="3882" spans="2:9" x14ac:dyDescent="0.25">
      <c r="B3882" s="1">
        <v>40849</v>
      </c>
      <c r="C3882" s="2">
        <v>5258.45</v>
      </c>
      <c r="D3882" s="2">
        <v>5216.75</v>
      </c>
      <c r="E3882" s="2">
        <v>5300.1</v>
      </c>
      <c r="F3882" s="2">
        <v>5204.95</v>
      </c>
      <c r="G3882" s="3">
        <f t="shared" si="182"/>
        <v>9.5094095607706208E-5</v>
      </c>
      <c r="H3882" s="2">
        <f t="shared" si="180"/>
        <v>95.150000000000546</v>
      </c>
      <c r="I3882" s="3">
        <f t="shared" si="181"/>
        <v>1.8239325250395465E-2</v>
      </c>
    </row>
    <row r="3883" spans="2:9" x14ac:dyDescent="0.25">
      <c r="B3883" s="1">
        <v>40850</v>
      </c>
      <c r="C3883" s="2">
        <v>5265.75</v>
      </c>
      <c r="D3883" s="2">
        <v>5241.55</v>
      </c>
      <c r="E3883" s="2">
        <v>5281.6</v>
      </c>
      <c r="F3883" s="2">
        <v>5201.8500000000004</v>
      </c>
      <c r="G3883" s="3">
        <f t="shared" si="182"/>
        <v>1.3882417822743687E-3</v>
      </c>
      <c r="H3883" s="2">
        <f t="shared" si="180"/>
        <v>79.75</v>
      </c>
      <c r="I3883" s="3">
        <f t="shared" si="181"/>
        <v>1.5214965038967481E-2</v>
      </c>
    </row>
    <row r="3884" spans="2:9" x14ac:dyDescent="0.25">
      <c r="B3884" s="1">
        <v>40851</v>
      </c>
      <c r="C3884" s="2">
        <v>5284.2</v>
      </c>
      <c r="D3884" s="2">
        <v>5325.4</v>
      </c>
      <c r="E3884" s="2">
        <v>5326.45</v>
      </c>
      <c r="F3884" s="2">
        <v>5256.8</v>
      </c>
      <c r="G3884" s="3">
        <f t="shared" si="182"/>
        <v>3.5037743911123798E-3</v>
      </c>
      <c r="H3884" s="2">
        <f t="shared" si="180"/>
        <v>69.649999999999636</v>
      </c>
      <c r="I3884" s="3">
        <f t="shared" si="181"/>
        <v>1.3078829759266842E-2</v>
      </c>
    </row>
    <row r="3885" spans="2:9" x14ac:dyDescent="0.25">
      <c r="B3885" s="1">
        <v>40855</v>
      </c>
      <c r="C3885" s="2">
        <v>5289.35</v>
      </c>
      <c r="D3885" s="2">
        <v>5292.25</v>
      </c>
      <c r="E3885" s="2">
        <v>5304.25</v>
      </c>
      <c r="F3885" s="2">
        <v>5252</v>
      </c>
      <c r="G3885" s="3">
        <f t="shared" si="182"/>
        <v>9.746035350668425E-4</v>
      </c>
      <c r="H3885" s="2">
        <f t="shared" si="180"/>
        <v>52.25</v>
      </c>
      <c r="I3885" s="3">
        <f t="shared" si="181"/>
        <v>9.8729273938306019E-3</v>
      </c>
    </row>
    <row r="3886" spans="2:9" x14ac:dyDescent="0.25">
      <c r="B3886" s="1">
        <v>40856</v>
      </c>
      <c r="C3886" s="2">
        <v>5221.05</v>
      </c>
      <c r="D3886" s="2">
        <v>5309.7</v>
      </c>
      <c r="E3886" s="2">
        <v>5317.5</v>
      </c>
      <c r="F3886" s="2">
        <v>5211.75</v>
      </c>
      <c r="G3886" s="3">
        <f t="shared" si="182"/>
        <v>-1.2912739750631008E-2</v>
      </c>
      <c r="H3886" s="2">
        <f t="shared" si="180"/>
        <v>105.75</v>
      </c>
      <c r="I3886" s="3">
        <f t="shared" si="181"/>
        <v>1.9916379456466467E-2</v>
      </c>
    </row>
    <row r="3887" spans="2:9" x14ac:dyDescent="0.25">
      <c r="B3887" s="1">
        <v>40858</v>
      </c>
      <c r="C3887" s="2">
        <v>5168.8500000000004</v>
      </c>
      <c r="D3887" s="2">
        <v>5159.75</v>
      </c>
      <c r="E3887" s="2">
        <v>5198.6000000000004</v>
      </c>
      <c r="F3887" s="2">
        <v>5142.25</v>
      </c>
      <c r="G3887" s="3">
        <f t="shared" si="182"/>
        <v>-9.9979889102765895E-3</v>
      </c>
      <c r="H3887" s="2">
        <f t="shared" si="180"/>
        <v>56.350000000000364</v>
      </c>
      <c r="I3887" s="3">
        <f t="shared" si="181"/>
        <v>1.0921071757352655E-2</v>
      </c>
    </row>
    <row r="3888" spans="2:9" x14ac:dyDescent="0.25">
      <c r="B3888" s="1">
        <v>40861</v>
      </c>
      <c r="C3888" s="2">
        <v>5148.3500000000004</v>
      </c>
      <c r="D3888" s="2">
        <v>5217.3500000000004</v>
      </c>
      <c r="E3888" s="2">
        <v>5228.8999999999996</v>
      </c>
      <c r="F3888" s="2">
        <v>5140.55</v>
      </c>
      <c r="G3888" s="3">
        <f t="shared" si="182"/>
        <v>-3.9660659527748221E-3</v>
      </c>
      <c r="H3888" s="2">
        <f t="shared" si="180"/>
        <v>88.349999999999454</v>
      </c>
      <c r="I3888" s="3">
        <f t="shared" si="181"/>
        <v>1.6933884059915368E-2</v>
      </c>
    </row>
    <row r="3889" spans="2:9" x14ac:dyDescent="0.25">
      <c r="B3889" s="1">
        <v>40862</v>
      </c>
      <c r="C3889" s="2">
        <v>5068.5</v>
      </c>
      <c r="D3889" s="2">
        <v>5131.2</v>
      </c>
      <c r="E3889" s="2">
        <v>5158.75</v>
      </c>
      <c r="F3889" s="2">
        <v>5052.8500000000004</v>
      </c>
      <c r="G3889" s="3">
        <f t="shared" si="182"/>
        <v>-1.5509823535695966E-2</v>
      </c>
      <c r="H3889" s="2">
        <f t="shared" si="180"/>
        <v>105.89999999999964</v>
      </c>
      <c r="I3889" s="3">
        <f t="shared" si="181"/>
        <v>2.0638447146866159E-2</v>
      </c>
    </row>
    <row r="3890" spans="2:9" x14ac:dyDescent="0.25">
      <c r="B3890" s="1">
        <v>40863</v>
      </c>
      <c r="C3890" s="2">
        <v>5030.45</v>
      </c>
      <c r="D3890" s="2">
        <v>5059.1000000000004</v>
      </c>
      <c r="E3890" s="2">
        <v>5065.2</v>
      </c>
      <c r="F3890" s="2">
        <v>4989.5</v>
      </c>
      <c r="G3890" s="3">
        <f t="shared" si="182"/>
        <v>-7.5071520173621842E-3</v>
      </c>
      <c r="H3890" s="2">
        <f t="shared" si="180"/>
        <v>75.699999999999818</v>
      </c>
      <c r="I3890" s="3">
        <f t="shared" si="181"/>
        <v>1.496313573560511E-2</v>
      </c>
    </row>
    <row r="3891" spans="2:9" x14ac:dyDescent="0.25">
      <c r="B3891" s="1">
        <v>40864</v>
      </c>
      <c r="C3891" s="2">
        <v>4934.75</v>
      </c>
      <c r="D3891" s="2">
        <v>5027.1000000000004</v>
      </c>
      <c r="E3891" s="2">
        <v>5036.8</v>
      </c>
      <c r="F3891" s="2">
        <v>4919.45</v>
      </c>
      <c r="G3891" s="3">
        <f t="shared" si="182"/>
        <v>-1.9024142969316871E-2</v>
      </c>
      <c r="H3891" s="2">
        <f t="shared" si="180"/>
        <v>117.35000000000036</v>
      </c>
      <c r="I3891" s="3">
        <f t="shared" si="181"/>
        <v>2.3343478347357394E-2</v>
      </c>
    </row>
    <row r="3892" spans="2:9" x14ac:dyDescent="0.25">
      <c r="B3892" s="1">
        <v>40865</v>
      </c>
      <c r="C3892" s="2">
        <v>4905.8</v>
      </c>
      <c r="D3892" s="2">
        <v>4899.1499999999996</v>
      </c>
      <c r="E3892" s="2">
        <v>4915.8999999999996</v>
      </c>
      <c r="F3892" s="2">
        <v>4837.95</v>
      </c>
      <c r="G3892" s="3">
        <f t="shared" si="182"/>
        <v>-5.866558589594173E-3</v>
      </c>
      <c r="H3892" s="2">
        <f t="shared" si="180"/>
        <v>77.949999999999818</v>
      </c>
      <c r="I3892" s="3">
        <f t="shared" si="181"/>
        <v>1.5910923323433621E-2</v>
      </c>
    </row>
    <row r="3893" spans="2:9" x14ac:dyDescent="0.25">
      <c r="B3893" s="1">
        <v>40868</v>
      </c>
      <c r="C3893" s="2">
        <v>4778.3500000000004</v>
      </c>
      <c r="D3893" s="2">
        <v>4873.8</v>
      </c>
      <c r="E3893" s="2">
        <v>4873.8</v>
      </c>
      <c r="F3893" s="2">
        <v>4764.8</v>
      </c>
      <c r="G3893" s="3">
        <f t="shared" si="182"/>
        <v>-2.5979452892494592E-2</v>
      </c>
      <c r="H3893" s="2">
        <f t="shared" si="180"/>
        <v>109</v>
      </c>
      <c r="I3893" s="3">
        <f t="shared" si="181"/>
        <v>2.2364479461611061E-2</v>
      </c>
    </row>
    <row r="3894" spans="2:9" x14ac:dyDescent="0.25">
      <c r="B3894" s="1">
        <v>40869</v>
      </c>
      <c r="C3894" s="2">
        <v>4812.3500000000004</v>
      </c>
      <c r="D3894" s="2">
        <v>4794.8500000000004</v>
      </c>
      <c r="E3894" s="2">
        <v>4854</v>
      </c>
      <c r="F3894" s="2">
        <v>4782.55</v>
      </c>
      <c r="G3894" s="3">
        <f t="shared" si="182"/>
        <v>7.1154268732931403E-3</v>
      </c>
      <c r="H3894" s="2">
        <f t="shared" si="180"/>
        <v>71.449999999999818</v>
      </c>
      <c r="I3894" s="3">
        <f t="shared" si="181"/>
        <v>1.4901404632053101E-2</v>
      </c>
    </row>
    <row r="3895" spans="2:9" x14ac:dyDescent="0.25">
      <c r="B3895" s="1">
        <v>40870</v>
      </c>
      <c r="C3895" s="2">
        <v>4706.45</v>
      </c>
      <c r="D3895" s="2">
        <v>4779.5</v>
      </c>
      <c r="E3895" s="2">
        <v>4779.5</v>
      </c>
      <c r="F3895" s="2">
        <v>4640.95</v>
      </c>
      <c r="G3895" s="3">
        <f t="shared" si="182"/>
        <v>-2.2005880702775316E-2</v>
      </c>
      <c r="H3895" s="2">
        <f t="shared" si="180"/>
        <v>138.55000000000018</v>
      </c>
      <c r="I3895" s="3">
        <f t="shared" si="181"/>
        <v>2.8988387906684839E-2</v>
      </c>
    </row>
    <row r="3896" spans="2:9" x14ac:dyDescent="0.25">
      <c r="B3896" s="1">
        <v>40871</v>
      </c>
      <c r="C3896" s="2">
        <v>4756.45</v>
      </c>
      <c r="D3896" s="2">
        <v>4707.55</v>
      </c>
      <c r="E3896" s="2">
        <v>4771.1000000000004</v>
      </c>
      <c r="F3896" s="2">
        <v>4639.1000000000004</v>
      </c>
      <c r="G3896" s="3">
        <f t="shared" si="182"/>
        <v>1.0623718513954161E-2</v>
      </c>
      <c r="H3896" s="2">
        <f t="shared" si="180"/>
        <v>132</v>
      </c>
      <c r="I3896" s="3">
        <f t="shared" si="181"/>
        <v>2.8040063302567152E-2</v>
      </c>
    </row>
    <row r="3897" spans="2:9" x14ac:dyDescent="0.25">
      <c r="B3897" s="1">
        <v>40872</v>
      </c>
      <c r="C3897" s="2">
        <v>4710.05</v>
      </c>
      <c r="D3897" s="2">
        <v>4731.3</v>
      </c>
      <c r="E3897" s="2">
        <v>4767.3</v>
      </c>
      <c r="F3897" s="2">
        <v>4693.1000000000004</v>
      </c>
      <c r="G3897" s="3">
        <f t="shared" si="182"/>
        <v>-9.7551745524497857E-3</v>
      </c>
      <c r="H3897" s="2">
        <f t="shared" si="180"/>
        <v>74.199999999999818</v>
      </c>
      <c r="I3897" s="3">
        <f t="shared" si="181"/>
        <v>1.568279331262017E-2</v>
      </c>
    </row>
    <row r="3898" spans="2:9" x14ac:dyDescent="0.25">
      <c r="B3898" s="1">
        <v>40875</v>
      </c>
      <c r="C3898" s="2">
        <v>4851.3</v>
      </c>
      <c r="D3898" s="2">
        <v>4769.3</v>
      </c>
      <c r="E3898" s="2">
        <v>4859.1000000000004</v>
      </c>
      <c r="F3898" s="2">
        <v>4766.3999999999996</v>
      </c>
      <c r="G3898" s="3">
        <f t="shared" si="182"/>
        <v>2.9989065933482717E-2</v>
      </c>
      <c r="H3898" s="2">
        <f t="shared" si="180"/>
        <v>92.700000000000728</v>
      </c>
      <c r="I3898" s="3">
        <f t="shared" si="181"/>
        <v>1.94368146268846E-2</v>
      </c>
    </row>
    <row r="3899" spans="2:9" x14ac:dyDescent="0.25">
      <c r="B3899" s="1">
        <v>40876</v>
      </c>
      <c r="C3899" s="2">
        <v>4805.1000000000004</v>
      </c>
      <c r="D3899" s="2">
        <v>4864.2</v>
      </c>
      <c r="E3899" s="2">
        <v>4866.1000000000004</v>
      </c>
      <c r="F3899" s="2">
        <v>4787.1000000000004</v>
      </c>
      <c r="G3899" s="3">
        <f t="shared" si="182"/>
        <v>-9.5232205800506176E-3</v>
      </c>
      <c r="H3899" s="2">
        <f t="shared" si="180"/>
        <v>79</v>
      </c>
      <c r="I3899" s="3">
        <f t="shared" si="181"/>
        <v>1.6241108507051519E-2</v>
      </c>
    </row>
    <row r="3900" spans="2:9" x14ac:dyDescent="0.25">
      <c r="B3900" s="1">
        <v>40877</v>
      </c>
      <c r="C3900" s="2">
        <v>4832.05</v>
      </c>
      <c r="D3900" s="2">
        <v>4766.1499999999996</v>
      </c>
      <c r="E3900" s="2">
        <v>4851.55</v>
      </c>
      <c r="F3900" s="2">
        <v>4754.8</v>
      </c>
      <c r="G3900" s="3">
        <f t="shared" si="182"/>
        <v>5.6086241701525097E-3</v>
      </c>
      <c r="H3900" s="2">
        <f t="shared" si="180"/>
        <v>96.75</v>
      </c>
      <c r="I3900" s="3">
        <f t="shared" si="181"/>
        <v>2.0299403082152261E-2</v>
      </c>
    </row>
    <row r="3901" spans="2:9" x14ac:dyDescent="0.25">
      <c r="B3901" s="1">
        <v>40878</v>
      </c>
      <c r="C3901" s="2">
        <v>4936.8500000000004</v>
      </c>
      <c r="D3901" s="2">
        <v>4970.8500000000004</v>
      </c>
      <c r="E3901" s="2">
        <v>5011.8999999999996</v>
      </c>
      <c r="F3901" s="2">
        <v>4916.7</v>
      </c>
      <c r="G3901" s="3">
        <f t="shared" si="182"/>
        <v>2.1688517295971765E-2</v>
      </c>
      <c r="H3901" s="2">
        <f t="shared" si="180"/>
        <v>95.199999999999818</v>
      </c>
      <c r="I3901" s="3">
        <f t="shared" si="181"/>
        <v>1.9151654143657486E-2</v>
      </c>
    </row>
    <row r="3902" spans="2:9" x14ac:dyDescent="0.25">
      <c r="B3902" s="1">
        <v>40879</v>
      </c>
      <c r="C3902" s="2">
        <v>5050.1499999999996</v>
      </c>
      <c r="D3902" s="2">
        <v>4940.8500000000004</v>
      </c>
      <c r="E3902" s="2">
        <v>5062.55</v>
      </c>
      <c r="F3902" s="2">
        <v>4918.3999999999996</v>
      </c>
      <c r="G3902" s="3">
        <f t="shared" si="182"/>
        <v>2.2949856689994386E-2</v>
      </c>
      <c r="H3902" s="2">
        <f t="shared" si="180"/>
        <v>144.15000000000055</v>
      </c>
      <c r="I3902" s="3">
        <f t="shared" si="181"/>
        <v>2.9175141929020418E-2</v>
      </c>
    </row>
    <row r="3903" spans="2:9" x14ac:dyDescent="0.25">
      <c r="B3903" s="1">
        <v>40882</v>
      </c>
      <c r="C3903" s="2">
        <v>5039.1499999999996</v>
      </c>
      <c r="D3903" s="2">
        <v>5036.5</v>
      </c>
      <c r="E3903" s="2">
        <v>5055.3999999999996</v>
      </c>
      <c r="F3903" s="2">
        <v>5002.55</v>
      </c>
      <c r="G3903" s="3">
        <f t="shared" si="182"/>
        <v>-2.1781531241645835E-3</v>
      </c>
      <c r="H3903" s="2">
        <f t="shared" si="180"/>
        <v>52.849999999999454</v>
      </c>
      <c r="I3903" s="3">
        <f t="shared" si="181"/>
        <v>1.0493398193189606E-2</v>
      </c>
    </row>
    <row r="3904" spans="2:9" x14ac:dyDescent="0.25">
      <c r="B3904" s="1">
        <v>40884</v>
      </c>
      <c r="C3904" s="2">
        <v>5062.6000000000004</v>
      </c>
      <c r="D3904" s="2">
        <v>5050.1000000000004</v>
      </c>
      <c r="E3904" s="2">
        <v>5099.25</v>
      </c>
      <c r="F3904" s="2">
        <v>5032.25</v>
      </c>
      <c r="G3904" s="3">
        <f t="shared" si="182"/>
        <v>4.6535626048045398E-3</v>
      </c>
      <c r="H3904" s="2">
        <f t="shared" si="180"/>
        <v>67</v>
      </c>
      <c r="I3904" s="3">
        <f t="shared" si="181"/>
        <v>1.3267064018534286E-2</v>
      </c>
    </row>
    <row r="3905" spans="2:9" x14ac:dyDescent="0.25">
      <c r="B3905" s="1">
        <v>40885</v>
      </c>
      <c r="C3905" s="2">
        <v>4943.6499999999996</v>
      </c>
      <c r="D3905" s="2">
        <v>5037.3999999999996</v>
      </c>
      <c r="E3905" s="2">
        <v>5049.05</v>
      </c>
      <c r="F3905" s="2">
        <v>4921.45</v>
      </c>
      <c r="G3905" s="3">
        <f t="shared" si="182"/>
        <v>-2.3495832181092857E-2</v>
      </c>
      <c r="H3905" s="2">
        <f t="shared" si="180"/>
        <v>127.60000000000036</v>
      </c>
      <c r="I3905" s="3">
        <f t="shared" si="181"/>
        <v>2.533052765315448E-2</v>
      </c>
    </row>
    <row r="3906" spans="2:9" x14ac:dyDescent="0.25">
      <c r="B3906" s="1">
        <v>40886</v>
      </c>
      <c r="C3906" s="2">
        <v>4866.7</v>
      </c>
      <c r="D3906" s="2">
        <v>4870.75</v>
      </c>
      <c r="E3906" s="2">
        <v>4918.3500000000004</v>
      </c>
      <c r="F3906" s="2">
        <v>4841.75</v>
      </c>
      <c r="G3906" s="3">
        <f t="shared" si="182"/>
        <v>-1.5565422309427257E-2</v>
      </c>
      <c r="H3906" s="2">
        <f t="shared" si="180"/>
        <v>76.600000000000364</v>
      </c>
      <c r="I3906" s="3">
        <f t="shared" si="181"/>
        <v>1.5726530821742107E-2</v>
      </c>
    </row>
    <row r="3907" spans="2:9" x14ac:dyDescent="0.25">
      <c r="B3907" s="1">
        <v>40889</v>
      </c>
      <c r="C3907" s="2">
        <v>4764.6000000000004</v>
      </c>
      <c r="D3907" s="2">
        <v>4906.8500000000004</v>
      </c>
      <c r="E3907" s="2">
        <v>4910.25</v>
      </c>
      <c r="F3907" s="2">
        <v>4755.55</v>
      </c>
      <c r="G3907" s="3">
        <f t="shared" si="182"/>
        <v>-2.0979308360901561E-2</v>
      </c>
      <c r="H3907" s="2">
        <f t="shared" si="180"/>
        <v>154.69999999999982</v>
      </c>
      <c r="I3907" s="3">
        <f t="shared" si="181"/>
        <v>3.1527354616505458E-2</v>
      </c>
    </row>
    <row r="3908" spans="2:9" x14ac:dyDescent="0.25">
      <c r="B3908" s="1">
        <v>40890</v>
      </c>
      <c r="C3908" s="2">
        <v>4800.6000000000004</v>
      </c>
      <c r="D3908" s="2">
        <v>4733.6000000000004</v>
      </c>
      <c r="E3908" s="2">
        <v>4824.7</v>
      </c>
      <c r="F3908" s="2">
        <v>4728.5</v>
      </c>
      <c r="G3908" s="3">
        <f t="shared" si="182"/>
        <v>7.5557234605212464E-3</v>
      </c>
      <c r="H3908" s="2">
        <f t="shared" si="180"/>
        <v>96.199999999999818</v>
      </c>
      <c r="I3908" s="3">
        <f t="shared" si="181"/>
        <v>2.032279871556528E-2</v>
      </c>
    </row>
    <row r="3909" spans="2:9" x14ac:dyDescent="0.25">
      <c r="B3909" s="1">
        <v>40891</v>
      </c>
      <c r="C3909" s="2">
        <v>4763.25</v>
      </c>
      <c r="D3909" s="2">
        <v>4788.7</v>
      </c>
      <c r="E3909" s="2">
        <v>4839.55</v>
      </c>
      <c r="F3909" s="2">
        <v>4750.3999999999996</v>
      </c>
      <c r="G3909" s="3">
        <f t="shared" si="182"/>
        <v>-7.7802774653169537E-3</v>
      </c>
      <c r="H3909" s="2">
        <f t="shared" ref="H3909:H3972" si="183">E3909-F3909</f>
        <v>89.150000000000546</v>
      </c>
      <c r="I3909" s="3">
        <f t="shared" si="181"/>
        <v>1.8616743583853769E-2</v>
      </c>
    </row>
    <row r="3910" spans="2:9" x14ac:dyDescent="0.25">
      <c r="B3910" s="1">
        <v>40892</v>
      </c>
      <c r="C3910" s="2">
        <v>4746.3500000000004</v>
      </c>
      <c r="D3910" s="2">
        <v>4712.8</v>
      </c>
      <c r="E3910" s="2">
        <v>4768.6499999999996</v>
      </c>
      <c r="F3910" s="2">
        <v>4673.8500000000004</v>
      </c>
      <c r="G3910" s="3">
        <f t="shared" si="182"/>
        <v>-3.5479976906522825E-3</v>
      </c>
      <c r="H3910" s="2">
        <f t="shared" si="183"/>
        <v>94.799999999999272</v>
      </c>
      <c r="I3910" s="3">
        <f t="shared" ref="I3910:I3973" si="184">H3910/D3910</f>
        <v>2.0115430317433219E-2</v>
      </c>
    </row>
    <row r="3911" spans="2:9" x14ac:dyDescent="0.25">
      <c r="B3911" s="1">
        <v>40893</v>
      </c>
      <c r="C3911" s="2">
        <v>4651.6000000000004</v>
      </c>
      <c r="D3911" s="2">
        <v>4752.5</v>
      </c>
      <c r="E3911" s="2">
        <v>4818.8500000000004</v>
      </c>
      <c r="F3911" s="2">
        <v>4628.2</v>
      </c>
      <c r="G3911" s="3">
        <f t="shared" ref="G3911:G3974" si="185">C3911/C3910-1</f>
        <v>-1.9962708186290534E-2</v>
      </c>
      <c r="H3911" s="2">
        <f t="shared" si="183"/>
        <v>190.65000000000055</v>
      </c>
      <c r="I3911" s="3">
        <f t="shared" si="184"/>
        <v>4.0115728563913843E-2</v>
      </c>
    </row>
    <row r="3912" spans="2:9" x14ac:dyDescent="0.25">
      <c r="B3912" s="1">
        <v>40896</v>
      </c>
      <c r="C3912" s="2">
        <v>4613.1000000000004</v>
      </c>
      <c r="D3912" s="2">
        <v>4623.1499999999996</v>
      </c>
      <c r="E3912" s="2">
        <v>4623.1499999999996</v>
      </c>
      <c r="F3912" s="2">
        <v>4555.8999999999996</v>
      </c>
      <c r="G3912" s="3">
        <f t="shared" si="185"/>
        <v>-8.2767219881331178E-3</v>
      </c>
      <c r="H3912" s="2">
        <f t="shared" si="183"/>
        <v>67.25</v>
      </c>
      <c r="I3912" s="3">
        <f t="shared" si="184"/>
        <v>1.4546359084174211E-2</v>
      </c>
    </row>
    <row r="3913" spans="2:9" x14ac:dyDescent="0.25">
      <c r="B3913" s="1">
        <v>40897</v>
      </c>
      <c r="C3913" s="2">
        <v>4544.2</v>
      </c>
      <c r="D3913" s="2">
        <v>4635.8</v>
      </c>
      <c r="E3913" s="2">
        <v>4637.25</v>
      </c>
      <c r="F3913" s="2">
        <v>4531.1499999999996</v>
      </c>
      <c r="G3913" s="3">
        <f t="shared" si="185"/>
        <v>-1.4935726517959824E-2</v>
      </c>
      <c r="H3913" s="2">
        <f t="shared" si="183"/>
        <v>106.10000000000036</v>
      </c>
      <c r="I3913" s="3">
        <f t="shared" si="184"/>
        <v>2.2887096078346856E-2</v>
      </c>
    </row>
    <row r="3914" spans="2:9" x14ac:dyDescent="0.25">
      <c r="B3914" s="1">
        <v>40898</v>
      </c>
      <c r="C3914" s="2">
        <v>4693.1499999999996</v>
      </c>
      <c r="D3914" s="2">
        <v>4636.45</v>
      </c>
      <c r="E3914" s="2">
        <v>4707.3500000000004</v>
      </c>
      <c r="F3914" s="2">
        <v>4601.95</v>
      </c>
      <c r="G3914" s="3">
        <f t="shared" si="185"/>
        <v>3.2778046740900457E-2</v>
      </c>
      <c r="H3914" s="2">
        <f t="shared" si="183"/>
        <v>105.40000000000055</v>
      </c>
      <c r="I3914" s="3">
        <f t="shared" si="184"/>
        <v>2.2732909877169073E-2</v>
      </c>
    </row>
    <row r="3915" spans="2:9" x14ac:dyDescent="0.25">
      <c r="B3915" s="1">
        <v>40899</v>
      </c>
      <c r="C3915" s="2">
        <v>4733.8500000000004</v>
      </c>
      <c r="D3915" s="2">
        <v>4636.8999999999996</v>
      </c>
      <c r="E3915" s="2">
        <v>4740.6000000000004</v>
      </c>
      <c r="F3915" s="2">
        <v>4632.95</v>
      </c>
      <c r="G3915" s="3">
        <f t="shared" si="185"/>
        <v>8.6722137583501446E-3</v>
      </c>
      <c r="H3915" s="2">
        <f t="shared" si="183"/>
        <v>107.65000000000055</v>
      </c>
      <c r="I3915" s="3">
        <f t="shared" si="184"/>
        <v>2.3215941685177717E-2</v>
      </c>
    </row>
    <row r="3916" spans="2:9" x14ac:dyDescent="0.25">
      <c r="B3916" s="1">
        <v>40900</v>
      </c>
      <c r="C3916" s="2">
        <v>4714</v>
      </c>
      <c r="D3916" s="2">
        <v>4763.2</v>
      </c>
      <c r="E3916" s="2">
        <v>4763.45</v>
      </c>
      <c r="F3916" s="2">
        <v>4693.2</v>
      </c>
      <c r="G3916" s="3">
        <f t="shared" si="185"/>
        <v>-4.193204262915029E-3</v>
      </c>
      <c r="H3916" s="2">
        <f t="shared" si="183"/>
        <v>70.25</v>
      </c>
      <c r="I3916" s="3">
        <f t="shared" si="184"/>
        <v>1.4748488411152167E-2</v>
      </c>
    </row>
    <row r="3917" spans="2:9" x14ac:dyDescent="0.25">
      <c r="B3917" s="1">
        <v>40903</v>
      </c>
      <c r="C3917" s="2">
        <v>4779</v>
      </c>
      <c r="D3917" s="2">
        <v>4718.1499999999996</v>
      </c>
      <c r="E3917" s="2">
        <v>4787.25</v>
      </c>
      <c r="F3917" s="2">
        <v>4718.1499999999996</v>
      </c>
      <c r="G3917" s="3">
        <f t="shared" si="185"/>
        <v>1.3788714467543484E-2</v>
      </c>
      <c r="H3917" s="2">
        <f t="shared" si="183"/>
        <v>69.100000000000364</v>
      </c>
      <c r="I3917" s="3">
        <f t="shared" si="184"/>
        <v>1.4645570827549012E-2</v>
      </c>
    </row>
    <row r="3918" spans="2:9" x14ac:dyDescent="0.25">
      <c r="B3918" s="1">
        <v>40904</v>
      </c>
      <c r="C3918" s="2">
        <v>4750.5</v>
      </c>
      <c r="D3918" s="2">
        <v>4780.2</v>
      </c>
      <c r="E3918" s="2">
        <v>4800.5</v>
      </c>
      <c r="F3918" s="2">
        <v>4723.6499999999996</v>
      </c>
      <c r="G3918" s="3">
        <f t="shared" si="185"/>
        <v>-5.9635907093533724E-3</v>
      </c>
      <c r="H3918" s="2">
        <f t="shared" si="183"/>
        <v>76.850000000000364</v>
      </c>
      <c r="I3918" s="3">
        <f t="shared" si="184"/>
        <v>1.6076733191079946E-2</v>
      </c>
    </row>
    <row r="3919" spans="2:9" x14ac:dyDescent="0.25">
      <c r="B3919" s="1">
        <v>40905</v>
      </c>
      <c r="C3919" s="2">
        <v>4705.8</v>
      </c>
      <c r="D3919" s="2">
        <v>4756.2</v>
      </c>
      <c r="E3919" s="2">
        <v>4756.2</v>
      </c>
      <c r="F3919" s="2">
        <v>4685.6499999999996</v>
      </c>
      <c r="G3919" s="3">
        <f t="shared" si="185"/>
        <v>-9.4095358383328165E-3</v>
      </c>
      <c r="H3919" s="2">
        <f t="shared" si="183"/>
        <v>70.550000000000182</v>
      </c>
      <c r="I3919" s="3">
        <f t="shared" si="184"/>
        <v>1.4833270257768845E-2</v>
      </c>
    </row>
    <row r="3920" spans="2:9" x14ac:dyDescent="0.25">
      <c r="B3920" s="1">
        <v>40906</v>
      </c>
      <c r="C3920" s="2">
        <v>4646.25</v>
      </c>
      <c r="D3920" s="2">
        <v>4681.1499999999996</v>
      </c>
      <c r="E3920" s="2">
        <v>4701.8</v>
      </c>
      <c r="F3920" s="2">
        <v>4639.05</v>
      </c>
      <c r="G3920" s="3">
        <f t="shared" si="185"/>
        <v>-1.2654596455437983E-2</v>
      </c>
      <c r="H3920" s="2">
        <f t="shared" si="183"/>
        <v>62.75</v>
      </c>
      <c r="I3920" s="3">
        <f t="shared" si="184"/>
        <v>1.3404825737265416E-2</v>
      </c>
    </row>
    <row r="3921" spans="2:9" x14ac:dyDescent="0.25">
      <c r="B3921" s="1">
        <v>40907</v>
      </c>
      <c r="C3921" s="2">
        <v>4624.3</v>
      </c>
      <c r="D3921" s="2">
        <v>4659.95</v>
      </c>
      <c r="E3921" s="2">
        <v>4690.45</v>
      </c>
      <c r="F3921" s="2">
        <v>4608.8999999999996</v>
      </c>
      <c r="G3921" s="3">
        <f t="shared" si="185"/>
        <v>-4.7242399784772626E-3</v>
      </c>
      <c r="H3921" s="2">
        <f t="shared" si="183"/>
        <v>81.550000000000182</v>
      </c>
      <c r="I3921" s="3">
        <f t="shared" si="184"/>
        <v>1.7500187770255086E-2</v>
      </c>
    </row>
    <row r="3922" spans="2:9" x14ac:dyDescent="0.25">
      <c r="B3922" s="1">
        <v>40910</v>
      </c>
      <c r="C3922" s="2">
        <v>4636.75</v>
      </c>
      <c r="D3922" s="2">
        <v>4640.2</v>
      </c>
      <c r="E3922" s="2">
        <v>4645.95</v>
      </c>
      <c r="F3922" s="2">
        <v>4588.05</v>
      </c>
      <c r="G3922" s="3">
        <f t="shared" si="185"/>
        <v>2.6922993750404522E-3</v>
      </c>
      <c r="H3922" s="2">
        <f t="shared" si="183"/>
        <v>57.899999999999636</v>
      </c>
      <c r="I3922" s="3">
        <f t="shared" si="184"/>
        <v>1.2477910434894969E-2</v>
      </c>
    </row>
    <row r="3923" spans="2:9" x14ac:dyDescent="0.25">
      <c r="B3923" s="1">
        <v>40911</v>
      </c>
      <c r="C3923" s="2">
        <v>4765.3</v>
      </c>
      <c r="D3923" s="2">
        <v>4675.8</v>
      </c>
      <c r="E3923" s="2">
        <v>4773.1000000000004</v>
      </c>
      <c r="F3923" s="2">
        <v>4675.8</v>
      </c>
      <c r="G3923" s="3">
        <f t="shared" si="185"/>
        <v>2.7724160241548557E-2</v>
      </c>
      <c r="H3923" s="2">
        <f t="shared" si="183"/>
        <v>97.300000000000182</v>
      </c>
      <c r="I3923" s="3">
        <f t="shared" si="184"/>
        <v>2.080927327943885E-2</v>
      </c>
    </row>
    <row r="3924" spans="2:9" x14ac:dyDescent="0.25">
      <c r="B3924" s="1">
        <v>40912</v>
      </c>
      <c r="C3924" s="2">
        <v>4749.6499999999996</v>
      </c>
      <c r="D3924" s="2">
        <v>4774.95</v>
      </c>
      <c r="E3924" s="2">
        <v>4782.8500000000004</v>
      </c>
      <c r="F3924" s="2">
        <v>4728.8500000000004</v>
      </c>
      <c r="G3924" s="3">
        <f t="shared" si="185"/>
        <v>-3.2841583950644626E-3</v>
      </c>
      <c r="H3924" s="2">
        <f t="shared" si="183"/>
        <v>54</v>
      </c>
      <c r="I3924" s="3">
        <f t="shared" si="184"/>
        <v>1.1309018942606729E-2</v>
      </c>
    </row>
    <row r="3925" spans="2:9" x14ac:dyDescent="0.25">
      <c r="B3925" s="1">
        <v>40913</v>
      </c>
      <c r="C3925" s="2">
        <v>4749.95</v>
      </c>
      <c r="D3925" s="2">
        <v>4749</v>
      </c>
      <c r="E3925" s="2">
        <v>4779.8</v>
      </c>
      <c r="F3925" s="2">
        <v>4730.1499999999996</v>
      </c>
      <c r="G3925" s="3">
        <f t="shared" si="185"/>
        <v>6.3162548819439834E-5</v>
      </c>
      <c r="H3925" s="2">
        <f t="shared" si="183"/>
        <v>49.650000000000546</v>
      </c>
      <c r="I3925" s="3">
        <f t="shared" si="184"/>
        <v>1.0454832596336186E-2</v>
      </c>
    </row>
    <row r="3926" spans="2:9" x14ac:dyDescent="0.25">
      <c r="B3926" s="1">
        <v>40914</v>
      </c>
      <c r="C3926" s="2">
        <v>4754.1000000000004</v>
      </c>
      <c r="D3926" s="2">
        <v>4724.1499999999996</v>
      </c>
      <c r="E3926" s="2">
        <v>4794.8999999999996</v>
      </c>
      <c r="F3926" s="2">
        <v>4686.8500000000004</v>
      </c>
      <c r="G3926" s="3">
        <f t="shared" si="185"/>
        <v>8.7369340729903655E-4</v>
      </c>
      <c r="H3926" s="2">
        <f t="shared" si="183"/>
        <v>108.04999999999927</v>
      </c>
      <c r="I3926" s="3">
        <f t="shared" si="184"/>
        <v>2.2871839378512386E-2</v>
      </c>
    </row>
    <row r="3927" spans="2:9" x14ac:dyDescent="0.25">
      <c r="B3927" s="1">
        <v>40915</v>
      </c>
      <c r="C3927" s="2">
        <v>4746.8999999999996</v>
      </c>
      <c r="D3927" s="2">
        <v>4755.6000000000004</v>
      </c>
      <c r="E3927" s="2">
        <v>4759.3999999999996</v>
      </c>
      <c r="F3927" s="2">
        <v>4743.05</v>
      </c>
      <c r="G3927" s="3">
        <f t="shared" si="185"/>
        <v>-1.514482236385617E-3</v>
      </c>
      <c r="H3927" s="2">
        <f t="shared" si="183"/>
        <v>16.349999999999454</v>
      </c>
      <c r="I3927" s="3">
        <f t="shared" si="184"/>
        <v>3.4380519808224941E-3</v>
      </c>
    </row>
    <row r="3928" spans="2:9" x14ac:dyDescent="0.25">
      <c r="B3928" s="1">
        <v>40917</v>
      </c>
      <c r="C3928" s="2">
        <v>4742.8</v>
      </c>
      <c r="D3928" s="2">
        <v>4747.55</v>
      </c>
      <c r="E3928" s="2">
        <v>4758.7</v>
      </c>
      <c r="F3928" s="2">
        <v>4695.45</v>
      </c>
      <c r="G3928" s="3">
        <f t="shared" si="185"/>
        <v>-8.6372158671965682E-4</v>
      </c>
      <c r="H3928" s="2">
        <f t="shared" si="183"/>
        <v>63.25</v>
      </c>
      <c r="I3928" s="3">
        <f t="shared" si="184"/>
        <v>1.3322661162073068E-2</v>
      </c>
    </row>
    <row r="3929" spans="2:9" x14ac:dyDescent="0.25">
      <c r="B3929" s="1">
        <v>40918</v>
      </c>
      <c r="C3929" s="2">
        <v>4849.55</v>
      </c>
      <c r="D3929" s="2">
        <v>4771.8500000000004</v>
      </c>
      <c r="E3929" s="2">
        <v>4855.8999999999996</v>
      </c>
      <c r="F3929" s="2">
        <v>4768.25</v>
      </c>
      <c r="G3929" s="3">
        <f t="shared" si="185"/>
        <v>2.2507801298810914E-2</v>
      </c>
      <c r="H3929" s="2">
        <f t="shared" si="183"/>
        <v>87.649999999999636</v>
      </c>
      <c r="I3929" s="3">
        <f t="shared" si="184"/>
        <v>1.8368138143487249E-2</v>
      </c>
    </row>
    <row r="3930" spans="2:9" x14ac:dyDescent="0.25">
      <c r="B3930" s="1">
        <v>40919</v>
      </c>
      <c r="C3930" s="2">
        <v>4860.95</v>
      </c>
      <c r="D3930" s="2">
        <v>4863.1499999999996</v>
      </c>
      <c r="E3930" s="2">
        <v>4877.2</v>
      </c>
      <c r="F3930" s="2">
        <v>4841.6000000000004</v>
      </c>
      <c r="G3930" s="3">
        <f t="shared" si="185"/>
        <v>2.3507335732180223E-3</v>
      </c>
      <c r="H3930" s="2">
        <f t="shared" si="183"/>
        <v>35.599999999999454</v>
      </c>
      <c r="I3930" s="3">
        <f t="shared" si="184"/>
        <v>7.3203582040445919E-3</v>
      </c>
    </row>
    <row r="3931" spans="2:9" x14ac:dyDescent="0.25">
      <c r="B3931" s="1">
        <v>40920</v>
      </c>
      <c r="C3931" s="2">
        <v>4831.25</v>
      </c>
      <c r="D3931" s="2">
        <v>4840.95</v>
      </c>
      <c r="E3931" s="2">
        <v>4869.2</v>
      </c>
      <c r="F3931" s="2">
        <v>4803.8999999999996</v>
      </c>
      <c r="G3931" s="3">
        <f t="shared" si="185"/>
        <v>-6.1099167858134074E-3</v>
      </c>
      <c r="H3931" s="2">
        <f t="shared" si="183"/>
        <v>65.300000000000182</v>
      </c>
      <c r="I3931" s="3">
        <f t="shared" si="184"/>
        <v>1.3489087885642318E-2</v>
      </c>
    </row>
    <row r="3932" spans="2:9" x14ac:dyDescent="0.25">
      <c r="B3932" s="1">
        <v>40921</v>
      </c>
      <c r="C3932" s="2">
        <v>4866</v>
      </c>
      <c r="D3932" s="2">
        <v>4861.95</v>
      </c>
      <c r="E3932" s="2">
        <v>4898.8500000000004</v>
      </c>
      <c r="F3932" s="2">
        <v>4834.2</v>
      </c>
      <c r="G3932" s="3">
        <f t="shared" si="185"/>
        <v>7.1927554980595332E-3</v>
      </c>
      <c r="H3932" s="2">
        <f t="shared" si="183"/>
        <v>64.650000000000546</v>
      </c>
      <c r="I3932" s="3">
        <f t="shared" si="184"/>
        <v>1.3297133866041515E-2</v>
      </c>
    </row>
    <row r="3933" spans="2:9" x14ac:dyDescent="0.25">
      <c r="B3933" s="1">
        <v>40924</v>
      </c>
      <c r="C3933" s="2">
        <v>4873.8999999999996</v>
      </c>
      <c r="D3933" s="2">
        <v>4844</v>
      </c>
      <c r="E3933" s="2">
        <v>4880.8</v>
      </c>
      <c r="F3933" s="2">
        <v>4827.05</v>
      </c>
      <c r="G3933" s="3">
        <f t="shared" si="185"/>
        <v>1.6235100698724914E-3</v>
      </c>
      <c r="H3933" s="2">
        <f t="shared" si="183"/>
        <v>53.75</v>
      </c>
      <c r="I3933" s="3">
        <f t="shared" si="184"/>
        <v>1.1096201486374897E-2</v>
      </c>
    </row>
    <row r="3934" spans="2:9" x14ac:dyDescent="0.25">
      <c r="B3934" s="1">
        <v>40925</v>
      </c>
      <c r="C3934" s="2">
        <v>4967.3</v>
      </c>
      <c r="D3934" s="2">
        <v>4904.5</v>
      </c>
      <c r="E3934" s="2">
        <v>4975.55</v>
      </c>
      <c r="F3934" s="2">
        <v>4904</v>
      </c>
      <c r="G3934" s="3">
        <f t="shared" si="185"/>
        <v>1.916329838527675E-2</v>
      </c>
      <c r="H3934" s="2">
        <f t="shared" si="183"/>
        <v>71.550000000000182</v>
      </c>
      <c r="I3934" s="3">
        <f t="shared" si="184"/>
        <v>1.4588643082883103E-2</v>
      </c>
    </row>
    <row r="3935" spans="2:9" x14ac:dyDescent="0.25">
      <c r="B3935" s="1">
        <v>40926</v>
      </c>
      <c r="C3935" s="2">
        <v>4955.8</v>
      </c>
      <c r="D3935" s="2">
        <v>4977.75</v>
      </c>
      <c r="E3935" s="2">
        <v>4980.6499999999996</v>
      </c>
      <c r="F3935" s="2">
        <v>4931.05</v>
      </c>
      <c r="G3935" s="3">
        <f t="shared" si="185"/>
        <v>-2.3151410222856939E-3</v>
      </c>
      <c r="H3935" s="2">
        <f t="shared" si="183"/>
        <v>49.599999999999454</v>
      </c>
      <c r="I3935" s="3">
        <f t="shared" si="184"/>
        <v>9.9643413188688565E-3</v>
      </c>
    </row>
    <row r="3936" spans="2:9" x14ac:dyDescent="0.25">
      <c r="B3936" s="1">
        <v>40927</v>
      </c>
      <c r="C3936" s="2">
        <v>5018.3999999999996</v>
      </c>
      <c r="D3936" s="2">
        <v>4995</v>
      </c>
      <c r="E3936" s="2">
        <v>5023.8</v>
      </c>
      <c r="F3936" s="2">
        <v>4991.3999999999996</v>
      </c>
      <c r="G3936" s="3">
        <f t="shared" si="185"/>
        <v>1.2631663908954982E-2</v>
      </c>
      <c r="H3936" s="2">
        <f t="shared" si="183"/>
        <v>32.400000000000546</v>
      </c>
      <c r="I3936" s="3">
        <f t="shared" si="184"/>
        <v>6.4864864864865954E-3</v>
      </c>
    </row>
    <row r="3937" spans="2:9" x14ac:dyDescent="0.25">
      <c r="B3937" s="1">
        <v>40928</v>
      </c>
      <c r="C3937" s="2">
        <v>5048.6000000000004</v>
      </c>
      <c r="D3937" s="2">
        <v>5044.8500000000004</v>
      </c>
      <c r="E3937" s="2">
        <v>5064.1499999999996</v>
      </c>
      <c r="F3937" s="2">
        <v>5004.3</v>
      </c>
      <c r="G3937" s="3">
        <f t="shared" si="185"/>
        <v>6.0178542961901726E-3</v>
      </c>
      <c r="H3937" s="2">
        <f t="shared" si="183"/>
        <v>59.849999999999454</v>
      </c>
      <c r="I3937" s="3">
        <f t="shared" si="184"/>
        <v>1.1863583654617966E-2</v>
      </c>
    </row>
    <row r="3938" spans="2:9" x14ac:dyDescent="0.25">
      <c r="B3938" s="1">
        <v>40931</v>
      </c>
      <c r="C3938" s="2">
        <v>5046.25</v>
      </c>
      <c r="D3938" s="2">
        <v>5025.3500000000004</v>
      </c>
      <c r="E3938" s="2">
        <v>5059.55</v>
      </c>
      <c r="F3938" s="2">
        <v>5021.3500000000004</v>
      </c>
      <c r="G3938" s="3">
        <f t="shared" si="185"/>
        <v>-4.6547557738785272E-4</v>
      </c>
      <c r="H3938" s="2">
        <f t="shared" si="183"/>
        <v>38.199999999999818</v>
      </c>
      <c r="I3938" s="3">
        <f t="shared" si="184"/>
        <v>7.6014605947844057E-3</v>
      </c>
    </row>
    <row r="3939" spans="2:9" x14ac:dyDescent="0.25">
      <c r="B3939" s="1">
        <v>40932</v>
      </c>
      <c r="C3939" s="2">
        <v>5127.3500000000004</v>
      </c>
      <c r="D3939" s="2">
        <v>5064.8</v>
      </c>
      <c r="E3939" s="2">
        <v>5141.05</v>
      </c>
      <c r="F3939" s="2">
        <v>5049.8</v>
      </c>
      <c r="G3939" s="3">
        <f t="shared" si="185"/>
        <v>1.6071340104037768E-2</v>
      </c>
      <c r="H3939" s="2">
        <f t="shared" si="183"/>
        <v>91.25</v>
      </c>
      <c r="I3939" s="3">
        <f t="shared" si="184"/>
        <v>1.8016506081187805E-2</v>
      </c>
    </row>
    <row r="3940" spans="2:9" x14ac:dyDescent="0.25">
      <c r="B3940" s="1">
        <v>40933</v>
      </c>
      <c r="C3940" s="2">
        <v>5158.3</v>
      </c>
      <c r="D3940" s="2">
        <v>5151.5</v>
      </c>
      <c r="E3940" s="2">
        <v>5174.1499999999996</v>
      </c>
      <c r="F3940" s="2">
        <v>5130.25</v>
      </c>
      <c r="G3940" s="3">
        <f t="shared" si="185"/>
        <v>6.0362565457789952E-3</v>
      </c>
      <c r="H3940" s="2">
        <f t="shared" si="183"/>
        <v>43.899999999999636</v>
      </c>
      <c r="I3940" s="3">
        <f t="shared" si="184"/>
        <v>8.5217897699698415E-3</v>
      </c>
    </row>
    <row r="3941" spans="2:9" x14ac:dyDescent="0.25">
      <c r="B3941" s="1">
        <v>40935</v>
      </c>
      <c r="C3941" s="2">
        <v>5204.7</v>
      </c>
      <c r="D3941" s="2">
        <v>5216.75</v>
      </c>
      <c r="E3941" s="2">
        <v>5217</v>
      </c>
      <c r="F3941" s="2">
        <v>5162.3999999999996</v>
      </c>
      <c r="G3941" s="3">
        <f t="shared" si="185"/>
        <v>8.9952116007210314E-3</v>
      </c>
      <c r="H3941" s="2">
        <f t="shared" si="183"/>
        <v>54.600000000000364</v>
      </c>
      <c r="I3941" s="3">
        <f t="shared" si="184"/>
        <v>1.0466286481046699E-2</v>
      </c>
    </row>
    <row r="3942" spans="2:9" x14ac:dyDescent="0.25">
      <c r="B3942" s="1">
        <v>40938</v>
      </c>
      <c r="C3942" s="2">
        <v>5087.3</v>
      </c>
      <c r="D3942" s="2">
        <v>5163.55</v>
      </c>
      <c r="E3942" s="2">
        <v>5166.1499999999996</v>
      </c>
      <c r="F3942" s="2">
        <v>5076.7</v>
      </c>
      <c r="G3942" s="3">
        <f t="shared" si="185"/>
        <v>-2.2556535439122283E-2</v>
      </c>
      <c r="H3942" s="2">
        <f t="shared" si="183"/>
        <v>89.449999999999818</v>
      </c>
      <c r="I3942" s="3">
        <f t="shared" si="184"/>
        <v>1.7323353119462349E-2</v>
      </c>
    </row>
    <row r="3943" spans="2:9" x14ac:dyDescent="0.25">
      <c r="B3943" s="1">
        <v>40939</v>
      </c>
      <c r="C3943" s="2">
        <v>5199.25</v>
      </c>
      <c r="D3943" s="2">
        <v>5125.25</v>
      </c>
      <c r="E3943" s="2">
        <v>5215.3999999999996</v>
      </c>
      <c r="F3943" s="2">
        <v>5120.1499999999996</v>
      </c>
      <c r="G3943" s="3">
        <f t="shared" si="185"/>
        <v>2.2005779096966993E-2</v>
      </c>
      <c r="H3943" s="2">
        <f t="shared" si="183"/>
        <v>95.25</v>
      </c>
      <c r="I3943" s="3">
        <f t="shared" si="184"/>
        <v>1.8584459294668551E-2</v>
      </c>
    </row>
    <row r="3944" spans="2:9" x14ac:dyDescent="0.25">
      <c r="B3944" s="1">
        <v>40940</v>
      </c>
      <c r="C3944" s="2">
        <v>5235.7</v>
      </c>
      <c r="D3944" s="2">
        <v>5198.1499999999996</v>
      </c>
      <c r="E3944" s="2">
        <v>5244.6</v>
      </c>
      <c r="F3944" s="2">
        <v>5159</v>
      </c>
      <c r="G3944" s="3">
        <f t="shared" si="185"/>
        <v>7.0106265326730366E-3</v>
      </c>
      <c r="H3944" s="2">
        <f t="shared" si="183"/>
        <v>85.600000000000364</v>
      </c>
      <c r="I3944" s="3">
        <f t="shared" si="184"/>
        <v>1.6467397054721462E-2</v>
      </c>
    </row>
    <row r="3945" spans="2:9" x14ac:dyDescent="0.25">
      <c r="B3945" s="1">
        <v>40941</v>
      </c>
      <c r="C3945" s="2">
        <v>5269.9</v>
      </c>
      <c r="D3945" s="2">
        <v>5272.1</v>
      </c>
      <c r="E3945" s="2">
        <v>5289.95</v>
      </c>
      <c r="F3945" s="2">
        <v>5225.75</v>
      </c>
      <c r="G3945" s="3">
        <f t="shared" si="185"/>
        <v>6.5320778501440913E-3</v>
      </c>
      <c r="H3945" s="2">
        <f t="shared" si="183"/>
        <v>64.199999999999818</v>
      </c>
      <c r="I3945" s="3">
        <f t="shared" si="184"/>
        <v>1.217731074903735E-2</v>
      </c>
    </row>
    <row r="3946" spans="2:9" x14ac:dyDescent="0.25">
      <c r="B3946" s="1">
        <v>40942</v>
      </c>
      <c r="C3946" s="2">
        <v>5325.85</v>
      </c>
      <c r="D3946" s="2">
        <v>5276.1</v>
      </c>
      <c r="E3946" s="2">
        <v>5334.85</v>
      </c>
      <c r="F3946" s="2">
        <v>5255.55</v>
      </c>
      <c r="G3946" s="3">
        <f t="shared" si="185"/>
        <v>1.0616899751418662E-2</v>
      </c>
      <c r="H3946" s="2">
        <f t="shared" si="183"/>
        <v>79.300000000000182</v>
      </c>
      <c r="I3946" s="3">
        <f t="shared" si="184"/>
        <v>1.5030041128864156E-2</v>
      </c>
    </row>
    <row r="3947" spans="2:9" x14ac:dyDescent="0.25">
      <c r="B3947" s="1">
        <v>40945</v>
      </c>
      <c r="C3947" s="2">
        <v>5361.65</v>
      </c>
      <c r="D3947" s="2">
        <v>5379.45</v>
      </c>
      <c r="E3947" s="2">
        <v>5390.05</v>
      </c>
      <c r="F3947" s="2">
        <v>5327.25</v>
      </c>
      <c r="G3947" s="3">
        <f t="shared" si="185"/>
        <v>6.7219317104310061E-3</v>
      </c>
      <c r="H3947" s="2">
        <f t="shared" si="183"/>
        <v>62.800000000000182</v>
      </c>
      <c r="I3947" s="3">
        <f t="shared" si="184"/>
        <v>1.1674055897907813E-2</v>
      </c>
    </row>
    <row r="3948" spans="2:9" x14ac:dyDescent="0.25">
      <c r="B3948" s="1">
        <v>40946</v>
      </c>
      <c r="C3948" s="2">
        <v>5335.15</v>
      </c>
      <c r="D3948" s="2">
        <v>5412.95</v>
      </c>
      <c r="E3948" s="2">
        <v>5413.35</v>
      </c>
      <c r="F3948" s="2">
        <v>5322.95</v>
      </c>
      <c r="G3948" s="3">
        <f t="shared" si="185"/>
        <v>-4.9425083696250649E-3</v>
      </c>
      <c r="H3948" s="2">
        <f t="shared" si="183"/>
        <v>90.400000000000546</v>
      </c>
      <c r="I3948" s="3">
        <f t="shared" si="184"/>
        <v>1.6700690011915969E-2</v>
      </c>
    </row>
    <row r="3949" spans="2:9" x14ac:dyDescent="0.25">
      <c r="B3949" s="1">
        <v>40947</v>
      </c>
      <c r="C3949" s="2">
        <v>5368.15</v>
      </c>
      <c r="D3949" s="2">
        <v>5343.8</v>
      </c>
      <c r="E3949" s="2">
        <v>5396.9</v>
      </c>
      <c r="F3949" s="2">
        <v>5325.2</v>
      </c>
      <c r="G3949" s="3">
        <f t="shared" si="185"/>
        <v>6.1853931004751672E-3</v>
      </c>
      <c r="H3949" s="2">
        <f t="shared" si="183"/>
        <v>71.699999999999818</v>
      </c>
      <c r="I3949" s="3">
        <f t="shared" si="184"/>
        <v>1.3417418316553728E-2</v>
      </c>
    </row>
    <row r="3950" spans="2:9" x14ac:dyDescent="0.25">
      <c r="B3950" s="1">
        <v>40948</v>
      </c>
      <c r="C3950" s="2">
        <v>5412.35</v>
      </c>
      <c r="D3950" s="2">
        <v>5343.05</v>
      </c>
      <c r="E3950" s="2">
        <v>5423.4</v>
      </c>
      <c r="F3950" s="2">
        <v>5338.9</v>
      </c>
      <c r="G3950" s="3">
        <f t="shared" si="185"/>
        <v>8.2337490569377447E-3</v>
      </c>
      <c r="H3950" s="2">
        <f t="shared" si="183"/>
        <v>84.5</v>
      </c>
      <c r="I3950" s="3">
        <f t="shared" si="184"/>
        <v>1.5814937161359149E-2</v>
      </c>
    </row>
    <row r="3951" spans="2:9" x14ac:dyDescent="0.25">
      <c r="B3951" s="1">
        <v>40949</v>
      </c>
      <c r="C3951" s="2">
        <v>5381.6</v>
      </c>
      <c r="D3951" s="2">
        <v>5399.8</v>
      </c>
      <c r="E3951" s="2">
        <v>5427.75</v>
      </c>
      <c r="F3951" s="2">
        <v>5341.05</v>
      </c>
      <c r="G3951" s="3">
        <f t="shared" si="185"/>
        <v>-5.6814507561410155E-3</v>
      </c>
      <c r="H3951" s="2">
        <f t="shared" si="183"/>
        <v>86.699999999999818</v>
      </c>
      <c r="I3951" s="3">
        <f t="shared" si="184"/>
        <v>1.605615022778618E-2</v>
      </c>
    </row>
    <row r="3952" spans="2:9" x14ac:dyDescent="0.25">
      <c r="B3952" s="1">
        <v>40952</v>
      </c>
      <c r="C3952" s="2">
        <v>5390.2</v>
      </c>
      <c r="D3952" s="2">
        <v>5382.1</v>
      </c>
      <c r="E3952" s="2">
        <v>5421.05</v>
      </c>
      <c r="F3952" s="2">
        <v>5351.4</v>
      </c>
      <c r="G3952" s="3">
        <f t="shared" si="185"/>
        <v>1.5980377582873739E-3</v>
      </c>
      <c r="H3952" s="2">
        <f t="shared" si="183"/>
        <v>69.650000000000546</v>
      </c>
      <c r="I3952" s="3">
        <f t="shared" si="184"/>
        <v>1.2941045316883846E-2</v>
      </c>
    </row>
    <row r="3953" spans="2:9" x14ac:dyDescent="0.25">
      <c r="B3953" s="1">
        <v>40953</v>
      </c>
      <c r="C3953" s="2">
        <v>5416.05</v>
      </c>
      <c r="D3953" s="2">
        <v>5380.8</v>
      </c>
      <c r="E3953" s="2">
        <v>5428.05</v>
      </c>
      <c r="F3953" s="2">
        <v>5377.95</v>
      </c>
      <c r="G3953" s="3">
        <f t="shared" si="185"/>
        <v>4.7957404177954022E-3</v>
      </c>
      <c r="H3953" s="2">
        <f t="shared" si="183"/>
        <v>50.100000000000364</v>
      </c>
      <c r="I3953" s="3">
        <f t="shared" si="184"/>
        <v>9.310883140053591E-3</v>
      </c>
    </row>
    <row r="3954" spans="2:9" x14ac:dyDescent="0.25">
      <c r="B3954" s="1">
        <v>40954</v>
      </c>
      <c r="C3954" s="2">
        <v>5531.95</v>
      </c>
      <c r="D3954" s="2">
        <v>5460.6</v>
      </c>
      <c r="E3954" s="2">
        <v>5542.1</v>
      </c>
      <c r="F3954" s="2">
        <v>5460.6</v>
      </c>
      <c r="G3954" s="3">
        <f t="shared" si="185"/>
        <v>2.139935931167547E-2</v>
      </c>
      <c r="H3954" s="2">
        <f t="shared" si="183"/>
        <v>81.5</v>
      </c>
      <c r="I3954" s="3">
        <f t="shared" si="184"/>
        <v>1.4925099805882136E-2</v>
      </c>
    </row>
    <row r="3955" spans="2:9" x14ac:dyDescent="0.25">
      <c r="B3955" s="1">
        <v>40955</v>
      </c>
      <c r="C3955" s="2">
        <v>5521.95</v>
      </c>
      <c r="D3955" s="2">
        <v>5513.75</v>
      </c>
      <c r="E3955" s="2">
        <v>5531.4</v>
      </c>
      <c r="F3955" s="2">
        <v>5483.75</v>
      </c>
      <c r="G3955" s="3">
        <f t="shared" si="185"/>
        <v>-1.8076808358715724E-3</v>
      </c>
      <c r="H3955" s="2">
        <f t="shared" si="183"/>
        <v>47.649999999999636</v>
      </c>
      <c r="I3955" s="3">
        <f t="shared" si="184"/>
        <v>8.6420312854227407E-3</v>
      </c>
    </row>
    <row r="3956" spans="2:9" x14ac:dyDescent="0.25">
      <c r="B3956" s="1">
        <v>40956</v>
      </c>
      <c r="C3956" s="2">
        <v>5564.3</v>
      </c>
      <c r="D3956" s="2">
        <v>5574.2</v>
      </c>
      <c r="E3956" s="2">
        <v>5606.7</v>
      </c>
      <c r="F3956" s="2">
        <v>5545.2</v>
      </c>
      <c r="G3956" s="3">
        <f t="shared" si="185"/>
        <v>7.6693921531343356E-3</v>
      </c>
      <c r="H3956" s="2">
        <f t="shared" si="183"/>
        <v>61.5</v>
      </c>
      <c r="I3956" s="3">
        <f t="shared" si="184"/>
        <v>1.1032973341466041E-2</v>
      </c>
    </row>
    <row r="3957" spans="2:9" x14ac:dyDescent="0.25">
      <c r="B3957" s="1">
        <v>40960</v>
      </c>
      <c r="C3957" s="2">
        <v>5607.15</v>
      </c>
      <c r="D3957" s="2">
        <v>5561.9</v>
      </c>
      <c r="E3957" s="2">
        <v>5621.5</v>
      </c>
      <c r="F3957" s="2">
        <v>5561.75</v>
      </c>
      <c r="G3957" s="3">
        <f t="shared" si="185"/>
        <v>7.700878816742307E-3</v>
      </c>
      <c r="H3957" s="2">
        <f t="shared" si="183"/>
        <v>59.75</v>
      </c>
      <c r="I3957" s="3">
        <f t="shared" si="184"/>
        <v>1.0742731800284077E-2</v>
      </c>
    </row>
    <row r="3958" spans="2:9" x14ac:dyDescent="0.25">
      <c r="B3958" s="1">
        <v>40961</v>
      </c>
      <c r="C3958" s="2">
        <v>5505.35</v>
      </c>
      <c r="D3958" s="2">
        <v>5609.75</v>
      </c>
      <c r="E3958" s="2">
        <v>5629.95</v>
      </c>
      <c r="F3958" s="2">
        <v>5491.35</v>
      </c>
      <c r="G3958" s="3">
        <f t="shared" si="185"/>
        <v>-1.8155390884852296E-2</v>
      </c>
      <c r="H3958" s="2">
        <f t="shared" si="183"/>
        <v>138.59999999999945</v>
      </c>
      <c r="I3958" s="3">
        <f t="shared" si="184"/>
        <v>2.4706983377155746E-2</v>
      </c>
    </row>
    <row r="3959" spans="2:9" x14ac:dyDescent="0.25">
      <c r="B3959" s="1">
        <v>40962</v>
      </c>
      <c r="C3959" s="2">
        <v>5483.3</v>
      </c>
      <c r="D3959" s="2">
        <v>5490.05</v>
      </c>
      <c r="E3959" s="2">
        <v>5537.4</v>
      </c>
      <c r="F3959" s="2">
        <v>5460.8</v>
      </c>
      <c r="G3959" s="3">
        <f t="shared" si="185"/>
        <v>-4.0051949467336811E-3</v>
      </c>
      <c r="H3959" s="2">
        <f t="shared" si="183"/>
        <v>76.599999999999454</v>
      </c>
      <c r="I3959" s="3">
        <f t="shared" si="184"/>
        <v>1.3952514093678463E-2</v>
      </c>
    </row>
    <row r="3960" spans="2:9" x14ac:dyDescent="0.25">
      <c r="B3960" s="1">
        <v>40963</v>
      </c>
      <c r="C3960" s="2">
        <v>5429.3</v>
      </c>
      <c r="D3960" s="2">
        <v>5479.15</v>
      </c>
      <c r="E3960" s="2">
        <v>5521.4</v>
      </c>
      <c r="F3960" s="2">
        <v>5405.9</v>
      </c>
      <c r="G3960" s="3">
        <f t="shared" si="185"/>
        <v>-9.8480841828825216E-3</v>
      </c>
      <c r="H3960" s="2">
        <f t="shared" si="183"/>
        <v>115.5</v>
      </c>
      <c r="I3960" s="3">
        <f t="shared" si="184"/>
        <v>2.1079912030150662E-2</v>
      </c>
    </row>
    <row r="3961" spans="2:9" x14ac:dyDescent="0.25">
      <c r="B3961" s="1">
        <v>40966</v>
      </c>
      <c r="C3961" s="2">
        <v>5281.2</v>
      </c>
      <c r="D3961" s="2">
        <v>5448.1</v>
      </c>
      <c r="E3961" s="2">
        <v>5449.8</v>
      </c>
      <c r="F3961" s="2">
        <v>5268.15</v>
      </c>
      <c r="G3961" s="3">
        <f t="shared" si="185"/>
        <v>-2.7277917963641762E-2</v>
      </c>
      <c r="H3961" s="2">
        <f t="shared" si="183"/>
        <v>181.65000000000055</v>
      </c>
      <c r="I3961" s="3">
        <f t="shared" si="184"/>
        <v>3.3341899010664366E-2</v>
      </c>
    </row>
    <row r="3962" spans="2:9" x14ac:dyDescent="0.25">
      <c r="B3962" s="1">
        <v>40967</v>
      </c>
      <c r="C3962" s="2">
        <v>5375.5</v>
      </c>
      <c r="D3962" s="2">
        <v>5310.5</v>
      </c>
      <c r="E3962" s="2">
        <v>5391.1</v>
      </c>
      <c r="F3962" s="2">
        <v>5306.45</v>
      </c>
      <c r="G3962" s="3">
        <f t="shared" si="185"/>
        <v>1.7855790350677969E-2</v>
      </c>
      <c r="H3962" s="2">
        <f t="shared" si="183"/>
        <v>84.650000000000546</v>
      </c>
      <c r="I3962" s="3">
        <f t="shared" si="184"/>
        <v>1.5940118632897193E-2</v>
      </c>
    </row>
    <row r="3963" spans="2:9" x14ac:dyDescent="0.25">
      <c r="B3963" s="1">
        <v>40968</v>
      </c>
      <c r="C3963" s="2">
        <v>5385.2</v>
      </c>
      <c r="D3963" s="2">
        <v>5424.95</v>
      </c>
      <c r="E3963" s="2">
        <v>5458.8</v>
      </c>
      <c r="F3963" s="2">
        <v>5352.25</v>
      </c>
      <c r="G3963" s="3">
        <f t="shared" si="185"/>
        <v>1.8044833038786123E-3</v>
      </c>
      <c r="H3963" s="2">
        <f t="shared" si="183"/>
        <v>106.55000000000018</v>
      </c>
      <c r="I3963" s="3">
        <f t="shared" si="184"/>
        <v>1.9640734015981747E-2</v>
      </c>
    </row>
    <row r="3964" spans="2:9" x14ac:dyDescent="0.25">
      <c r="B3964" s="1">
        <v>40969</v>
      </c>
      <c r="C3964" s="2">
        <v>5339.75</v>
      </c>
      <c r="D3964" s="2">
        <v>5366</v>
      </c>
      <c r="E3964" s="2">
        <v>5372.45</v>
      </c>
      <c r="F3964" s="2">
        <v>5297.5</v>
      </c>
      <c r="G3964" s="3">
        <f t="shared" si="185"/>
        <v>-8.4397979647923282E-3</v>
      </c>
      <c r="H3964" s="2">
        <f t="shared" si="183"/>
        <v>74.949999999999818</v>
      </c>
      <c r="I3964" s="3">
        <f t="shared" si="184"/>
        <v>1.3967573611628739E-2</v>
      </c>
    </row>
    <row r="3965" spans="2:9" x14ac:dyDescent="0.25">
      <c r="B3965" s="1">
        <v>40970</v>
      </c>
      <c r="C3965" s="2">
        <v>5359.35</v>
      </c>
      <c r="D3965" s="2">
        <v>5369.45</v>
      </c>
      <c r="E3965" s="2">
        <v>5392.55</v>
      </c>
      <c r="F3965" s="2">
        <v>5315.05</v>
      </c>
      <c r="G3965" s="3">
        <f t="shared" si="185"/>
        <v>3.6705838288308978E-3</v>
      </c>
      <c r="H3965" s="2">
        <f t="shared" si="183"/>
        <v>77.5</v>
      </c>
      <c r="I3965" s="3">
        <f t="shared" si="184"/>
        <v>1.4433508087420499E-2</v>
      </c>
    </row>
    <row r="3966" spans="2:9" x14ac:dyDescent="0.25">
      <c r="B3966" s="1">
        <v>40971</v>
      </c>
      <c r="C3966" s="2">
        <v>5359.4</v>
      </c>
      <c r="D3966" s="2">
        <v>5360.05</v>
      </c>
      <c r="E3966" s="2">
        <v>5369.6</v>
      </c>
      <c r="F3966" s="2">
        <v>5353.4</v>
      </c>
      <c r="G3966" s="3">
        <f t="shared" si="185"/>
        <v>9.3294895835427383E-6</v>
      </c>
      <c r="H3966" s="2">
        <f t="shared" si="183"/>
        <v>16.200000000000728</v>
      </c>
      <c r="I3966" s="3">
        <f t="shared" si="184"/>
        <v>3.0223598660461615E-3</v>
      </c>
    </row>
    <row r="3967" spans="2:9" x14ac:dyDescent="0.25">
      <c r="B3967" s="1">
        <v>40973</v>
      </c>
      <c r="C3967" s="2">
        <v>5280.35</v>
      </c>
      <c r="D3967" s="2">
        <v>5342.55</v>
      </c>
      <c r="E3967" s="2">
        <v>5344.5</v>
      </c>
      <c r="F3967" s="2">
        <v>5265.7</v>
      </c>
      <c r="G3967" s="3">
        <f t="shared" si="185"/>
        <v>-1.474978542374128E-2</v>
      </c>
      <c r="H3967" s="2">
        <f t="shared" si="183"/>
        <v>78.800000000000182</v>
      </c>
      <c r="I3967" s="3">
        <f t="shared" si="184"/>
        <v>1.4749511001300911E-2</v>
      </c>
    </row>
    <row r="3968" spans="2:9" x14ac:dyDescent="0.25">
      <c r="B3968" s="1">
        <v>40974</v>
      </c>
      <c r="C3968" s="2">
        <v>5222.3999999999996</v>
      </c>
      <c r="D3968" s="2">
        <v>5266</v>
      </c>
      <c r="E3968" s="2">
        <v>5382.05</v>
      </c>
      <c r="F3968" s="2">
        <v>5206.3999999999996</v>
      </c>
      <c r="G3968" s="3">
        <f t="shared" si="185"/>
        <v>-1.0974651301523752E-2</v>
      </c>
      <c r="H3968" s="2">
        <f t="shared" si="183"/>
        <v>175.65000000000055</v>
      </c>
      <c r="I3968" s="3">
        <f t="shared" si="184"/>
        <v>3.3355488036460414E-2</v>
      </c>
    </row>
    <row r="3969" spans="2:9" x14ac:dyDescent="0.25">
      <c r="B3969" s="1">
        <v>40975</v>
      </c>
      <c r="C3969" s="2">
        <v>5220.45</v>
      </c>
      <c r="D3969" s="2">
        <v>5207.05</v>
      </c>
      <c r="E3969" s="2">
        <v>5243.85</v>
      </c>
      <c r="F3969" s="2">
        <v>5171.45</v>
      </c>
      <c r="G3969" s="3">
        <f t="shared" si="185"/>
        <v>-3.7339154411764053E-4</v>
      </c>
      <c r="H3969" s="2">
        <f t="shared" si="183"/>
        <v>72.400000000000546</v>
      </c>
      <c r="I3969" s="3">
        <f t="shared" si="184"/>
        <v>1.3904226001286822E-2</v>
      </c>
    </row>
    <row r="3970" spans="2:9" x14ac:dyDescent="0.25">
      <c r="B3970" s="1">
        <v>40977</v>
      </c>
      <c r="C3970" s="2">
        <v>5333.55</v>
      </c>
      <c r="D3970" s="2">
        <v>5294.1</v>
      </c>
      <c r="E3970" s="2">
        <v>5342.3</v>
      </c>
      <c r="F3970" s="2">
        <v>5291.6</v>
      </c>
      <c r="G3970" s="3">
        <f t="shared" si="185"/>
        <v>2.1664799011579472E-2</v>
      </c>
      <c r="H3970" s="2">
        <f t="shared" si="183"/>
        <v>50.699999999999818</v>
      </c>
      <c r="I3970" s="3">
        <f t="shared" si="184"/>
        <v>9.5766985889952621E-3</v>
      </c>
    </row>
    <row r="3971" spans="2:9" x14ac:dyDescent="0.25">
      <c r="B3971" s="1">
        <v>40980</v>
      </c>
      <c r="C3971" s="2">
        <v>5359.55</v>
      </c>
      <c r="D3971" s="2">
        <v>5420.1</v>
      </c>
      <c r="E3971" s="2">
        <v>5421.9</v>
      </c>
      <c r="F3971" s="2">
        <v>5327.3</v>
      </c>
      <c r="G3971" s="3">
        <f t="shared" si="185"/>
        <v>4.8748019611704052E-3</v>
      </c>
      <c r="H3971" s="2">
        <f t="shared" si="183"/>
        <v>94.599999999999454</v>
      </c>
      <c r="I3971" s="3">
        <f t="shared" si="184"/>
        <v>1.7453552517481125E-2</v>
      </c>
    </row>
    <row r="3972" spans="2:9" x14ac:dyDescent="0.25">
      <c r="B3972" s="1">
        <v>40981</v>
      </c>
      <c r="C3972" s="2">
        <v>5429.5</v>
      </c>
      <c r="D3972" s="2">
        <v>5391.05</v>
      </c>
      <c r="E3972" s="2">
        <v>5438.65</v>
      </c>
      <c r="F3972" s="2">
        <v>5390.8</v>
      </c>
      <c r="G3972" s="3">
        <f t="shared" si="185"/>
        <v>1.3051468873319649E-2</v>
      </c>
      <c r="H3972" s="2">
        <f t="shared" si="183"/>
        <v>47.849999999999454</v>
      </c>
      <c r="I3972" s="3">
        <f t="shared" si="184"/>
        <v>8.8758219641812738E-3</v>
      </c>
    </row>
    <row r="3973" spans="2:9" x14ac:dyDescent="0.25">
      <c r="B3973" s="1">
        <v>40982</v>
      </c>
      <c r="C3973" s="2">
        <v>5463.9</v>
      </c>
      <c r="D3973" s="2">
        <v>5490.55</v>
      </c>
      <c r="E3973" s="2">
        <v>5499.4</v>
      </c>
      <c r="F3973" s="2">
        <v>5437.8</v>
      </c>
      <c r="G3973" s="3">
        <f t="shared" si="185"/>
        <v>6.335758357123078E-3</v>
      </c>
      <c r="H3973" s="2">
        <f t="shared" ref="H3973:H4036" si="186">E3973-F3973</f>
        <v>61.599999999999454</v>
      </c>
      <c r="I3973" s="3">
        <f t="shared" si="184"/>
        <v>1.1219276757337507E-2</v>
      </c>
    </row>
    <row r="3974" spans="2:9" x14ac:dyDescent="0.25">
      <c r="B3974" s="1">
        <v>40983</v>
      </c>
      <c r="C3974" s="2">
        <v>5380.5</v>
      </c>
      <c r="D3974" s="2">
        <v>5462.5</v>
      </c>
      <c r="E3974" s="2">
        <v>5462.5</v>
      </c>
      <c r="F3974" s="2">
        <v>5362.3</v>
      </c>
      <c r="G3974" s="3">
        <f t="shared" si="185"/>
        <v>-1.5263822544336447E-2</v>
      </c>
      <c r="H3974" s="2">
        <f t="shared" si="186"/>
        <v>100.19999999999982</v>
      </c>
      <c r="I3974" s="3">
        <f t="shared" ref="I3974:I4037" si="187">H3974/D3974</f>
        <v>1.8343249427917586E-2</v>
      </c>
    </row>
    <row r="3975" spans="2:9" x14ac:dyDescent="0.25">
      <c r="B3975" s="1">
        <v>40984</v>
      </c>
      <c r="C3975" s="2">
        <v>5317.9</v>
      </c>
      <c r="D3975" s="2">
        <v>5380.35</v>
      </c>
      <c r="E3975" s="2">
        <v>5445.65</v>
      </c>
      <c r="F3975" s="2">
        <v>5305</v>
      </c>
      <c r="G3975" s="3">
        <f t="shared" ref="G3975:G4038" si="188">C3975/C3974-1</f>
        <v>-1.1634606449214879E-2</v>
      </c>
      <c r="H3975" s="2">
        <f t="shared" si="186"/>
        <v>140.64999999999964</v>
      </c>
      <c r="I3975" s="3">
        <f t="shared" si="187"/>
        <v>2.6141422026448025E-2</v>
      </c>
    </row>
    <row r="3976" spans="2:9" x14ac:dyDescent="0.25">
      <c r="B3976" s="1">
        <v>40987</v>
      </c>
      <c r="C3976" s="2">
        <v>5257.05</v>
      </c>
      <c r="D3976" s="2">
        <v>5337.35</v>
      </c>
      <c r="E3976" s="2">
        <v>5340.7</v>
      </c>
      <c r="F3976" s="2">
        <v>5238.55</v>
      </c>
      <c r="G3976" s="3">
        <f t="shared" si="188"/>
        <v>-1.1442486695876108E-2</v>
      </c>
      <c r="H3976" s="2">
        <f t="shared" si="186"/>
        <v>102.14999999999964</v>
      </c>
      <c r="I3976" s="3">
        <f t="shared" si="187"/>
        <v>1.9138711158158943E-2</v>
      </c>
    </row>
    <row r="3977" spans="2:9" x14ac:dyDescent="0.25">
      <c r="B3977" s="1">
        <v>40988</v>
      </c>
      <c r="C3977" s="2">
        <v>5274.85</v>
      </c>
      <c r="D3977" s="2">
        <v>5257.15</v>
      </c>
      <c r="E3977" s="2">
        <v>5297.35</v>
      </c>
      <c r="F3977" s="2">
        <v>5233.25</v>
      </c>
      <c r="G3977" s="3">
        <f t="shared" si="188"/>
        <v>3.3859293710352123E-3</v>
      </c>
      <c r="H3977" s="2">
        <f t="shared" si="186"/>
        <v>64.100000000000364</v>
      </c>
      <c r="I3977" s="3">
        <f t="shared" si="187"/>
        <v>1.2192918216143798E-2</v>
      </c>
    </row>
    <row r="3978" spans="2:9" x14ac:dyDescent="0.25">
      <c r="B3978" s="1">
        <v>40989</v>
      </c>
      <c r="C3978" s="2">
        <v>5364.95</v>
      </c>
      <c r="D3978" s="2">
        <v>5267.2</v>
      </c>
      <c r="E3978" s="2">
        <v>5372.35</v>
      </c>
      <c r="F3978" s="2">
        <v>5256</v>
      </c>
      <c r="G3978" s="3">
        <f t="shared" si="188"/>
        <v>1.7081054437566801E-2</v>
      </c>
      <c r="H3978" s="2">
        <f t="shared" si="186"/>
        <v>116.35000000000036</v>
      </c>
      <c r="I3978" s="3">
        <f t="shared" si="187"/>
        <v>2.2089535236938102E-2</v>
      </c>
    </row>
    <row r="3979" spans="2:9" x14ac:dyDescent="0.25">
      <c r="B3979" s="1">
        <v>40990</v>
      </c>
      <c r="C3979" s="2">
        <v>5228.45</v>
      </c>
      <c r="D3979" s="2">
        <v>5361.1</v>
      </c>
      <c r="E3979" s="2">
        <v>5385.95</v>
      </c>
      <c r="F3979" s="2">
        <v>5205.6499999999996</v>
      </c>
      <c r="G3979" s="3">
        <f t="shared" si="188"/>
        <v>-2.5442921182862843E-2</v>
      </c>
      <c r="H3979" s="2">
        <f t="shared" si="186"/>
        <v>180.30000000000018</v>
      </c>
      <c r="I3979" s="3">
        <f t="shared" si="187"/>
        <v>3.3631157784783004E-2</v>
      </c>
    </row>
    <row r="3980" spans="2:9" x14ac:dyDescent="0.25">
      <c r="B3980" s="1">
        <v>40991</v>
      </c>
      <c r="C3980" s="2">
        <v>5278.2</v>
      </c>
      <c r="D3980" s="2">
        <v>5255.65</v>
      </c>
      <c r="E3980" s="2">
        <v>5312</v>
      </c>
      <c r="F3980" s="2">
        <v>5220</v>
      </c>
      <c r="G3980" s="3">
        <f t="shared" si="188"/>
        <v>9.5152483049469883E-3</v>
      </c>
      <c r="H3980" s="2">
        <f t="shared" si="186"/>
        <v>92</v>
      </c>
      <c r="I3980" s="3">
        <f t="shared" si="187"/>
        <v>1.7504970840904552E-2</v>
      </c>
    </row>
    <row r="3981" spans="2:9" x14ac:dyDescent="0.25">
      <c r="B3981" s="1">
        <v>40994</v>
      </c>
      <c r="C3981" s="2">
        <v>5184.25</v>
      </c>
      <c r="D3981" s="2">
        <v>5274.35</v>
      </c>
      <c r="E3981" s="2">
        <v>5274.95</v>
      </c>
      <c r="F3981" s="2">
        <v>5174.8999999999996</v>
      </c>
      <c r="G3981" s="3">
        <f t="shared" si="188"/>
        <v>-1.7799628661286038E-2</v>
      </c>
      <c r="H3981" s="2">
        <f t="shared" si="186"/>
        <v>100.05000000000018</v>
      </c>
      <c r="I3981" s="3">
        <f t="shared" si="187"/>
        <v>1.8969162076843626E-2</v>
      </c>
    </row>
    <row r="3982" spans="2:9" x14ac:dyDescent="0.25">
      <c r="B3982" s="1">
        <v>40995</v>
      </c>
      <c r="C3982" s="2">
        <v>5243.15</v>
      </c>
      <c r="D3982" s="2">
        <v>5242.95</v>
      </c>
      <c r="E3982" s="2">
        <v>5277.95</v>
      </c>
      <c r="F3982" s="2">
        <v>5184.6499999999996</v>
      </c>
      <c r="G3982" s="3">
        <f t="shared" si="188"/>
        <v>1.1361334812171497E-2</v>
      </c>
      <c r="H3982" s="2">
        <f t="shared" si="186"/>
        <v>93.300000000000182</v>
      </c>
      <c r="I3982" s="3">
        <f t="shared" si="187"/>
        <v>1.7795325150916981E-2</v>
      </c>
    </row>
    <row r="3983" spans="2:9" x14ac:dyDescent="0.25">
      <c r="B3983" s="1">
        <v>40996</v>
      </c>
      <c r="C3983" s="2">
        <v>5194.75</v>
      </c>
      <c r="D3983" s="2">
        <v>5231.7</v>
      </c>
      <c r="E3983" s="2">
        <v>5236.55</v>
      </c>
      <c r="F3983" s="2">
        <v>5169.6000000000004</v>
      </c>
      <c r="G3983" s="3">
        <f t="shared" si="188"/>
        <v>-9.2310919962236282E-3</v>
      </c>
      <c r="H3983" s="2">
        <f t="shared" si="186"/>
        <v>66.949999999999818</v>
      </c>
      <c r="I3983" s="3">
        <f t="shared" si="187"/>
        <v>1.2796987594854412E-2</v>
      </c>
    </row>
    <row r="3984" spans="2:9" x14ac:dyDescent="0.25">
      <c r="B3984" s="1">
        <v>40997</v>
      </c>
      <c r="C3984" s="2">
        <v>5178.8500000000004</v>
      </c>
      <c r="D3984" s="2">
        <v>5145.95</v>
      </c>
      <c r="E3984" s="2">
        <v>5194.3</v>
      </c>
      <c r="F3984" s="2">
        <v>5135.95</v>
      </c>
      <c r="G3984" s="3">
        <f t="shared" si="188"/>
        <v>-3.0607825208142092E-3</v>
      </c>
      <c r="H3984" s="2">
        <f t="shared" si="186"/>
        <v>58.350000000000364</v>
      </c>
      <c r="I3984" s="3">
        <f t="shared" si="187"/>
        <v>1.1339014176196887E-2</v>
      </c>
    </row>
    <row r="3985" spans="2:9" x14ac:dyDescent="0.25">
      <c r="B3985" s="1">
        <v>40998</v>
      </c>
      <c r="C3985" s="2">
        <v>5295.55</v>
      </c>
      <c r="D3985" s="2">
        <v>5206.6000000000004</v>
      </c>
      <c r="E3985" s="2">
        <v>5307.1</v>
      </c>
      <c r="F3985" s="2">
        <v>5203.6499999999996</v>
      </c>
      <c r="G3985" s="3">
        <f t="shared" si="188"/>
        <v>2.2533960242138606E-2</v>
      </c>
      <c r="H3985" s="2">
        <f t="shared" si="186"/>
        <v>103.45000000000073</v>
      </c>
      <c r="I3985" s="3">
        <f t="shared" si="187"/>
        <v>1.9869012407329297E-2</v>
      </c>
    </row>
    <row r="3986" spans="2:9" x14ac:dyDescent="0.25">
      <c r="B3986" s="1">
        <v>41001</v>
      </c>
      <c r="C3986" s="2">
        <v>5317.9</v>
      </c>
      <c r="D3986" s="2">
        <v>5296.35</v>
      </c>
      <c r="E3986" s="2">
        <v>5331.55</v>
      </c>
      <c r="F3986" s="2">
        <v>5278.8</v>
      </c>
      <c r="G3986" s="3">
        <f t="shared" si="188"/>
        <v>4.2205247802398205E-3</v>
      </c>
      <c r="H3986" s="2">
        <f t="shared" si="186"/>
        <v>52.75</v>
      </c>
      <c r="I3986" s="3">
        <f t="shared" si="187"/>
        <v>9.9596892199344828E-3</v>
      </c>
    </row>
    <row r="3987" spans="2:9" x14ac:dyDescent="0.25">
      <c r="B3987" s="1">
        <v>41002</v>
      </c>
      <c r="C3987" s="2">
        <v>5358.5</v>
      </c>
      <c r="D3987" s="2">
        <v>5353.2</v>
      </c>
      <c r="E3987" s="2">
        <v>5378.75</v>
      </c>
      <c r="F3987" s="2">
        <v>5344.45</v>
      </c>
      <c r="G3987" s="3">
        <f t="shared" si="188"/>
        <v>7.6345926023431154E-3</v>
      </c>
      <c r="H3987" s="2">
        <f t="shared" si="186"/>
        <v>34.300000000000182</v>
      </c>
      <c r="I3987" s="3">
        <f t="shared" si="187"/>
        <v>6.4073825001868387E-3</v>
      </c>
    </row>
    <row r="3988" spans="2:9" x14ac:dyDescent="0.25">
      <c r="B3988" s="1">
        <v>41003</v>
      </c>
      <c r="C3988" s="2">
        <v>5322.9</v>
      </c>
      <c r="D3988" s="2">
        <v>5328.65</v>
      </c>
      <c r="E3988" s="2">
        <v>5338.4</v>
      </c>
      <c r="F3988" s="2">
        <v>5305.3</v>
      </c>
      <c r="G3988" s="3">
        <f t="shared" si="188"/>
        <v>-6.6436502752637017E-3</v>
      </c>
      <c r="H3988" s="2">
        <f t="shared" si="186"/>
        <v>33.099999999999454</v>
      </c>
      <c r="I3988" s="3">
        <f t="shared" si="187"/>
        <v>6.2117046531484444E-3</v>
      </c>
    </row>
    <row r="3989" spans="2:9" x14ac:dyDescent="0.25">
      <c r="B3989" s="1">
        <v>41008</v>
      </c>
      <c r="C3989" s="2">
        <v>5234.3999999999996</v>
      </c>
      <c r="D3989" s="2">
        <v>5282.5</v>
      </c>
      <c r="E3989" s="2">
        <v>5287.9</v>
      </c>
      <c r="F3989" s="2">
        <v>5228</v>
      </c>
      <c r="G3989" s="3">
        <f t="shared" si="188"/>
        <v>-1.6626275150763647E-2</v>
      </c>
      <c r="H3989" s="2">
        <f t="shared" si="186"/>
        <v>59.899999999999636</v>
      </c>
      <c r="I3989" s="3">
        <f t="shared" si="187"/>
        <v>1.1339327969711242E-2</v>
      </c>
    </row>
    <row r="3990" spans="2:9" x14ac:dyDescent="0.25">
      <c r="B3990" s="1">
        <v>41009</v>
      </c>
      <c r="C3990" s="2">
        <v>5243.6</v>
      </c>
      <c r="D3990" s="2">
        <v>5254.1</v>
      </c>
      <c r="E3990" s="2">
        <v>5255.8</v>
      </c>
      <c r="F3990" s="2">
        <v>5211.8500000000004</v>
      </c>
      <c r="G3990" s="3">
        <f t="shared" si="188"/>
        <v>1.7576035457742556E-3</v>
      </c>
      <c r="H3990" s="2">
        <f t="shared" si="186"/>
        <v>43.949999999999818</v>
      </c>
      <c r="I3990" s="3">
        <f t="shared" si="187"/>
        <v>8.3648959859918565E-3</v>
      </c>
    </row>
    <row r="3991" spans="2:9" x14ac:dyDescent="0.25">
      <c r="B3991" s="1">
        <v>41010</v>
      </c>
      <c r="C3991" s="2">
        <v>5226.8500000000004</v>
      </c>
      <c r="D3991" s="2">
        <v>5209.45</v>
      </c>
      <c r="E3991" s="2">
        <v>5263.65</v>
      </c>
      <c r="F3991" s="2">
        <v>5190.8</v>
      </c>
      <c r="G3991" s="3">
        <f t="shared" si="188"/>
        <v>-3.1943702799602791E-3</v>
      </c>
      <c r="H3991" s="2">
        <f t="shared" si="186"/>
        <v>72.849999999999454</v>
      </c>
      <c r="I3991" s="3">
        <f t="shared" si="187"/>
        <v>1.3984201787136734E-2</v>
      </c>
    </row>
    <row r="3992" spans="2:9" x14ac:dyDescent="0.25">
      <c r="B3992" s="1">
        <v>41011</v>
      </c>
      <c r="C3992" s="2">
        <v>5276.85</v>
      </c>
      <c r="D3992" s="2">
        <v>5246.75</v>
      </c>
      <c r="E3992" s="2">
        <v>5290.6</v>
      </c>
      <c r="F3992" s="2">
        <v>5246.75</v>
      </c>
      <c r="G3992" s="3">
        <f t="shared" si="188"/>
        <v>9.5659909888365924E-3</v>
      </c>
      <c r="H3992" s="2">
        <f t="shared" si="186"/>
        <v>43.850000000000364</v>
      </c>
      <c r="I3992" s="3">
        <f t="shared" si="187"/>
        <v>8.3575546767046954E-3</v>
      </c>
    </row>
    <row r="3993" spans="2:9" x14ac:dyDescent="0.25">
      <c r="B3993" s="1">
        <v>41012</v>
      </c>
      <c r="C3993" s="2">
        <v>5207.45</v>
      </c>
      <c r="D3993" s="2">
        <v>5255.7</v>
      </c>
      <c r="E3993" s="2">
        <v>5306.75</v>
      </c>
      <c r="F3993" s="2">
        <v>5185.3999999999996</v>
      </c>
      <c r="G3993" s="3">
        <f t="shared" si="188"/>
        <v>-1.3151785629684443E-2</v>
      </c>
      <c r="H3993" s="2">
        <f t="shared" si="186"/>
        <v>121.35000000000036</v>
      </c>
      <c r="I3993" s="3">
        <f t="shared" si="187"/>
        <v>2.3089217421085748E-2</v>
      </c>
    </row>
    <row r="3994" spans="2:9" x14ac:dyDescent="0.25">
      <c r="B3994" s="1">
        <v>41015</v>
      </c>
      <c r="C3994" s="2">
        <v>5226.2</v>
      </c>
      <c r="D3994" s="2">
        <v>5190.6000000000004</v>
      </c>
      <c r="E3994" s="2">
        <v>5233.5</v>
      </c>
      <c r="F3994" s="2">
        <v>5183.5</v>
      </c>
      <c r="G3994" s="3">
        <f t="shared" si="188"/>
        <v>3.6006106635686486E-3</v>
      </c>
      <c r="H3994" s="2">
        <f t="shared" si="186"/>
        <v>50</v>
      </c>
      <c r="I3994" s="3">
        <f t="shared" si="187"/>
        <v>9.6327977497784444E-3</v>
      </c>
    </row>
    <row r="3995" spans="2:9" x14ac:dyDescent="0.25">
      <c r="B3995" s="1">
        <v>41016</v>
      </c>
      <c r="C3995" s="2">
        <v>5289.7</v>
      </c>
      <c r="D3995" s="2">
        <v>5266.6</v>
      </c>
      <c r="E3995" s="2">
        <v>5298.2</v>
      </c>
      <c r="F3995" s="2">
        <v>5208.3500000000004</v>
      </c>
      <c r="G3995" s="3">
        <f t="shared" si="188"/>
        <v>1.2150319543836829E-2</v>
      </c>
      <c r="H3995" s="2">
        <f t="shared" si="186"/>
        <v>89.849999999999454</v>
      </c>
      <c r="I3995" s="3">
        <f t="shared" si="187"/>
        <v>1.7060342535981363E-2</v>
      </c>
    </row>
    <row r="3996" spans="2:9" x14ac:dyDescent="0.25">
      <c r="B3996" s="1">
        <v>41017</v>
      </c>
      <c r="C3996" s="2">
        <v>5300</v>
      </c>
      <c r="D3996" s="2">
        <v>5320.7</v>
      </c>
      <c r="E3996" s="2">
        <v>5342</v>
      </c>
      <c r="F3996" s="2">
        <v>5293.45</v>
      </c>
      <c r="G3996" s="3">
        <f t="shared" si="188"/>
        <v>1.9471803693971168E-3</v>
      </c>
      <c r="H3996" s="2">
        <f t="shared" si="186"/>
        <v>48.550000000000182</v>
      </c>
      <c r="I3996" s="3">
        <f t="shared" si="187"/>
        <v>9.1247392260417216E-3</v>
      </c>
    </row>
    <row r="3997" spans="2:9" x14ac:dyDescent="0.25">
      <c r="B3997" s="1">
        <v>41018</v>
      </c>
      <c r="C3997" s="2">
        <v>5332.4</v>
      </c>
      <c r="D3997" s="2">
        <v>5320.6</v>
      </c>
      <c r="E3997" s="2">
        <v>5342.45</v>
      </c>
      <c r="F3997" s="2">
        <v>5291.3</v>
      </c>
      <c r="G3997" s="3">
        <f t="shared" si="188"/>
        <v>6.1132075471697078E-3</v>
      </c>
      <c r="H3997" s="2">
        <f t="shared" si="186"/>
        <v>51.149999999999636</v>
      </c>
      <c r="I3997" s="3">
        <f t="shared" si="187"/>
        <v>9.6135774160808242E-3</v>
      </c>
    </row>
    <row r="3998" spans="2:9" x14ac:dyDescent="0.25">
      <c r="B3998" s="1">
        <v>41019</v>
      </c>
      <c r="C3998" s="2">
        <v>5290.85</v>
      </c>
      <c r="D3998" s="2">
        <v>5313.95</v>
      </c>
      <c r="E3998" s="2">
        <v>5336.15</v>
      </c>
      <c r="F3998" s="2">
        <v>5245.45</v>
      </c>
      <c r="G3998" s="3">
        <f t="shared" si="188"/>
        <v>-7.7919885980045622E-3</v>
      </c>
      <c r="H3998" s="2">
        <f t="shared" si="186"/>
        <v>90.699999999999818</v>
      </c>
      <c r="I3998" s="3">
        <f t="shared" si="187"/>
        <v>1.706828253935393E-2</v>
      </c>
    </row>
    <row r="3999" spans="2:9" x14ac:dyDescent="0.25">
      <c r="B3999" s="1">
        <v>41022</v>
      </c>
      <c r="C3999" s="2">
        <v>5200.6000000000004</v>
      </c>
      <c r="D3999" s="2">
        <v>5277.4</v>
      </c>
      <c r="E3999" s="2">
        <v>5310.55</v>
      </c>
      <c r="F3999" s="2">
        <v>5187.1499999999996</v>
      </c>
      <c r="G3999" s="3">
        <f t="shared" si="188"/>
        <v>-1.7057750644981384E-2</v>
      </c>
      <c r="H3999" s="2">
        <f t="shared" si="186"/>
        <v>123.40000000000055</v>
      </c>
      <c r="I3999" s="3">
        <f t="shared" si="187"/>
        <v>2.3382726342517254E-2</v>
      </c>
    </row>
    <row r="4000" spans="2:9" x14ac:dyDescent="0.25">
      <c r="B4000" s="1">
        <v>41023</v>
      </c>
      <c r="C4000" s="2">
        <v>5222.6499999999996</v>
      </c>
      <c r="D4000" s="2">
        <v>5215.8999999999996</v>
      </c>
      <c r="E4000" s="2">
        <v>5232.3500000000004</v>
      </c>
      <c r="F4000" s="2">
        <v>5180.3500000000004</v>
      </c>
      <c r="G4000" s="3">
        <f t="shared" si="188"/>
        <v>4.2398953966849007E-3</v>
      </c>
      <c r="H4000" s="2">
        <f t="shared" si="186"/>
        <v>52</v>
      </c>
      <c r="I4000" s="3">
        <f t="shared" si="187"/>
        <v>9.9695162867386271E-3</v>
      </c>
    </row>
    <row r="4001" spans="2:9" x14ac:dyDescent="0.25">
      <c r="B4001" s="1">
        <v>41024</v>
      </c>
      <c r="C4001" s="2">
        <v>5202</v>
      </c>
      <c r="D4001" s="2">
        <v>5222.2</v>
      </c>
      <c r="E4001" s="2">
        <v>5236.1000000000004</v>
      </c>
      <c r="F4001" s="2">
        <v>5160.6499999999996</v>
      </c>
      <c r="G4001" s="3">
        <f t="shared" si="188"/>
        <v>-3.9539314332761588E-3</v>
      </c>
      <c r="H4001" s="2">
        <f t="shared" si="186"/>
        <v>75.450000000000728</v>
      </c>
      <c r="I4001" s="3">
        <f t="shared" si="187"/>
        <v>1.4447933820995122E-2</v>
      </c>
    </row>
    <row r="4002" spans="2:9" x14ac:dyDescent="0.25">
      <c r="B4002" s="1">
        <v>41025</v>
      </c>
      <c r="C4002" s="2">
        <v>5189</v>
      </c>
      <c r="D4002" s="2">
        <v>5214.75</v>
      </c>
      <c r="E4002" s="2">
        <v>5215.6000000000004</v>
      </c>
      <c r="F4002" s="2">
        <v>5179.05</v>
      </c>
      <c r="G4002" s="3">
        <f t="shared" si="188"/>
        <v>-2.499038831218714E-3</v>
      </c>
      <c r="H4002" s="2">
        <f t="shared" si="186"/>
        <v>36.550000000000182</v>
      </c>
      <c r="I4002" s="3">
        <f t="shared" si="187"/>
        <v>7.0089649551752587E-3</v>
      </c>
    </row>
    <row r="4003" spans="2:9" x14ac:dyDescent="0.25">
      <c r="B4003" s="1">
        <v>41026</v>
      </c>
      <c r="C4003" s="2">
        <v>5190.6000000000004</v>
      </c>
      <c r="D4003" s="2">
        <v>5189</v>
      </c>
      <c r="E4003" s="2">
        <v>5223.05</v>
      </c>
      <c r="F4003" s="2">
        <v>5154.3</v>
      </c>
      <c r="G4003" s="3">
        <f t="shared" si="188"/>
        <v>3.0834457506268009E-4</v>
      </c>
      <c r="H4003" s="2">
        <f t="shared" si="186"/>
        <v>68.75</v>
      </c>
      <c r="I4003" s="3">
        <f t="shared" si="187"/>
        <v>1.324918095972249E-2</v>
      </c>
    </row>
    <row r="4004" spans="2:9" x14ac:dyDescent="0.25">
      <c r="B4004" s="1">
        <v>41029</v>
      </c>
      <c r="C4004" s="2">
        <v>5248.15</v>
      </c>
      <c r="D4004" s="2">
        <v>5201.45</v>
      </c>
      <c r="E4004" s="2">
        <v>5262.15</v>
      </c>
      <c r="F4004" s="2">
        <v>5201.45</v>
      </c>
      <c r="G4004" s="3">
        <f t="shared" si="188"/>
        <v>1.1087350209994851E-2</v>
      </c>
      <c r="H4004" s="2">
        <f t="shared" si="186"/>
        <v>60.699999999999818</v>
      </c>
      <c r="I4004" s="3">
        <f t="shared" si="187"/>
        <v>1.1669822837862484E-2</v>
      </c>
    </row>
    <row r="4005" spans="2:9" x14ac:dyDescent="0.25">
      <c r="B4005" s="1">
        <v>41031</v>
      </c>
      <c r="C4005" s="2">
        <v>5239.1499999999996</v>
      </c>
      <c r="D4005" s="2">
        <v>5254.3</v>
      </c>
      <c r="E4005" s="2">
        <v>5279.6</v>
      </c>
      <c r="F4005" s="2">
        <v>5226.45</v>
      </c>
      <c r="G4005" s="3">
        <f t="shared" si="188"/>
        <v>-1.7148900088602703E-3</v>
      </c>
      <c r="H4005" s="2">
        <f t="shared" si="186"/>
        <v>53.150000000000546</v>
      </c>
      <c r="I4005" s="3">
        <f t="shared" si="187"/>
        <v>1.0115524427611773E-2</v>
      </c>
    </row>
    <row r="4006" spans="2:9" x14ac:dyDescent="0.25">
      <c r="B4006" s="1">
        <v>41032</v>
      </c>
      <c r="C4006" s="2">
        <v>5188.3999999999996</v>
      </c>
      <c r="D4006" s="2">
        <v>5211.2</v>
      </c>
      <c r="E4006" s="2">
        <v>5217.3</v>
      </c>
      <c r="F4006" s="2">
        <v>5180.6499999999996</v>
      </c>
      <c r="G4006" s="3">
        <f t="shared" si="188"/>
        <v>-9.6866858173558779E-3</v>
      </c>
      <c r="H4006" s="2">
        <f t="shared" si="186"/>
        <v>36.650000000000546</v>
      </c>
      <c r="I4006" s="3">
        <f t="shared" si="187"/>
        <v>7.0329290758367642E-3</v>
      </c>
    </row>
    <row r="4007" spans="2:9" x14ac:dyDescent="0.25">
      <c r="B4007" s="1">
        <v>41033</v>
      </c>
      <c r="C4007" s="2">
        <v>5086.8500000000004</v>
      </c>
      <c r="D4007" s="2">
        <v>5166.6499999999996</v>
      </c>
      <c r="E4007" s="2">
        <v>5177.2</v>
      </c>
      <c r="F4007" s="2">
        <v>5070.6000000000004</v>
      </c>
      <c r="G4007" s="3">
        <f t="shared" si="188"/>
        <v>-1.9572507902243297E-2</v>
      </c>
      <c r="H4007" s="2">
        <f t="shared" si="186"/>
        <v>106.59999999999945</v>
      </c>
      <c r="I4007" s="3">
        <f t="shared" si="187"/>
        <v>2.0632324620401897E-2</v>
      </c>
    </row>
    <row r="4008" spans="2:9" x14ac:dyDescent="0.25">
      <c r="B4008" s="1">
        <v>41036</v>
      </c>
      <c r="C4008" s="2">
        <v>5114.1499999999996</v>
      </c>
      <c r="D4008" s="2">
        <v>5017.8</v>
      </c>
      <c r="E4008" s="2">
        <v>5124.75</v>
      </c>
      <c r="F4008" s="2">
        <v>4988</v>
      </c>
      <c r="G4008" s="3">
        <f t="shared" si="188"/>
        <v>5.3667790479372535E-3</v>
      </c>
      <c r="H4008" s="2">
        <f t="shared" si="186"/>
        <v>136.75</v>
      </c>
      <c r="I4008" s="3">
        <f t="shared" si="187"/>
        <v>2.725297939335964E-2</v>
      </c>
    </row>
    <row r="4009" spans="2:9" x14ac:dyDescent="0.25">
      <c r="B4009" s="1">
        <v>41037</v>
      </c>
      <c r="C4009" s="2">
        <v>4999.95</v>
      </c>
      <c r="D4009" s="2">
        <v>5114.7</v>
      </c>
      <c r="E4009" s="2">
        <v>5119.95</v>
      </c>
      <c r="F4009" s="2">
        <v>4983.6000000000004</v>
      </c>
      <c r="G4009" s="3">
        <f t="shared" si="188"/>
        <v>-2.2330201499760394E-2</v>
      </c>
      <c r="H4009" s="2">
        <f t="shared" si="186"/>
        <v>136.34999999999945</v>
      </c>
      <c r="I4009" s="3">
        <f t="shared" si="187"/>
        <v>2.6658455041351291E-2</v>
      </c>
    </row>
    <row r="4010" spans="2:9" x14ac:dyDescent="0.25">
      <c r="B4010" s="1">
        <v>41038</v>
      </c>
      <c r="C4010" s="2">
        <v>4974.8</v>
      </c>
      <c r="D4010" s="2">
        <v>4967.8999999999996</v>
      </c>
      <c r="E4010" s="2">
        <v>5016.25</v>
      </c>
      <c r="F4010" s="2">
        <v>4956.45</v>
      </c>
      <c r="G4010" s="3">
        <f t="shared" si="188"/>
        <v>-5.030050300502964E-3</v>
      </c>
      <c r="H4010" s="2">
        <f t="shared" si="186"/>
        <v>59.800000000000182</v>
      </c>
      <c r="I4010" s="3">
        <f t="shared" si="187"/>
        <v>1.2037279333319951E-2</v>
      </c>
    </row>
    <row r="4011" spans="2:9" x14ac:dyDescent="0.25">
      <c r="B4011" s="1">
        <v>41039</v>
      </c>
      <c r="C4011" s="2">
        <v>4965.7</v>
      </c>
      <c r="D4011" s="2">
        <v>4984.1499999999996</v>
      </c>
      <c r="E4011" s="2">
        <v>5039.3</v>
      </c>
      <c r="F4011" s="2">
        <v>4950.3</v>
      </c>
      <c r="G4011" s="3">
        <f t="shared" si="188"/>
        <v>-1.8292192650961603E-3</v>
      </c>
      <c r="H4011" s="2">
        <f t="shared" si="186"/>
        <v>89</v>
      </c>
      <c r="I4011" s="3">
        <f t="shared" si="187"/>
        <v>1.78566054392424E-2</v>
      </c>
    </row>
    <row r="4012" spans="2:9" x14ac:dyDescent="0.25">
      <c r="B4012" s="1">
        <v>41040</v>
      </c>
      <c r="C4012" s="2">
        <v>4928.8999999999996</v>
      </c>
      <c r="D4012" s="2">
        <v>4938.8500000000004</v>
      </c>
      <c r="E4012" s="2">
        <v>4976.25</v>
      </c>
      <c r="F4012" s="2">
        <v>4906.1499999999996</v>
      </c>
      <c r="G4012" s="3">
        <f t="shared" si="188"/>
        <v>-7.4108383510884668E-3</v>
      </c>
      <c r="H4012" s="2">
        <f t="shared" si="186"/>
        <v>70.100000000000364</v>
      </c>
      <c r="I4012" s="3">
        <f t="shared" si="187"/>
        <v>1.4193587576055227E-2</v>
      </c>
    </row>
    <row r="4013" spans="2:9" x14ac:dyDescent="0.25">
      <c r="B4013" s="1">
        <v>41043</v>
      </c>
      <c r="C4013" s="2">
        <v>4907.8</v>
      </c>
      <c r="D4013" s="2">
        <v>4934.3500000000004</v>
      </c>
      <c r="E4013" s="2">
        <v>4957.2</v>
      </c>
      <c r="F4013" s="2">
        <v>4874.5</v>
      </c>
      <c r="G4013" s="3">
        <f t="shared" si="188"/>
        <v>-4.28087402868782E-3</v>
      </c>
      <c r="H4013" s="2">
        <f t="shared" si="186"/>
        <v>82.699999999999818</v>
      </c>
      <c r="I4013" s="3">
        <f t="shared" si="187"/>
        <v>1.6760059582315769E-2</v>
      </c>
    </row>
    <row r="4014" spans="2:9" x14ac:dyDescent="0.25">
      <c r="B4014" s="1">
        <v>41044</v>
      </c>
      <c r="C4014" s="2">
        <v>4942.8</v>
      </c>
      <c r="D4014" s="2">
        <v>4869.8500000000004</v>
      </c>
      <c r="E4014" s="2">
        <v>4955.2</v>
      </c>
      <c r="F4014" s="2">
        <v>4868.55</v>
      </c>
      <c r="G4014" s="3">
        <f t="shared" si="188"/>
        <v>7.1315049513021034E-3</v>
      </c>
      <c r="H4014" s="2">
        <f t="shared" si="186"/>
        <v>86.649999999999636</v>
      </c>
      <c r="I4014" s="3">
        <f t="shared" si="187"/>
        <v>1.7793155846689248E-2</v>
      </c>
    </row>
    <row r="4015" spans="2:9" x14ac:dyDescent="0.25">
      <c r="B4015" s="1">
        <v>41045</v>
      </c>
      <c r="C4015" s="2">
        <v>4858.25</v>
      </c>
      <c r="D4015" s="2">
        <v>4875.3</v>
      </c>
      <c r="E4015" s="2">
        <v>4882.25</v>
      </c>
      <c r="F4015" s="2">
        <v>4837.05</v>
      </c>
      <c r="G4015" s="3">
        <f t="shared" si="188"/>
        <v>-1.7105689083110831E-2</v>
      </c>
      <c r="H4015" s="2">
        <f t="shared" si="186"/>
        <v>45.199999999999818</v>
      </c>
      <c r="I4015" s="3">
        <f t="shared" si="187"/>
        <v>9.2712243349126859E-3</v>
      </c>
    </row>
    <row r="4016" spans="2:9" x14ac:dyDescent="0.25">
      <c r="B4016" s="1">
        <v>41046</v>
      </c>
      <c r="C4016" s="2">
        <v>4870.2</v>
      </c>
      <c r="D4016" s="2">
        <v>4878.6000000000004</v>
      </c>
      <c r="E4016" s="2">
        <v>4922.25</v>
      </c>
      <c r="F4016" s="2">
        <v>4850.2</v>
      </c>
      <c r="G4016" s="3">
        <f t="shared" si="188"/>
        <v>2.4597334431122331E-3</v>
      </c>
      <c r="H4016" s="2">
        <f t="shared" si="186"/>
        <v>72.050000000000182</v>
      </c>
      <c r="I4016" s="3">
        <f t="shared" si="187"/>
        <v>1.4768581150330048E-2</v>
      </c>
    </row>
    <row r="4017" spans="2:9" x14ac:dyDescent="0.25">
      <c r="B4017" s="1">
        <v>41047</v>
      </c>
      <c r="C4017" s="2">
        <v>4891.45</v>
      </c>
      <c r="D4017" s="2">
        <v>4796.3999999999996</v>
      </c>
      <c r="E4017" s="2">
        <v>4908.5</v>
      </c>
      <c r="F4017" s="2">
        <v>4788.95</v>
      </c>
      <c r="G4017" s="3">
        <f t="shared" si="188"/>
        <v>4.3632705022380591E-3</v>
      </c>
      <c r="H4017" s="2">
        <f t="shared" si="186"/>
        <v>119.55000000000018</v>
      </c>
      <c r="I4017" s="3">
        <f t="shared" si="187"/>
        <v>2.4924943707780877E-2</v>
      </c>
    </row>
    <row r="4018" spans="2:9" x14ac:dyDescent="0.25">
      <c r="B4018" s="1">
        <v>41050</v>
      </c>
      <c r="C4018" s="2">
        <v>4906.05</v>
      </c>
      <c r="D4018" s="2">
        <v>4888.5</v>
      </c>
      <c r="E4018" s="2">
        <v>4937.5</v>
      </c>
      <c r="F4018" s="2">
        <v>4888.5</v>
      </c>
      <c r="G4018" s="3">
        <f t="shared" si="188"/>
        <v>2.9848000081775794E-3</v>
      </c>
      <c r="H4018" s="2">
        <f t="shared" si="186"/>
        <v>49</v>
      </c>
      <c r="I4018" s="3">
        <f t="shared" si="187"/>
        <v>1.0023524598547611E-2</v>
      </c>
    </row>
    <row r="4019" spans="2:9" x14ac:dyDescent="0.25">
      <c r="B4019" s="1">
        <v>41051</v>
      </c>
      <c r="C4019" s="2">
        <v>4860.5</v>
      </c>
      <c r="D4019" s="2">
        <v>4954.7</v>
      </c>
      <c r="E4019" s="2">
        <v>4956.3500000000004</v>
      </c>
      <c r="F4019" s="2">
        <v>4849.8999999999996</v>
      </c>
      <c r="G4019" s="3">
        <f t="shared" si="188"/>
        <v>-9.284454907716011E-3</v>
      </c>
      <c r="H4019" s="2">
        <f t="shared" si="186"/>
        <v>106.45000000000073</v>
      </c>
      <c r="I4019" s="3">
        <f t="shared" si="187"/>
        <v>2.148465093749384E-2</v>
      </c>
    </row>
    <row r="4020" spans="2:9" x14ac:dyDescent="0.25">
      <c r="B4020" s="1">
        <v>41052</v>
      </c>
      <c r="C4020" s="2">
        <v>4835.6499999999996</v>
      </c>
      <c r="D4020" s="2">
        <v>4843</v>
      </c>
      <c r="E4020" s="2">
        <v>4853.75</v>
      </c>
      <c r="F4020" s="2">
        <v>4803.95</v>
      </c>
      <c r="G4020" s="3">
        <f t="shared" si="188"/>
        <v>-5.1126427322292223E-3</v>
      </c>
      <c r="H4020" s="2">
        <f t="shared" si="186"/>
        <v>49.800000000000182</v>
      </c>
      <c r="I4020" s="3">
        <f t="shared" si="187"/>
        <v>1.0282882510840426E-2</v>
      </c>
    </row>
    <row r="4021" spans="2:9" x14ac:dyDescent="0.25">
      <c r="B4021" s="1">
        <v>41053</v>
      </c>
      <c r="C4021" s="2">
        <v>4921.3999999999996</v>
      </c>
      <c r="D4021" s="2">
        <v>4863.3999999999996</v>
      </c>
      <c r="E4021" s="2">
        <v>4931.8999999999996</v>
      </c>
      <c r="F4021" s="2">
        <v>4830.1499999999996</v>
      </c>
      <c r="G4021" s="3">
        <f t="shared" si="188"/>
        <v>1.7732879757633491E-2</v>
      </c>
      <c r="H4021" s="2">
        <f t="shared" si="186"/>
        <v>101.75</v>
      </c>
      <c r="I4021" s="3">
        <f t="shared" si="187"/>
        <v>2.0921577497224165E-2</v>
      </c>
    </row>
    <row r="4022" spans="2:9" x14ac:dyDescent="0.25">
      <c r="B4022" s="1">
        <v>41054</v>
      </c>
      <c r="C4022" s="2">
        <v>4920.3999999999996</v>
      </c>
      <c r="D4022" s="2">
        <v>4905.95</v>
      </c>
      <c r="E4022" s="2">
        <v>4935.8</v>
      </c>
      <c r="F4022" s="2">
        <v>4889.3500000000004</v>
      </c>
      <c r="G4022" s="3">
        <f t="shared" si="188"/>
        <v>-2.0319421302883445E-4</v>
      </c>
      <c r="H4022" s="2">
        <f t="shared" si="186"/>
        <v>46.449999999999818</v>
      </c>
      <c r="I4022" s="3">
        <f t="shared" si="187"/>
        <v>9.4680948643993158E-3</v>
      </c>
    </row>
    <row r="4023" spans="2:9" x14ac:dyDescent="0.25">
      <c r="B4023" s="1">
        <v>41057</v>
      </c>
      <c r="C4023" s="2">
        <v>4985.6499999999996</v>
      </c>
      <c r="D4023" s="2">
        <v>4931.7</v>
      </c>
      <c r="E4023" s="2">
        <v>4994.95</v>
      </c>
      <c r="F4023" s="2">
        <v>4931.3</v>
      </c>
      <c r="G4023" s="3">
        <f t="shared" si="188"/>
        <v>1.32611169823591E-2</v>
      </c>
      <c r="H4023" s="2">
        <f t="shared" si="186"/>
        <v>63.649999999999636</v>
      </c>
      <c r="I4023" s="3">
        <f t="shared" si="187"/>
        <v>1.2906300058803178E-2</v>
      </c>
    </row>
    <row r="4024" spans="2:9" x14ac:dyDescent="0.25">
      <c r="B4024" s="1">
        <v>41058</v>
      </c>
      <c r="C4024" s="2">
        <v>4990.1000000000004</v>
      </c>
      <c r="D4024" s="2">
        <v>5005.3500000000004</v>
      </c>
      <c r="E4024" s="2">
        <v>5020.1499999999996</v>
      </c>
      <c r="F4024" s="2">
        <v>4982.1499999999996</v>
      </c>
      <c r="G4024" s="3">
        <f t="shared" si="188"/>
        <v>8.9256165194129267E-4</v>
      </c>
      <c r="H4024" s="2">
        <f t="shared" si="186"/>
        <v>38</v>
      </c>
      <c r="I4024" s="3">
        <f t="shared" si="187"/>
        <v>7.5918766919396237E-3</v>
      </c>
    </row>
    <row r="4025" spans="2:9" x14ac:dyDescent="0.25">
      <c r="B4025" s="1">
        <v>41059</v>
      </c>
      <c r="C4025" s="2">
        <v>4950.75</v>
      </c>
      <c r="D4025" s="2">
        <v>4964.25</v>
      </c>
      <c r="E4025" s="2">
        <v>4982.25</v>
      </c>
      <c r="F4025" s="2">
        <v>4944.8999999999996</v>
      </c>
      <c r="G4025" s="3">
        <f t="shared" si="188"/>
        <v>-7.8856135147592488E-3</v>
      </c>
      <c r="H4025" s="2">
        <f t="shared" si="186"/>
        <v>37.350000000000364</v>
      </c>
      <c r="I4025" s="3">
        <f t="shared" si="187"/>
        <v>7.5237951352168731E-3</v>
      </c>
    </row>
    <row r="4026" spans="2:9" x14ac:dyDescent="0.25">
      <c r="B4026" s="1">
        <v>41060</v>
      </c>
      <c r="C4026" s="2">
        <v>4924.25</v>
      </c>
      <c r="D4026" s="2">
        <v>4896.1000000000004</v>
      </c>
      <c r="E4026" s="2">
        <v>4949.25</v>
      </c>
      <c r="F4026" s="2">
        <v>4883.55</v>
      </c>
      <c r="G4026" s="3">
        <f t="shared" si="188"/>
        <v>-5.3527243346968012E-3</v>
      </c>
      <c r="H4026" s="2">
        <f t="shared" si="186"/>
        <v>65.699999999999818</v>
      </c>
      <c r="I4026" s="3">
        <f t="shared" si="187"/>
        <v>1.3418843569371503E-2</v>
      </c>
    </row>
    <row r="4027" spans="2:9" x14ac:dyDescent="0.25">
      <c r="B4027" s="1">
        <v>41061</v>
      </c>
      <c r="C4027" s="2">
        <v>4841.6000000000004</v>
      </c>
      <c r="D4027" s="2">
        <v>4910.8500000000004</v>
      </c>
      <c r="E4027" s="2">
        <v>4925</v>
      </c>
      <c r="F4027" s="2">
        <v>4831.75</v>
      </c>
      <c r="G4027" s="3">
        <f t="shared" si="188"/>
        <v>-1.6784281870335538E-2</v>
      </c>
      <c r="H4027" s="2">
        <f t="shared" si="186"/>
        <v>93.25</v>
      </c>
      <c r="I4027" s="3">
        <f t="shared" si="187"/>
        <v>1.898856613417229E-2</v>
      </c>
    </row>
    <row r="4028" spans="2:9" x14ac:dyDescent="0.25">
      <c r="B4028" s="1">
        <v>41064</v>
      </c>
      <c r="C4028" s="2">
        <v>4848.1499999999996</v>
      </c>
      <c r="D4028" s="2">
        <v>4797.3</v>
      </c>
      <c r="E4028" s="2">
        <v>4858.3</v>
      </c>
      <c r="F4028" s="2">
        <v>4770.3500000000004</v>
      </c>
      <c r="G4028" s="3">
        <f t="shared" si="188"/>
        <v>1.3528585591537912E-3</v>
      </c>
      <c r="H4028" s="2">
        <f t="shared" si="186"/>
        <v>87.949999999999818</v>
      </c>
      <c r="I4028" s="3">
        <f t="shared" si="187"/>
        <v>1.8333229108039899E-2</v>
      </c>
    </row>
    <row r="4029" spans="2:9" x14ac:dyDescent="0.25">
      <c r="B4029" s="1">
        <v>41065</v>
      </c>
      <c r="C4029" s="2">
        <v>4863.3</v>
      </c>
      <c r="D4029" s="2">
        <v>4869.45</v>
      </c>
      <c r="E4029" s="2">
        <v>4898.95</v>
      </c>
      <c r="F4029" s="2">
        <v>4847.7</v>
      </c>
      <c r="G4029" s="3">
        <f t="shared" si="188"/>
        <v>3.1249033136351301E-3</v>
      </c>
      <c r="H4029" s="2">
        <f t="shared" si="186"/>
        <v>51.25</v>
      </c>
      <c r="I4029" s="3">
        <f t="shared" si="187"/>
        <v>1.0524802595775705E-2</v>
      </c>
    </row>
    <row r="4030" spans="2:9" x14ac:dyDescent="0.25">
      <c r="B4030" s="1">
        <v>41066</v>
      </c>
      <c r="C4030" s="2">
        <v>4997.1000000000004</v>
      </c>
      <c r="D4030" s="2">
        <v>4886.6499999999996</v>
      </c>
      <c r="E4030" s="2">
        <v>5010.45</v>
      </c>
      <c r="F4030" s="2">
        <v>4886.1499999999996</v>
      </c>
      <c r="G4030" s="3">
        <f t="shared" si="188"/>
        <v>2.7512183085559139E-2</v>
      </c>
      <c r="H4030" s="2">
        <f t="shared" si="186"/>
        <v>124.30000000000018</v>
      </c>
      <c r="I4030" s="3">
        <f t="shared" si="187"/>
        <v>2.5436648828952389E-2</v>
      </c>
    </row>
    <row r="4031" spans="2:9" x14ac:dyDescent="0.25">
      <c r="B4031" s="1">
        <v>41067</v>
      </c>
      <c r="C4031" s="2">
        <v>5049.6499999999996</v>
      </c>
      <c r="D4031" s="2">
        <v>5035.3500000000004</v>
      </c>
      <c r="E4031" s="2">
        <v>5059.6499999999996</v>
      </c>
      <c r="F4031" s="2">
        <v>5007.75</v>
      </c>
      <c r="G4031" s="3">
        <f t="shared" si="188"/>
        <v>1.0516099337615659E-2</v>
      </c>
      <c r="H4031" s="2">
        <f t="shared" si="186"/>
        <v>51.899999999999636</v>
      </c>
      <c r="I4031" s="3">
        <f t="shared" si="187"/>
        <v>1.0307128600792324E-2</v>
      </c>
    </row>
    <row r="4032" spans="2:9" x14ac:dyDescent="0.25">
      <c r="B4032" s="1">
        <v>41068</v>
      </c>
      <c r="C4032" s="2">
        <v>5068.3500000000004</v>
      </c>
      <c r="D4032" s="2">
        <v>5044.25</v>
      </c>
      <c r="E4032" s="2">
        <v>5084.45</v>
      </c>
      <c r="F4032" s="2">
        <v>4994.8</v>
      </c>
      <c r="G4032" s="3">
        <f t="shared" si="188"/>
        <v>3.7032269563237463E-3</v>
      </c>
      <c r="H4032" s="2">
        <f t="shared" si="186"/>
        <v>89.649999999999636</v>
      </c>
      <c r="I4032" s="3">
        <f t="shared" si="187"/>
        <v>1.7772711503196637E-2</v>
      </c>
    </row>
    <row r="4033" spans="2:9" x14ac:dyDescent="0.25">
      <c r="B4033" s="1">
        <v>41071</v>
      </c>
      <c r="C4033" s="2">
        <v>5054.1000000000004</v>
      </c>
      <c r="D4033" s="2">
        <v>5096.7</v>
      </c>
      <c r="E4033" s="2">
        <v>5124.45</v>
      </c>
      <c r="F4033" s="2">
        <v>5040.7</v>
      </c>
      <c r="G4033" s="3">
        <f t="shared" si="188"/>
        <v>-2.8115658942259314E-3</v>
      </c>
      <c r="H4033" s="2">
        <f t="shared" si="186"/>
        <v>83.75</v>
      </c>
      <c r="I4033" s="3">
        <f t="shared" si="187"/>
        <v>1.6432201228245728E-2</v>
      </c>
    </row>
    <row r="4034" spans="2:9" x14ac:dyDescent="0.25">
      <c r="B4034" s="1">
        <v>41072</v>
      </c>
      <c r="C4034" s="2">
        <v>5115.8999999999996</v>
      </c>
      <c r="D4034" s="2">
        <v>5015.5</v>
      </c>
      <c r="E4034" s="2">
        <v>5128.8999999999996</v>
      </c>
      <c r="F4034" s="2">
        <v>5015.1499999999996</v>
      </c>
      <c r="G4034" s="3">
        <f t="shared" si="188"/>
        <v>1.2227696325755266E-2</v>
      </c>
      <c r="H4034" s="2">
        <f t="shared" si="186"/>
        <v>113.75</v>
      </c>
      <c r="I4034" s="3">
        <f t="shared" si="187"/>
        <v>2.2679692951849267E-2</v>
      </c>
    </row>
    <row r="4035" spans="2:9" x14ac:dyDescent="0.25">
      <c r="B4035" s="1">
        <v>41073</v>
      </c>
      <c r="C4035" s="2">
        <v>5121.45</v>
      </c>
      <c r="D4035" s="2">
        <v>5117.55</v>
      </c>
      <c r="E4035" s="2">
        <v>5144.8999999999996</v>
      </c>
      <c r="F4035" s="2">
        <v>5095.45</v>
      </c>
      <c r="G4035" s="3">
        <f t="shared" si="188"/>
        <v>1.0848531050255961E-3</v>
      </c>
      <c r="H4035" s="2">
        <f t="shared" si="186"/>
        <v>49.449999999999818</v>
      </c>
      <c r="I4035" s="3">
        <f t="shared" si="187"/>
        <v>9.662826938671789E-3</v>
      </c>
    </row>
    <row r="4036" spans="2:9" x14ac:dyDescent="0.25">
      <c r="B4036" s="1">
        <v>41074</v>
      </c>
      <c r="C4036" s="2">
        <v>5054.75</v>
      </c>
      <c r="D4036" s="2">
        <v>5105.1000000000004</v>
      </c>
      <c r="E4036" s="2">
        <v>5130</v>
      </c>
      <c r="F4036" s="2">
        <v>5047.6000000000004</v>
      </c>
      <c r="G4036" s="3">
        <f t="shared" si="188"/>
        <v>-1.3023655410088875E-2</v>
      </c>
      <c r="H4036" s="2">
        <f t="shared" si="186"/>
        <v>82.399999999999636</v>
      </c>
      <c r="I4036" s="3">
        <f t="shared" si="187"/>
        <v>1.6140722023074892E-2</v>
      </c>
    </row>
    <row r="4037" spans="2:9" x14ac:dyDescent="0.25">
      <c r="B4037" s="1">
        <v>41075</v>
      </c>
      <c r="C4037" s="2">
        <v>5139.05</v>
      </c>
      <c r="D4037" s="2">
        <v>5069.55</v>
      </c>
      <c r="E4037" s="2">
        <v>5146.2</v>
      </c>
      <c r="F4037" s="2">
        <v>5069.1499999999996</v>
      </c>
      <c r="G4037" s="3">
        <f t="shared" si="188"/>
        <v>1.6677382659874507E-2</v>
      </c>
      <c r="H4037" s="2">
        <f t="shared" ref="H4037:H4100" si="189">E4037-F4037</f>
        <v>77.050000000000182</v>
      </c>
      <c r="I4037" s="3">
        <f t="shared" si="187"/>
        <v>1.5198587645846313E-2</v>
      </c>
    </row>
    <row r="4038" spans="2:9" x14ac:dyDescent="0.25">
      <c r="B4038" s="1">
        <v>41078</v>
      </c>
      <c r="C4038" s="2">
        <v>5064.25</v>
      </c>
      <c r="D4038" s="2">
        <v>5174</v>
      </c>
      <c r="E4038" s="2">
        <v>5190.2</v>
      </c>
      <c r="F4038" s="2">
        <v>5041.7</v>
      </c>
      <c r="G4038" s="3">
        <f t="shared" si="188"/>
        <v>-1.4555219349879911E-2</v>
      </c>
      <c r="H4038" s="2">
        <f t="shared" si="189"/>
        <v>148.5</v>
      </c>
      <c r="I4038" s="3">
        <f t="shared" ref="I4038:I4101" si="190">H4038/D4038</f>
        <v>2.8701198299188248E-2</v>
      </c>
    </row>
    <row r="4039" spans="2:9" x14ac:dyDescent="0.25">
      <c r="B4039" s="1">
        <v>41079</v>
      </c>
      <c r="C4039" s="2">
        <v>5103.8500000000004</v>
      </c>
      <c r="D4039" s="2">
        <v>5050.8</v>
      </c>
      <c r="E4039" s="2">
        <v>5113.6000000000004</v>
      </c>
      <c r="F4039" s="2">
        <v>5048.1000000000004</v>
      </c>
      <c r="G4039" s="3">
        <f t="shared" ref="G4039:G4102" si="191">C4039/C4038-1</f>
        <v>7.8195191785557228E-3</v>
      </c>
      <c r="H4039" s="2">
        <f t="shared" si="189"/>
        <v>65.5</v>
      </c>
      <c r="I4039" s="3">
        <f t="shared" si="190"/>
        <v>1.2968242654628969E-2</v>
      </c>
    </row>
    <row r="4040" spans="2:9" x14ac:dyDescent="0.25">
      <c r="B4040" s="1">
        <v>41080</v>
      </c>
      <c r="C4040" s="2">
        <v>5120.55</v>
      </c>
      <c r="D4040" s="2">
        <v>5114.55</v>
      </c>
      <c r="E4040" s="2">
        <v>5141.7</v>
      </c>
      <c r="F4040" s="2">
        <v>5100.7</v>
      </c>
      <c r="G4040" s="3">
        <f t="shared" si="191"/>
        <v>3.2720397347101304E-3</v>
      </c>
      <c r="H4040" s="2">
        <f t="shared" si="189"/>
        <v>41</v>
      </c>
      <c r="I4040" s="3">
        <f t="shared" si="190"/>
        <v>8.0163455240441477E-3</v>
      </c>
    </row>
    <row r="4041" spans="2:9" x14ac:dyDescent="0.25">
      <c r="B4041" s="1">
        <v>41081</v>
      </c>
      <c r="C4041" s="2">
        <v>5165</v>
      </c>
      <c r="D4041" s="2">
        <v>5097.3500000000004</v>
      </c>
      <c r="E4041" s="2">
        <v>5170.3999999999996</v>
      </c>
      <c r="F4041" s="2">
        <v>5093.45</v>
      </c>
      <c r="G4041" s="3">
        <f t="shared" si="191"/>
        <v>8.6807081270565689E-3</v>
      </c>
      <c r="H4041" s="2">
        <f t="shared" si="189"/>
        <v>76.949999999999818</v>
      </c>
      <c r="I4041" s="3">
        <f t="shared" si="190"/>
        <v>1.5096079335340875E-2</v>
      </c>
    </row>
    <row r="4042" spans="2:9" x14ac:dyDescent="0.25">
      <c r="B4042" s="1">
        <v>41082</v>
      </c>
      <c r="C4042" s="2">
        <v>5146.05</v>
      </c>
      <c r="D4042" s="2">
        <v>5101.75</v>
      </c>
      <c r="E4042" s="2">
        <v>5159.8</v>
      </c>
      <c r="F4042" s="2">
        <v>5094</v>
      </c>
      <c r="G4042" s="3">
        <f t="shared" si="191"/>
        <v>-3.6689254598256671E-3</v>
      </c>
      <c r="H4042" s="2">
        <f t="shared" si="189"/>
        <v>65.800000000000182</v>
      </c>
      <c r="I4042" s="3">
        <f t="shared" si="190"/>
        <v>1.2897535159504127E-2</v>
      </c>
    </row>
    <row r="4043" spans="2:9" x14ac:dyDescent="0.25">
      <c r="B4043" s="1">
        <v>41085</v>
      </c>
      <c r="C4043" s="2">
        <v>5114.6499999999996</v>
      </c>
      <c r="D4043" s="2">
        <v>5158.5</v>
      </c>
      <c r="E4043" s="2">
        <v>5194.6000000000004</v>
      </c>
      <c r="F4043" s="2">
        <v>5105.6499999999996</v>
      </c>
      <c r="G4043" s="3">
        <f t="shared" si="191"/>
        <v>-6.1017673749770296E-3</v>
      </c>
      <c r="H4043" s="2">
        <f t="shared" si="189"/>
        <v>88.950000000000728</v>
      </c>
      <c r="I4043" s="3">
        <f t="shared" si="190"/>
        <v>1.7243384704856205E-2</v>
      </c>
    </row>
    <row r="4044" spans="2:9" x14ac:dyDescent="0.25">
      <c r="B4044" s="1">
        <v>41086</v>
      </c>
      <c r="C4044" s="2">
        <v>5120.8</v>
      </c>
      <c r="D4044" s="2">
        <v>5107.45</v>
      </c>
      <c r="E4044" s="2">
        <v>5134.55</v>
      </c>
      <c r="F4044" s="2">
        <v>5095.5</v>
      </c>
      <c r="G4044" s="3">
        <f t="shared" si="191"/>
        <v>1.2024283186533591E-3</v>
      </c>
      <c r="H4044" s="2">
        <f t="shared" si="189"/>
        <v>39.050000000000182</v>
      </c>
      <c r="I4044" s="3">
        <f t="shared" si="190"/>
        <v>7.6456940351839336E-3</v>
      </c>
    </row>
    <row r="4045" spans="2:9" x14ac:dyDescent="0.25">
      <c r="B4045" s="1">
        <v>41087</v>
      </c>
      <c r="C4045" s="2">
        <v>5141.8999999999996</v>
      </c>
      <c r="D4045" s="2">
        <v>5149.45</v>
      </c>
      <c r="E4045" s="2">
        <v>5160.1000000000004</v>
      </c>
      <c r="F4045" s="2">
        <v>5129.25</v>
      </c>
      <c r="G4045" s="3">
        <f t="shared" si="191"/>
        <v>4.1204499296982888E-3</v>
      </c>
      <c r="H4045" s="2">
        <f t="shared" si="189"/>
        <v>30.850000000000364</v>
      </c>
      <c r="I4045" s="3">
        <f t="shared" si="190"/>
        <v>5.9909310703085503E-3</v>
      </c>
    </row>
    <row r="4046" spans="2:9" x14ac:dyDescent="0.25">
      <c r="B4046" s="1">
        <v>41088</v>
      </c>
      <c r="C4046" s="2">
        <v>5149.1499999999996</v>
      </c>
      <c r="D4046" s="2">
        <v>5148.95</v>
      </c>
      <c r="E4046" s="2">
        <v>5159.05</v>
      </c>
      <c r="F4046" s="2">
        <v>5125.3</v>
      </c>
      <c r="G4046" s="3">
        <f t="shared" si="191"/>
        <v>1.4099846360295931E-3</v>
      </c>
      <c r="H4046" s="2">
        <f t="shared" si="189"/>
        <v>33.75</v>
      </c>
      <c r="I4046" s="3">
        <f t="shared" si="190"/>
        <v>6.5547344604239702E-3</v>
      </c>
    </row>
    <row r="4047" spans="2:9" x14ac:dyDescent="0.25">
      <c r="B4047" s="1">
        <v>41089</v>
      </c>
      <c r="C4047" s="2">
        <v>5278.9</v>
      </c>
      <c r="D4047" s="2">
        <v>5191.25</v>
      </c>
      <c r="E4047" s="2">
        <v>5286.25</v>
      </c>
      <c r="F4047" s="2">
        <v>5189</v>
      </c>
      <c r="G4047" s="3">
        <f t="shared" si="191"/>
        <v>2.5198333705563014E-2</v>
      </c>
      <c r="H4047" s="2">
        <f t="shared" si="189"/>
        <v>97.25</v>
      </c>
      <c r="I4047" s="3">
        <f t="shared" si="190"/>
        <v>1.8733445701902239E-2</v>
      </c>
    </row>
    <row r="4048" spans="2:9" x14ac:dyDescent="0.25">
      <c r="B4048" s="1">
        <v>41092</v>
      </c>
      <c r="C4048" s="2">
        <v>5278.6</v>
      </c>
      <c r="D4048" s="2">
        <v>5283.85</v>
      </c>
      <c r="E4048" s="2">
        <v>5302.15</v>
      </c>
      <c r="F4048" s="2">
        <v>5263.35</v>
      </c>
      <c r="G4048" s="3">
        <f t="shared" si="191"/>
        <v>-5.6830021405884779E-5</v>
      </c>
      <c r="H4048" s="2">
        <f t="shared" si="189"/>
        <v>38.799999999999272</v>
      </c>
      <c r="I4048" s="3">
        <f t="shared" si="190"/>
        <v>7.3431304825078815E-3</v>
      </c>
    </row>
    <row r="4049" spans="2:9" x14ac:dyDescent="0.25">
      <c r="B4049" s="1">
        <v>41093</v>
      </c>
      <c r="C4049" s="2">
        <v>5287.95</v>
      </c>
      <c r="D4049" s="2">
        <v>5298.85</v>
      </c>
      <c r="E4049" s="2">
        <v>5317</v>
      </c>
      <c r="F4049" s="2">
        <v>5265.95</v>
      </c>
      <c r="G4049" s="3">
        <f t="shared" si="191"/>
        <v>1.7713029970067851E-3</v>
      </c>
      <c r="H4049" s="2">
        <f t="shared" si="189"/>
        <v>51.050000000000182</v>
      </c>
      <c r="I4049" s="3">
        <f t="shared" si="190"/>
        <v>9.6341659039225827E-3</v>
      </c>
    </row>
    <row r="4050" spans="2:9" x14ac:dyDescent="0.25">
      <c r="B4050" s="1">
        <v>41094</v>
      </c>
      <c r="C4050" s="2">
        <v>5302.55</v>
      </c>
      <c r="D4050" s="2">
        <v>5310.4</v>
      </c>
      <c r="E4050" s="2">
        <v>5317.65</v>
      </c>
      <c r="F4050" s="2">
        <v>5273.3</v>
      </c>
      <c r="G4050" s="3">
        <f t="shared" si="191"/>
        <v>2.7609943361794897E-3</v>
      </c>
      <c r="H4050" s="2">
        <f t="shared" si="189"/>
        <v>44.349999999999454</v>
      </c>
      <c r="I4050" s="3">
        <f t="shared" si="190"/>
        <v>8.3515366074117681E-3</v>
      </c>
    </row>
    <row r="4051" spans="2:9" x14ac:dyDescent="0.25">
      <c r="B4051" s="1">
        <v>41095</v>
      </c>
      <c r="C4051" s="2">
        <v>5327.3</v>
      </c>
      <c r="D4051" s="2">
        <v>5297.05</v>
      </c>
      <c r="E4051" s="2">
        <v>5333.65</v>
      </c>
      <c r="F4051" s="2">
        <v>5288.85</v>
      </c>
      <c r="G4051" s="3">
        <f t="shared" si="191"/>
        <v>4.6675656052277414E-3</v>
      </c>
      <c r="H4051" s="2">
        <f t="shared" si="189"/>
        <v>44.799999999999272</v>
      </c>
      <c r="I4051" s="3">
        <f t="shared" si="190"/>
        <v>8.4575376860704116E-3</v>
      </c>
    </row>
    <row r="4052" spans="2:9" x14ac:dyDescent="0.25">
      <c r="B4052" s="1">
        <v>41096</v>
      </c>
      <c r="C4052" s="2">
        <v>5316.95</v>
      </c>
      <c r="D4052" s="2">
        <v>5324.7</v>
      </c>
      <c r="E4052" s="2">
        <v>5327.2</v>
      </c>
      <c r="F4052" s="2">
        <v>5287.75</v>
      </c>
      <c r="G4052" s="3">
        <f t="shared" si="191"/>
        <v>-1.9428228183132612E-3</v>
      </c>
      <c r="H4052" s="2">
        <f t="shared" si="189"/>
        <v>39.449999999999818</v>
      </c>
      <c r="I4052" s="3">
        <f t="shared" si="190"/>
        <v>7.4088681052453323E-3</v>
      </c>
    </row>
    <row r="4053" spans="2:9" x14ac:dyDescent="0.25">
      <c r="B4053" s="1">
        <v>41099</v>
      </c>
      <c r="C4053" s="2">
        <v>5275.15</v>
      </c>
      <c r="D4053" s="2">
        <v>5283.7</v>
      </c>
      <c r="E4053" s="2">
        <v>5300.6</v>
      </c>
      <c r="F4053" s="2">
        <v>5257.75</v>
      </c>
      <c r="G4053" s="3">
        <f t="shared" si="191"/>
        <v>-7.8616500061126082E-3</v>
      </c>
      <c r="H4053" s="2">
        <f t="shared" si="189"/>
        <v>42.850000000000364</v>
      </c>
      <c r="I4053" s="3">
        <f t="shared" si="190"/>
        <v>8.1098472661204016E-3</v>
      </c>
    </row>
    <row r="4054" spans="2:9" x14ac:dyDescent="0.25">
      <c r="B4054" s="1">
        <v>41100</v>
      </c>
      <c r="C4054" s="2">
        <v>5345.35</v>
      </c>
      <c r="D4054" s="2">
        <v>5286.6</v>
      </c>
      <c r="E4054" s="2">
        <v>5348.55</v>
      </c>
      <c r="F4054" s="2">
        <v>5284.55</v>
      </c>
      <c r="G4054" s="3">
        <f t="shared" si="191"/>
        <v>1.3307678454641314E-2</v>
      </c>
      <c r="H4054" s="2">
        <f t="shared" si="189"/>
        <v>64</v>
      </c>
      <c r="I4054" s="3">
        <f t="shared" si="190"/>
        <v>1.2106079521809858E-2</v>
      </c>
    </row>
    <row r="4055" spans="2:9" x14ac:dyDescent="0.25">
      <c r="B4055" s="1">
        <v>41101</v>
      </c>
      <c r="C4055" s="2">
        <v>5306.3</v>
      </c>
      <c r="D4055" s="2">
        <v>5315.25</v>
      </c>
      <c r="E4055" s="2">
        <v>5336.45</v>
      </c>
      <c r="F4055" s="2">
        <v>5300.25</v>
      </c>
      <c r="G4055" s="3">
        <f t="shared" si="191"/>
        <v>-7.3054149868577722E-3</v>
      </c>
      <c r="H4055" s="2">
        <f t="shared" si="189"/>
        <v>36.199999999999818</v>
      </c>
      <c r="I4055" s="3">
        <f t="shared" si="190"/>
        <v>6.810592164056219E-3</v>
      </c>
    </row>
    <row r="4056" spans="2:9" x14ac:dyDescent="0.25">
      <c r="B4056" s="1">
        <v>41102</v>
      </c>
      <c r="C4056" s="2">
        <v>5235.25</v>
      </c>
      <c r="D4056" s="2">
        <v>5240</v>
      </c>
      <c r="E4056" s="2">
        <v>5261.75</v>
      </c>
      <c r="F4056" s="2">
        <v>5217.7</v>
      </c>
      <c r="G4056" s="3">
        <f t="shared" si="191"/>
        <v>-1.3389744266249615E-2</v>
      </c>
      <c r="H4056" s="2">
        <f t="shared" si="189"/>
        <v>44.050000000000182</v>
      </c>
      <c r="I4056" s="3">
        <f t="shared" si="190"/>
        <v>8.4064885496183562E-3</v>
      </c>
    </row>
    <row r="4057" spans="2:9" x14ac:dyDescent="0.25">
      <c r="B4057" s="1">
        <v>41103</v>
      </c>
      <c r="C4057" s="2">
        <v>5227.25</v>
      </c>
      <c r="D4057" s="2">
        <v>5242.75</v>
      </c>
      <c r="E4057" s="2">
        <v>5267.15</v>
      </c>
      <c r="F4057" s="2">
        <v>5216.8500000000004</v>
      </c>
      <c r="G4057" s="3">
        <f t="shared" si="191"/>
        <v>-1.528102764910888E-3</v>
      </c>
      <c r="H4057" s="2">
        <f t="shared" si="189"/>
        <v>50.299999999999272</v>
      </c>
      <c r="I4057" s="3">
        <f t="shared" si="190"/>
        <v>9.5942015163796232E-3</v>
      </c>
    </row>
    <row r="4058" spans="2:9" x14ac:dyDescent="0.25">
      <c r="B4058" s="1">
        <v>41106</v>
      </c>
      <c r="C4058" s="2">
        <v>5197.25</v>
      </c>
      <c r="D4058" s="2">
        <v>5232.3500000000004</v>
      </c>
      <c r="E4058" s="2">
        <v>5246.85</v>
      </c>
      <c r="F4058" s="2">
        <v>5190.45</v>
      </c>
      <c r="G4058" s="3">
        <f t="shared" si="191"/>
        <v>-5.7391553876321444E-3</v>
      </c>
      <c r="H4058" s="2">
        <f t="shared" si="189"/>
        <v>56.400000000000546</v>
      </c>
      <c r="I4058" s="3">
        <f t="shared" si="190"/>
        <v>1.0779095435129634E-2</v>
      </c>
    </row>
    <row r="4059" spans="2:9" x14ac:dyDescent="0.25">
      <c r="B4059" s="1">
        <v>41107</v>
      </c>
      <c r="C4059" s="2">
        <v>5192.8500000000004</v>
      </c>
      <c r="D4059" s="2">
        <v>5228.05</v>
      </c>
      <c r="E4059" s="2">
        <v>5236.7</v>
      </c>
      <c r="F4059" s="2">
        <v>5181.7</v>
      </c>
      <c r="G4059" s="3">
        <f t="shared" si="191"/>
        <v>-8.4660156813687326E-4</v>
      </c>
      <c r="H4059" s="2">
        <f t="shared" si="189"/>
        <v>55</v>
      </c>
      <c r="I4059" s="3">
        <f t="shared" si="190"/>
        <v>1.052017482617802E-2</v>
      </c>
    </row>
    <row r="4060" spans="2:9" x14ac:dyDescent="0.25">
      <c r="B4060" s="1">
        <v>41108</v>
      </c>
      <c r="C4060" s="2">
        <v>5216.3</v>
      </c>
      <c r="D4060" s="2">
        <v>5199.1000000000004</v>
      </c>
      <c r="E4060" s="2">
        <v>5222.8500000000004</v>
      </c>
      <c r="F4060" s="2">
        <v>5169.05</v>
      </c>
      <c r="G4060" s="3">
        <f t="shared" si="191"/>
        <v>4.5158246435001992E-3</v>
      </c>
      <c r="H4060" s="2">
        <f t="shared" si="189"/>
        <v>53.800000000000182</v>
      </c>
      <c r="I4060" s="3">
        <f t="shared" si="190"/>
        <v>1.0347944836606371E-2</v>
      </c>
    </row>
    <row r="4061" spans="2:9" x14ac:dyDescent="0.25">
      <c r="B4061" s="1">
        <v>41109</v>
      </c>
      <c r="C4061" s="2">
        <v>5242.7</v>
      </c>
      <c r="D4061" s="2">
        <v>5249.85</v>
      </c>
      <c r="E4061" s="2">
        <v>5257.75</v>
      </c>
      <c r="F4061" s="2">
        <v>5233.1499999999996</v>
      </c>
      <c r="G4061" s="3">
        <f t="shared" si="191"/>
        <v>5.0610586047581396E-3</v>
      </c>
      <c r="H4061" s="2">
        <f t="shared" si="189"/>
        <v>24.600000000000364</v>
      </c>
      <c r="I4061" s="3">
        <f t="shared" si="190"/>
        <v>4.6858481670905569E-3</v>
      </c>
    </row>
    <row r="4062" spans="2:9" x14ac:dyDescent="0.25">
      <c r="B4062" s="1">
        <v>41110</v>
      </c>
      <c r="C4062" s="2">
        <v>5205.1000000000004</v>
      </c>
      <c r="D4062" s="2">
        <v>5233.55</v>
      </c>
      <c r="E4062" s="2">
        <v>5238.7</v>
      </c>
      <c r="F4062" s="2">
        <v>5197.5</v>
      </c>
      <c r="G4062" s="3">
        <f t="shared" si="191"/>
        <v>-7.1718770862341241E-3</v>
      </c>
      <c r="H4062" s="2">
        <f t="shared" si="189"/>
        <v>41.199999999999818</v>
      </c>
      <c r="I4062" s="3">
        <f t="shared" si="190"/>
        <v>7.8722855423182768E-3</v>
      </c>
    </row>
    <row r="4063" spans="2:9" x14ac:dyDescent="0.25">
      <c r="B4063" s="1">
        <v>41113</v>
      </c>
      <c r="C4063" s="2">
        <v>5117.95</v>
      </c>
      <c r="D4063" s="2">
        <v>5163.25</v>
      </c>
      <c r="E4063" s="2">
        <v>5164.2</v>
      </c>
      <c r="F4063" s="2">
        <v>5108.1000000000004</v>
      </c>
      <c r="G4063" s="3">
        <f t="shared" si="191"/>
        <v>-1.6743194174943854E-2</v>
      </c>
      <c r="H4063" s="2">
        <f t="shared" si="189"/>
        <v>56.099999999999454</v>
      </c>
      <c r="I4063" s="3">
        <f t="shared" si="190"/>
        <v>1.0865249600542188E-2</v>
      </c>
    </row>
    <row r="4064" spans="2:9" x14ac:dyDescent="0.25">
      <c r="B4064" s="1">
        <v>41114</v>
      </c>
      <c r="C4064" s="2">
        <v>5128.2</v>
      </c>
      <c r="D4064" s="2">
        <v>5128.8</v>
      </c>
      <c r="E4064" s="2">
        <v>5144</v>
      </c>
      <c r="F4064" s="2">
        <v>5103.25</v>
      </c>
      <c r="G4064" s="3">
        <f t="shared" si="191"/>
        <v>2.0027550093300039E-3</v>
      </c>
      <c r="H4064" s="2">
        <f t="shared" si="189"/>
        <v>40.75</v>
      </c>
      <c r="I4064" s="3">
        <f t="shared" si="190"/>
        <v>7.9453283419123385E-3</v>
      </c>
    </row>
    <row r="4065" spans="2:9" x14ac:dyDescent="0.25">
      <c r="B4065" s="1">
        <v>41115</v>
      </c>
      <c r="C4065" s="2">
        <v>5109.6000000000004</v>
      </c>
      <c r="D4065" s="2">
        <v>5118.3999999999996</v>
      </c>
      <c r="E4065" s="2">
        <v>5121.6000000000004</v>
      </c>
      <c r="F4065" s="2">
        <v>5076.6000000000004</v>
      </c>
      <c r="G4065" s="3">
        <f t="shared" si="191"/>
        <v>-3.6270036270035222E-3</v>
      </c>
      <c r="H4065" s="2">
        <f t="shared" si="189"/>
        <v>45</v>
      </c>
      <c r="I4065" s="3">
        <f t="shared" si="190"/>
        <v>8.7918099406064393E-3</v>
      </c>
    </row>
    <row r="4066" spans="2:9" x14ac:dyDescent="0.25">
      <c r="B4066" s="1">
        <v>41116</v>
      </c>
      <c r="C4066" s="2">
        <v>5043</v>
      </c>
      <c r="D4066" s="2">
        <v>5126.3</v>
      </c>
      <c r="E4066" s="2">
        <v>5126.3</v>
      </c>
      <c r="F4066" s="2">
        <v>5032.3999999999996</v>
      </c>
      <c r="G4066" s="3">
        <f t="shared" si="191"/>
        <v>-1.3034288398309113E-2</v>
      </c>
      <c r="H4066" s="2">
        <f t="shared" si="189"/>
        <v>93.900000000000546</v>
      </c>
      <c r="I4066" s="3">
        <f t="shared" si="190"/>
        <v>1.8317304878762566E-2</v>
      </c>
    </row>
    <row r="4067" spans="2:9" x14ac:dyDescent="0.25">
      <c r="B4067" s="1">
        <v>41117</v>
      </c>
      <c r="C4067" s="2">
        <v>5099.8500000000004</v>
      </c>
      <c r="D4067" s="2">
        <v>5124.3</v>
      </c>
      <c r="E4067" s="2">
        <v>5149.95</v>
      </c>
      <c r="F4067" s="2">
        <v>5077.5</v>
      </c>
      <c r="G4067" s="3">
        <f t="shared" si="191"/>
        <v>1.1273051754907781E-2</v>
      </c>
      <c r="H4067" s="2">
        <f t="shared" si="189"/>
        <v>72.449999999999818</v>
      </c>
      <c r="I4067" s="3">
        <f t="shared" si="190"/>
        <v>1.4138516480299712E-2</v>
      </c>
    </row>
    <row r="4068" spans="2:9" x14ac:dyDescent="0.25">
      <c r="B4068" s="1">
        <v>41120</v>
      </c>
      <c r="C4068" s="2">
        <v>5199.8</v>
      </c>
      <c r="D4068" s="2">
        <v>5129.75</v>
      </c>
      <c r="E4068" s="2">
        <v>5206.6000000000004</v>
      </c>
      <c r="F4068" s="2">
        <v>5129.75</v>
      </c>
      <c r="G4068" s="3">
        <f t="shared" si="191"/>
        <v>1.9598615645558093E-2</v>
      </c>
      <c r="H4068" s="2">
        <f t="shared" si="189"/>
        <v>76.850000000000364</v>
      </c>
      <c r="I4068" s="3">
        <f t="shared" si="190"/>
        <v>1.4981236902383227E-2</v>
      </c>
    </row>
    <row r="4069" spans="2:9" x14ac:dyDescent="0.25">
      <c r="B4069" s="1">
        <v>41121</v>
      </c>
      <c r="C4069" s="2">
        <v>5229</v>
      </c>
      <c r="D4069" s="2">
        <v>5214.8500000000004</v>
      </c>
      <c r="E4069" s="2">
        <v>5234.55</v>
      </c>
      <c r="F4069" s="2">
        <v>5154.05</v>
      </c>
      <c r="G4069" s="3">
        <f t="shared" si="191"/>
        <v>5.6156006000229741E-3</v>
      </c>
      <c r="H4069" s="2">
        <f t="shared" si="189"/>
        <v>80.5</v>
      </c>
      <c r="I4069" s="3">
        <f t="shared" si="190"/>
        <v>1.5436685618953564E-2</v>
      </c>
    </row>
    <row r="4070" spans="2:9" x14ac:dyDescent="0.25">
      <c r="B4070" s="1">
        <v>41122</v>
      </c>
      <c r="C4070" s="2">
        <v>5240.5</v>
      </c>
      <c r="D4070" s="2">
        <v>5220.7</v>
      </c>
      <c r="E4070" s="2">
        <v>5246.35</v>
      </c>
      <c r="F4070" s="2">
        <v>5212.6499999999996</v>
      </c>
      <c r="G4070" s="3">
        <f t="shared" si="191"/>
        <v>2.1992732836106921E-3</v>
      </c>
      <c r="H4070" s="2">
        <f t="shared" si="189"/>
        <v>33.700000000000728</v>
      </c>
      <c r="I4070" s="3">
        <f t="shared" si="190"/>
        <v>6.4550730744920657E-3</v>
      </c>
    </row>
    <row r="4071" spans="2:9" x14ac:dyDescent="0.25">
      <c r="B4071" s="1">
        <v>41123</v>
      </c>
      <c r="C4071" s="2">
        <v>5227.75</v>
      </c>
      <c r="D4071" s="2">
        <v>5233.1000000000004</v>
      </c>
      <c r="E4071" s="2">
        <v>5236.8999999999996</v>
      </c>
      <c r="F4071" s="2">
        <v>5209.95</v>
      </c>
      <c r="G4071" s="3">
        <f t="shared" si="191"/>
        <v>-2.4329739528671235E-3</v>
      </c>
      <c r="H4071" s="2">
        <f t="shared" si="189"/>
        <v>26.949999999999818</v>
      </c>
      <c r="I4071" s="3">
        <f t="shared" si="190"/>
        <v>5.1499111425349822E-3</v>
      </c>
    </row>
    <row r="4072" spans="2:9" x14ac:dyDescent="0.25">
      <c r="B4072" s="1">
        <v>41124</v>
      </c>
      <c r="C4072" s="2">
        <v>5215.7</v>
      </c>
      <c r="D4072" s="2">
        <v>5195.6000000000004</v>
      </c>
      <c r="E4072" s="2">
        <v>5220.2</v>
      </c>
      <c r="F4072" s="2">
        <v>5164.6499999999996</v>
      </c>
      <c r="G4072" s="3">
        <f t="shared" si="191"/>
        <v>-2.3050069341494783E-3</v>
      </c>
      <c r="H4072" s="2">
        <f t="shared" si="189"/>
        <v>55.550000000000182</v>
      </c>
      <c r="I4072" s="3">
        <f t="shared" si="190"/>
        <v>1.0691739163907957E-2</v>
      </c>
    </row>
    <row r="4073" spans="2:9" x14ac:dyDescent="0.25">
      <c r="B4073" s="1">
        <v>41127</v>
      </c>
      <c r="C4073" s="2">
        <v>5282.55</v>
      </c>
      <c r="D4073" s="2">
        <v>5260.85</v>
      </c>
      <c r="E4073" s="2">
        <v>5293.2</v>
      </c>
      <c r="F4073" s="2">
        <v>5260.85</v>
      </c>
      <c r="G4073" s="3">
        <f t="shared" si="191"/>
        <v>1.281707153402234E-2</v>
      </c>
      <c r="H4073" s="2">
        <f t="shared" si="189"/>
        <v>32.349999999999454</v>
      </c>
      <c r="I4073" s="3">
        <f t="shared" si="190"/>
        <v>6.14919642263122E-3</v>
      </c>
    </row>
    <row r="4074" spans="2:9" x14ac:dyDescent="0.25">
      <c r="B4074" s="1">
        <v>41128</v>
      </c>
      <c r="C4074" s="2">
        <v>5336.7</v>
      </c>
      <c r="D4074" s="2">
        <v>5295.4</v>
      </c>
      <c r="E4074" s="2">
        <v>5350.1</v>
      </c>
      <c r="F4074" s="2">
        <v>5281.65</v>
      </c>
      <c r="G4074" s="3">
        <f t="shared" si="191"/>
        <v>1.0250731180963646E-2</v>
      </c>
      <c r="H4074" s="2">
        <f t="shared" si="189"/>
        <v>68.450000000000728</v>
      </c>
      <c r="I4074" s="3">
        <f t="shared" si="190"/>
        <v>1.2926313404086703E-2</v>
      </c>
    </row>
    <row r="4075" spans="2:9" x14ac:dyDescent="0.25">
      <c r="B4075" s="1">
        <v>41129</v>
      </c>
      <c r="C4075" s="2">
        <v>5338</v>
      </c>
      <c r="D4075" s="2">
        <v>5345.25</v>
      </c>
      <c r="E4075" s="2">
        <v>5377.6</v>
      </c>
      <c r="F4075" s="2">
        <v>5331.05</v>
      </c>
      <c r="G4075" s="3">
        <f t="shared" si="191"/>
        <v>2.4359622987990548E-4</v>
      </c>
      <c r="H4075" s="2">
        <f t="shared" si="189"/>
        <v>46.550000000000182</v>
      </c>
      <c r="I4075" s="3">
        <f t="shared" si="190"/>
        <v>8.7086665731257069E-3</v>
      </c>
    </row>
    <row r="4076" spans="2:9" x14ac:dyDescent="0.25">
      <c r="B4076" s="1">
        <v>41130</v>
      </c>
      <c r="C4076" s="2">
        <v>5322.95</v>
      </c>
      <c r="D4076" s="2">
        <v>5348.3</v>
      </c>
      <c r="E4076" s="2">
        <v>5368.2</v>
      </c>
      <c r="F4076" s="2">
        <v>5312.1</v>
      </c>
      <c r="G4076" s="3">
        <f t="shared" si="191"/>
        <v>-2.819408017984304E-3</v>
      </c>
      <c r="H4076" s="2">
        <f t="shared" si="189"/>
        <v>56.099999999999454</v>
      </c>
      <c r="I4076" s="3">
        <f t="shared" si="190"/>
        <v>1.0489314361572733E-2</v>
      </c>
    </row>
    <row r="4077" spans="2:9" x14ac:dyDescent="0.25">
      <c r="B4077" s="1">
        <v>41131</v>
      </c>
      <c r="C4077" s="2">
        <v>5320.4</v>
      </c>
      <c r="D4077" s="2">
        <v>5308.2</v>
      </c>
      <c r="E4077" s="2">
        <v>5330.1</v>
      </c>
      <c r="F4077" s="2">
        <v>5294.1</v>
      </c>
      <c r="G4077" s="3">
        <f t="shared" si="191"/>
        <v>-4.7905766539235728E-4</v>
      </c>
      <c r="H4077" s="2">
        <f t="shared" si="189"/>
        <v>36</v>
      </c>
      <c r="I4077" s="3">
        <f t="shared" si="190"/>
        <v>6.7819599864360801E-3</v>
      </c>
    </row>
    <row r="4078" spans="2:9" x14ac:dyDescent="0.25">
      <c r="B4078" s="1">
        <v>41134</v>
      </c>
      <c r="C4078" s="2">
        <v>5347.9</v>
      </c>
      <c r="D4078" s="2">
        <v>5316.35</v>
      </c>
      <c r="E4078" s="2">
        <v>5352.45</v>
      </c>
      <c r="F4078" s="2">
        <v>5309.05</v>
      </c>
      <c r="G4078" s="3">
        <f t="shared" si="191"/>
        <v>5.1687843019321278E-3</v>
      </c>
      <c r="H4078" s="2">
        <f t="shared" si="189"/>
        <v>43.399999999999636</v>
      </c>
      <c r="I4078" s="3">
        <f t="shared" si="190"/>
        <v>8.1634956314011742E-3</v>
      </c>
    </row>
    <row r="4079" spans="2:9" x14ac:dyDescent="0.25">
      <c r="B4079" s="1">
        <v>41135</v>
      </c>
      <c r="C4079" s="2">
        <v>5380.35</v>
      </c>
      <c r="D4079" s="2">
        <v>5343.25</v>
      </c>
      <c r="E4079" s="2">
        <v>5387.05</v>
      </c>
      <c r="F4079" s="2">
        <v>5328.8</v>
      </c>
      <c r="G4079" s="3">
        <f t="shared" si="191"/>
        <v>6.0678023149274285E-3</v>
      </c>
      <c r="H4079" s="2">
        <f t="shared" si="189"/>
        <v>58.25</v>
      </c>
      <c r="I4079" s="3">
        <f t="shared" si="190"/>
        <v>1.0901604828521967E-2</v>
      </c>
    </row>
    <row r="4080" spans="2:9" x14ac:dyDescent="0.25">
      <c r="B4080" s="1">
        <v>41137</v>
      </c>
      <c r="C4080" s="2">
        <v>5362.95</v>
      </c>
      <c r="D4080" s="2">
        <v>5385.95</v>
      </c>
      <c r="E4080" s="2">
        <v>5390.65</v>
      </c>
      <c r="F4080" s="2">
        <v>5356.65</v>
      </c>
      <c r="G4080" s="3">
        <f t="shared" si="191"/>
        <v>-3.2339903537874637E-3</v>
      </c>
      <c r="H4080" s="2">
        <f t="shared" si="189"/>
        <v>34</v>
      </c>
      <c r="I4080" s="3">
        <f t="shared" si="190"/>
        <v>6.3127210612798114E-3</v>
      </c>
    </row>
    <row r="4081" spans="2:9" x14ac:dyDescent="0.25">
      <c r="B4081" s="1">
        <v>41138</v>
      </c>
      <c r="C4081" s="2">
        <v>5366.3</v>
      </c>
      <c r="D4081" s="2">
        <v>5368.6</v>
      </c>
      <c r="E4081" s="2">
        <v>5399.95</v>
      </c>
      <c r="F4081" s="2">
        <v>5341.7</v>
      </c>
      <c r="G4081" s="3">
        <f t="shared" si="191"/>
        <v>6.2465620600615779E-4</v>
      </c>
      <c r="H4081" s="2">
        <f t="shared" si="189"/>
        <v>58.25</v>
      </c>
      <c r="I4081" s="3">
        <f t="shared" si="190"/>
        <v>1.0850128525127593E-2</v>
      </c>
    </row>
    <row r="4082" spans="2:9" x14ac:dyDescent="0.25">
      <c r="B4082" s="1">
        <v>41142</v>
      </c>
      <c r="C4082" s="2">
        <v>5421</v>
      </c>
      <c r="D4082" s="2">
        <v>5368.7</v>
      </c>
      <c r="E4082" s="2">
        <v>5425.15</v>
      </c>
      <c r="F4082" s="2">
        <v>5368.7</v>
      </c>
      <c r="G4082" s="3">
        <f t="shared" si="191"/>
        <v>1.0193243016603626E-2</v>
      </c>
      <c r="H4082" s="2">
        <f t="shared" si="189"/>
        <v>56.449999999999818</v>
      </c>
      <c r="I4082" s="3">
        <f t="shared" si="190"/>
        <v>1.0514649728984637E-2</v>
      </c>
    </row>
    <row r="4083" spans="2:9" x14ac:dyDescent="0.25">
      <c r="B4083" s="1">
        <v>41143</v>
      </c>
      <c r="C4083" s="2">
        <v>5412.85</v>
      </c>
      <c r="D4083" s="2">
        <v>5395.75</v>
      </c>
      <c r="E4083" s="2">
        <v>5433.35</v>
      </c>
      <c r="F4083" s="2">
        <v>5394.8</v>
      </c>
      <c r="G4083" s="3">
        <f t="shared" si="191"/>
        <v>-1.5034126544917203E-3</v>
      </c>
      <c r="H4083" s="2">
        <f t="shared" si="189"/>
        <v>38.550000000000182</v>
      </c>
      <c r="I4083" s="3">
        <f t="shared" si="190"/>
        <v>7.1445118843534603E-3</v>
      </c>
    </row>
    <row r="4084" spans="2:9" x14ac:dyDescent="0.25">
      <c r="B4084" s="1">
        <v>41144</v>
      </c>
      <c r="C4084" s="2">
        <v>5415.35</v>
      </c>
      <c r="D4084" s="2">
        <v>5426.15</v>
      </c>
      <c r="E4084" s="2">
        <v>5448.6</v>
      </c>
      <c r="F4084" s="2">
        <v>5393.85</v>
      </c>
      <c r="G4084" s="3">
        <f t="shared" si="191"/>
        <v>4.6186389794655724E-4</v>
      </c>
      <c r="H4084" s="2">
        <f t="shared" si="189"/>
        <v>54.75</v>
      </c>
      <c r="I4084" s="3">
        <f t="shared" si="190"/>
        <v>1.009002699888503E-2</v>
      </c>
    </row>
    <row r="4085" spans="2:9" x14ac:dyDescent="0.25">
      <c r="B4085" s="1">
        <v>41145</v>
      </c>
      <c r="C4085" s="2">
        <v>5386.7</v>
      </c>
      <c r="D4085" s="2">
        <v>5392.6</v>
      </c>
      <c r="E4085" s="2">
        <v>5399.65</v>
      </c>
      <c r="F4085" s="2">
        <v>5371</v>
      </c>
      <c r="G4085" s="3">
        <f t="shared" si="191"/>
        <v>-5.2905167717692825E-3</v>
      </c>
      <c r="H4085" s="2">
        <f t="shared" si="189"/>
        <v>28.649999999999636</v>
      </c>
      <c r="I4085" s="3">
        <f t="shared" si="190"/>
        <v>5.3128361087415414E-3</v>
      </c>
    </row>
    <row r="4086" spans="2:9" x14ac:dyDescent="0.25">
      <c r="B4086" s="1">
        <v>41148</v>
      </c>
      <c r="C4086" s="2">
        <v>5350.25</v>
      </c>
      <c r="D4086" s="2">
        <v>5387.85</v>
      </c>
      <c r="E4086" s="2">
        <v>5399.15</v>
      </c>
      <c r="F4086" s="2">
        <v>5346.65</v>
      </c>
      <c r="G4086" s="3">
        <f t="shared" si="191"/>
        <v>-6.7666660478585827E-3</v>
      </c>
      <c r="H4086" s="2">
        <f t="shared" si="189"/>
        <v>52.5</v>
      </c>
      <c r="I4086" s="3">
        <f t="shared" si="190"/>
        <v>9.7441465519641415E-3</v>
      </c>
    </row>
    <row r="4087" spans="2:9" x14ac:dyDescent="0.25">
      <c r="B4087" s="1">
        <v>41149</v>
      </c>
      <c r="C4087" s="2">
        <v>5334.6</v>
      </c>
      <c r="D4087" s="2">
        <v>5348.05</v>
      </c>
      <c r="E4087" s="2">
        <v>5359.25</v>
      </c>
      <c r="F4087" s="2">
        <v>5312.6</v>
      </c>
      <c r="G4087" s="3">
        <f t="shared" si="191"/>
        <v>-2.9250969580859598E-3</v>
      </c>
      <c r="H4087" s="2">
        <f t="shared" si="189"/>
        <v>46.649999999999636</v>
      </c>
      <c r="I4087" s="3">
        <f t="shared" si="190"/>
        <v>8.7228055085497771E-3</v>
      </c>
    </row>
    <row r="4088" spans="2:9" x14ac:dyDescent="0.25">
      <c r="B4088" s="1">
        <v>41150</v>
      </c>
      <c r="C4088" s="2">
        <v>5287.8</v>
      </c>
      <c r="D4088" s="2">
        <v>5343.85</v>
      </c>
      <c r="E4088" s="2">
        <v>5345.5</v>
      </c>
      <c r="F4088" s="2">
        <v>5282.7</v>
      </c>
      <c r="G4088" s="3">
        <f t="shared" si="191"/>
        <v>-8.7729164323473441E-3</v>
      </c>
      <c r="H4088" s="2">
        <f t="shared" si="189"/>
        <v>62.800000000000182</v>
      </c>
      <c r="I4088" s="3">
        <f t="shared" si="190"/>
        <v>1.1751826866397854E-2</v>
      </c>
    </row>
    <row r="4089" spans="2:9" x14ac:dyDescent="0.25">
      <c r="B4089" s="1">
        <v>41151</v>
      </c>
      <c r="C4089" s="2">
        <v>5315.05</v>
      </c>
      <c r="D4089" s="2">
        <v>5268.6</v>
      </c>
      <c r="E4089" s="2">
        <v>5342.8</v>
      </c>
      <c r="F4089" s="2">
        <v>5255.05</v>
      </c>
      <c r="G4089" s="3">
        <f t="shared" si="191"/>
        <v>5.1533719127048183E-3</v>
      </c>
      <c r="H4089" s="2">
        <f t="shared" si="189"/>
        <v>87.75</v>
      </c>
      <c r="I4089" s="3">
        <f t="shared" si="190"/>
        <v>1.6655278442090877E-2</v>
      </c>
    </row>
    <row r="4090" spans="2:9" x14ac:dyDescent="0.25">
      <c r="B4090" s="1">
        <v>41152</v>
      </c>
      <c r="C4090" s="2">
        <v>5258.5</v>
      </c>
      <c r="D4090" s="2">
        <v>5298.2</v>
      </c>
      <c r="E4090" s="2">
        <v>5303.25</v>
      </c>
      <c r="F4090" s="2">
        <v>5238.8999999999996</v>
      </c>
      <c r="G4090" s="3">
        <f t="shared" si="191"/>
        <v>-1.0639598874893075E-2</v>
      </c>
      <c r="H4090" s="2">
        <f t="shared" si="189"/>
        <v>64.350000000000364</v>
      </c>
      <c r="I4090" s="3">
        <f t="shared" si="190"/>
        <v>1.2145634366388654E-2</v>
      </c>
    </row>
    <row r="4091" spans="2:9" x14ac:dyDescent="0.25">
      <c r="B4091" s="1">
        <v>41155</v>
      </c>
      <c r="C4091" s="2">
        <v>5253.75</v>
      </c>
      <c r="D4091" s="2">
        <v>5276.5</v>
      </c>
      <c r="E4091" s="2">
        <v>5295.8</v>
      </c>
      <c r="F4091" s="2">
        <v>5243.15</v>
      </c>
      <c r="G4091" s="3">
        <f t="shared" si="191"/>
        <v>-9.0329941998668062E-4</v>
      </c>
      <c r="H4091" s="2">
        <f t="shared" si="189"/>
        <v>52.650000000000546</v>
      </c>
      <c r="I4091" s="3">
        <f t="shared" si="190"/>
        <v>9.9782052496921337E-3</v>
      </c>
    </row>
    <row r="4092" spans="2:9" x14ac:dyDescent="0.25">
      <c r="B4092" s="1">
        <v>41156</v>
      </c>
      <c r="C4092" s="2">
        <v>5274</v>
      </c>
      <c r="D4092" s="2">
        <v>5249.15</v>
      </c>
      <c r="E4092" s="2">
        <v>5278.35</v>
      </c>
      <c r="F4092" s="2">
        <v>5233.2</v>
      </c>
      <c r="G4092" s="3">
        <f t="shared" si="191"/>
        <v>3.8543897216274381E-3</v>
      </c>
      <c r="H4092" s="2">
        <f t="shared" si="189"/>
        <v>45.150000000000546</v>
      </c>
      <c r="I4092" s="3">
        <f t="shared" si="190"/>
        <v>8.6013926064220959E-3</v>
      </c>
    </row>
    <row r="4093" spans="2:9" x14ac:dyDescent="0.25">
      <c r="B4093" s="1">
        <v>41157</v>
      </c>
      <c r="C4093" s="2">
        <v>5225.7</v>
      </c>
      <c r="D4093" s="2">
        <v>5243.9</v>
      </c>
      <c r="E4093" s="2">
        <v>5259.5</v>
      </c>
      <c r="F4093" s="2">
        <v>5215.7</v>
      </c>
      <c r="G4093" s="3">
        <f t="shared" si="191"/>
        <v>-9.1581342434584601E-3</v>
      </c>
      <c r="H4093" s="2">
        <f t="shared" si="189"/>
        <v>43.800000000000182</v>
      </c>
      <c r="I4093" s="3">
        <f t="shared" si="190"/>
        <v>8.3525620244474883E-3</v>
      </c>
    </row>
    <row r="4094" spans="2:9" x14ac:dyDescent="0.25">
      <c r="B4094" s="1">
        <v>41158</v>
      </c>
      <c r="C4094" s="2">
        <v>5238.3999999999996</v>
      </c>
      <c r="D4094" s="2">
        <v>5217.6499999999996</v>
      </c>
      <c r="E4094" s="2">
        <v>5260.6</v>
      </c>
      <c r="F4094" s="2">
        <v>5217.6499999999996</v>
      </c>
      <c r="G4094" s="3">
        <f t="shared" si="191"/>
        <v>2.4302964196183385E-3</v>
      </c>
      <c r="H4094" s="2">
        <f t="shared" si="189"/>
        <v>42.950000000000728</v>
      </c>
      <c r="I4094" s="3">
        <f t="shared" si="190"/>
        <v>8.2316751794391588E-3</v>
      </c>
    </row>
    <row r="4095" spans="2:9" x14ac:dyDescent="0.25">
      <c r="B4095" s="1">
        <v>41159</v>
      </c>
      <c r="C4095" s="2">
        <v>5342.1</v>
      </c>
      <c r="D4095" s="2">
        <v>5309.45</v>
      </c>
      <c r="E4095" s="2">
        <v>5347.15</v>
      </c>
      <c r="F4095" s="2">
        <v>5309.2</v>
      </c>
      <c r="G4095" s="3">
        <f t="shared" si="191"/>
        <v>1.9796120952962903E-2</v>
      </c>
      <c r="H4095" s="2">
        <f t="shared" si="189"/>
        <v>37.949999999999818</v>
      </c>
      <c r="I4095" s="3">
        <f t="shared" si="190"/>
        <v>7.1476329940012278E-3</v>
      </c>
    </row>
    <row r="4096" spans="2:9" x14ac:dyDescent="0.25">
      <c r="B4096" s="1">
        <v>41160</v>
      </c>
      <c r="C4096" s="2">
        <v>5358.7</v>
      </c>
      <c r="D4096" s="2">
        <v>5343.65</v>
      </c>
      <c r="E4096" s="2">
        <v>5366.3</v>
      </c>
      <c r="F4096" s="2">
        <v>5343.45</v>
      </c>
      <c r="G4096" s="3">
        <f t="shared" si="191"/>
        <v>3.1073922240316687E-3</v>
      </c>
      <c r="H4096" s="2">
        <f t="shared" si="189"/>
        <v>22.850000000000364</v>
      </c>
      <c r="I4096" s="3">
        <f t="shared" si="190"/>
        <v>4.2761034124615882E-3</v>
      </c>
    </row>
    <row r="4097" spans="2:9" x14ac:dyDescent="0.25">
      <c r="B4097" s="1">
        <v>41162</v>
      </c>
      <c r="C4097" s="2">
        <v>5363.45</v>
      </c>
      <c r="D4097" s="2">
        <v>5361.9</v>
      </c>
      <c r="E4097" s="2">
        <v>5375.45</v>
      </c>
      <c r="F4097" s="2">
        <v>5349.1</v>
      </c>
      <c r="G4097" s="3">
        <f t="shared" si="191"/>
        <v>8.8640901711234399E-4</v>
      </c>
      <c r="H4097" s="2">
        <f t="shared" si="189"/>
        <v>26.349999999999454</v>
      </c>
      <c r="I4097" s="3">
        <f t="shared" si="190"/>
        <v>4.914302765810525E-3</v>
      </c>
    </row>
    <row r="4098" spans="2:9" x14ac:dyDescent="0.25">
      <c r="B4098" s="1">
        <v>41163</v>
      </c>
      <c r="C4098" s="2">
        <v>5390</v>
      </c>
      <c r="D4098" s="2">
        <v>5336.1</v>
      </c>
      <c r="E4098" s="2">
        <v>5393.35</v>
      </c>
      <c r="F4098" s="2">
        <v>5332.1</v>
      </c>
      <c r="G4098" s="3">
        <f t="shared" si="191"/>
        <v>4.9501719975015845E-3</v>
      </c>
      <c r="H4098" s="2">
        <f t="shared" si="189"/>
        <v>61.25</v>
      </c>
      <c r="I4098" s="3">
        <f t="shared" si="190"/>
        <v>1.1478420569329659E-2</v>
      </c>
    </row>
    <row r="4099" spans="2:9" x14ac:dyDescent="0.25">
      <c r="B4099" s="1">
        <v>41164</v>
      </c>
      <c r="C4099" s="2">
        <v>5431</v>
      </c>
      <c r="D4099" s="2">
        <v>5404.45</v>
      </c>
      <c r="E4099" s="2">
        <v>5435.55</v>
      </c>
      <c r="F4099" s="2">
        <v>5393.95</v>
      </c>
      <c r="G4099" s="3">
        <f t="shared" si="191"/>
        <v>7.6066790352504743E-3</v>
      </c>
      <c r="H4099" s="2">
        <f t="shared" si="189"/>
        <v>41.600000000000364</v>
      </c>
      <c r="I4099" s="3">
        <f t="shared" si="190"/>
        <v>7.6973605084699392E-3</v>
      </c>
    </row>
    <row r="4100" spans="2:9" x14ac:dyDescent="0.25">
      <c r="B4100" s="1">
        <v>41165</v>
      </c>
      <c r="C4100" s="2">
        <v>5435.35</v>
      </c>
      <c r="D4100" s="2">
        <v>5435.2</v>
      </c>
      <c r="E4100" s="2">
        <v>5447.45</v>
      </c>
      <c r="F4100" s="2">
        <v>5421.85</v>
      </c>
      <c r="G4100" s="3">
        <f t="shared" si="191"/>
        <v>8.0095746639674559E-4</v>
      </c>
      <c r="H4100" s="2">
        <f t="shared" si="189"/>
        <v>25.599999999999454</v>
      </c>
      <c r="I4100" s="3">
        <f t="shared" si="190"/>
        <v>4.7100382690608358E-3</v>
      </c>
    </row>
    <row r="4101" spans="2:9" x14ac:dyDescent="0.25">
      <c r="B4101" s="1">
        <v>41166</v>
      </c>
      <c r="C4101" s="2">
        <v>5577.65</v>
      </c>
      <c r="D4101" s="2">
        <v>5528.35</v>
      </c>
      <c r="E4101" s="2">
        <v>5586.65</v>
      </c>
      <c r="F4101" s="2">
        <v>5526.95</v>
      </c>
      <c r="G4101" s="3">
        <f t="shared" si="191"/>
        <v>2.6180466759270216E-2</v>
      </c>
      <c r="H4101" s="2">
        <f t="shared" ref="H4101:H4164" si="192">E4101-F4101</f>
        <v>59.699999999999818</v>
      </c>
      <c r="I4101" s="3">
        <f t="shared" si="190"/>
        <v>1.0798882125769861E-2</v>
      </c>
    </row>
    <row r="4102" spans="2:9" x14ac:dyDescent="0.25">
      <c r="B4102" s="1">
        <v>41169</v>
      </c>
      <c r="C4102" s="2">
        <v>5610</v>
      </c>
      <c r="D4102" s="2">
        <v>5631.75</v>
      </c>
      <c r="E4102" s="2">
        <v>5652.2</v>
      </c>
      <c r="F4102" s="2">
        <v>5585.15</v>
      </c>
      <c r="G4102" s="3">
        <f t="shared" si="191"/>
        <v>5.7999336638190346E-3</v>
      </c>
      <c r="H4102" s="2">
        <f t="shared" si="192"/>
        <v>67.050000000000182</v>
      </c>
      <c r="I4102" s="3">
        <f t="shared" ref="I4102:I4165" si="193">H4102/D4102</f>
        <v>1.190571314422696E-2</v>
      </c>
    </row>
    <row r="4103" spans="2:9" x14ac:dyDescent="0.25">
      <c r="B4103" s="1">
        <v>41170</v>
      </c>
      <c r="C4103" s="2">
        <v>5600.05</v>
      </c>
      <c r="D4103" s="2">
        <v>5602.4</v>
      </c>
      <c r="E4103" s="2">
        <v>5620.55</v>
      </c>
      <c r="F4103" s="2">
        <v>5586.45</v>
      </c>
      <c r="G4103" s="3">
        <f t="shared" ref="G4103:G4166" si="194">C4103/C4102-1</f>
        <v>-1.7736185383243619E-3</v>
      </c>
      <c r="H4103" s="2">
        <f t="shared" si="192"/>
        <v>34.100000000000364</v>
      </c>
      <c r="I4103" s="3">
        <f t="shared" si="193"/>
        <v>6.0866771383693355E-3</v>
      </c>
    </row>
    <row r="4104" spans="2:9" x14ac:dyDescent="0.25">
      <c r="B4104" s="1">
        <v>41172</v>
      </c>
      <c r="C4104" s="2">
        <v>5554.25</v>
      </c>
      <c r="D4104" s="2">
        <v>5536.95</v>
      </c>
      <c r="E4104" s="2">
        <v>5581.35</v>
      </c>
      <c r="F4104" s="2">
        <v>5534.9</v>
      </c>
      <c r="G4104" s="3">
        <f t="shared" si="194"/>
        <v>-8.1784984062642785E-3</v>
      </c>
      <c r="H4104" s="2">
        <f t="shared" si="192"/>
        <v>46.450000000000728</v>
      </c>
      <c r="I4104" s="3">
        <f t="shared" si="193"/>
        <v>8.389095079421113E-3</v>
      </c>
    </row>
    <row r="4105" spans="2:9" x14ac:dyDescent="0.25">
      <c r="B4105" s="1">
        <v>41173</v>
      </c>
      <c r="C4105" s="2">
        <v>5691.15</v>
      </c>
      <c r="D4105" s="2">
        <v>5577</v>
      </c>
      <c r="E4105" s="2">
        <v>5720</v>
      </c>
      <c r="F4105" s="2">
        <v>5575.45</v>
      </c>
      <c r="G4105" s="3">
        <f t="shared" si="194"/>
        <v>2.4647792231174304E-2</v>
      </c>
      <c r="H4105" s="2">
        <f t="shared" si="192"/>
        <v>144.55000000000018</v>
      </c>
      <c r="I4105" s="3">
        <f t="shared" si="193"/>
        <v>2.5918952842029799E-2</v>
      </c>
    </row>
    <row r="4106" spans="2:9" x14ac:dyDescent="0.25">
      <c r="B4106" s="1">
        <v>41176</v>
      </c>
      <c r="C4106" s="2">
        <v>5669.6</v>
      </c>
      <c r="D4106" s="2">
        <v>5691.95</v>
      </c>
      <c r="E4106" s="2">
        <v>5709.85</v>
      </c>
      <c r="F4106" s="2">
        <v>5662.75</v>
      </c>
      <c r="G4106" s="3">
        <f t="shared" si="194"/>
        <v>-3.7865809194976841E-3</v>
      </c>
      <c r="H4106" s="2">
        <f t="shared" si="192"/>
        <v>47.100000000000364</v>
      </c>
      <c r="I4106" s="3">
        <f t="shared" si="193"/>
        <v>8.2748442976484978E-3</v>
      </c>
    </row>
    <row r="4107" spans="2:9" x14ac:dyDescent="0.25">
      <c r="B4107" s="1">
        <v>41177</v>
      </c>
      <c r="C4107" s="2">
        <v>5673.9</v>
      </c>
      <c r="D4107" s="2">
        <v>5674.9</v>
      </c>
      <c r="E4107" s="2">
        <v>5702.7</v>
      </c>
      <c r="F4107" s="2">
        <v>5652.45</v>
      </c>
      <c r="G4107" s="3">
        <f t="shared" si="194"/>
        <v>7.5843092987137872E-4</v>
      </c>
      <c r="H4107" s="2">
        <f t="shared" si="192"/>
        <v>50.25</v>
      </c>
      <c r="I4107" s="3">
        <f t="shared" si="193"/>
        <v>8.8547815820543101E-3</v>
      </c>
    </row>
    <row r="4108" spans="2:9" x14ac:dyDescent="0.25">
      <c r="B4108" s="1">
        <v>41178</v>
      </c>
      <c r="C4108" s="2">
        <v>5663.45</v>
      </c>
      <c r="D4108" s="2">
        <v>5653.4</v>
      </c>
      <c r="E4108" s="2">
        <v>5672.8</v>
      </c>
      <c r="F4108" s="2">
        <v>5638.65</v>
      </c>
      <c r="G4108" s="3">
        <f t="shared" si="194"/>
        <v>-1.8417666860536253E-3</v>
      </c>
      <c r="H4108" s="2">
        <f t="shared" si="192"/>
        <v>34.150000000000546</v>
      </c>
      <c r="I4108" s="3">
        <f t="shared" si="193"/>
        <v>6.0406127286235798E-3</v>
      </c>
    </row>
    <row r="4109" spans="2:9" x14ac:dyDescent="0.25">
      <c r="B4109" s="1">
        <v>41179</v>
      </c>
      <c r="C4109" s="2">
        <v>5649.5</v>
      </c>
      <c r="D4109" s="2">
        <v>5673.75</v>
      </c>
      <c r="E4109" s="2">
        <v>5693.7</v>
      </c>
      <c r="F4109" s="2">
        <v>5639.7</v>
      </c>
      <c r="G4109" s="3">
        <f t="shared" si="194"/>
        <v>-2.4631629130653643E-3</v>
      </c>
      <c r="H4109" s="2">
        <f t="shared" si="192"/>
        <v>54</v>
      </c>
      <c r="I4109" s="3">
        <f t="shared" si="193"/>
        <v>9.5175148711169853E-3</v>
      </c>
    </row>
    <row r="4110" spans="2:9" x14ac:dyDescent="0.25">
      <c r="B4110" s="1">
        <v>41180</v>
      </c>
      <c r="C4110" s="2">
        <v>5703.3</v>
      </c>
      <c r="D4110" s="2">
        <v>5684.8</v>
      </c>
      <c r="E4110" s="2">
        <v>5735.15</v>
      </c>
      <c r="F4110" s="2">
        <v>5683.45</v>
      </c>
      <c r="G4110" s="3">
        <f t="shared" si="194"/>
        <v>9.5229666342153685E-3</v>
      </c>
      <c r="H4110" s="2">
        <f t="shared" si="192"/>
        <v>51.699999999999818</v>
      </c>
      <c r="I4110" s="3">
        <f t="shared" si="193"/>
        <v>9.0944272445820113E-3</v>
      </c>
    </row>
    <row r="4111" spans="2:9" x14ac:dyDescent="0.25">
      <c r="B4111" s="1">
        <v>41183</v>
      </c>
      <c r="C4111" s="2">
        <v>5718.8</v>
      </c>
      <c r="D4111" s="2">
        <v>5704.75</v>
      </c>
      <c r="E4111" s="2">
        <v>5722.95</v>
      </c>
      <c r="F4111" s="2">
        <v>5694</v>
      </c>
      <c r="G4111" s="3">
        <f t="shared" si="194"/>
        <v>2.7177248259779851E-3</v>
      </c>
      <c r="H4111" s="2">
        <f t="shared" si="192"/>
        <v>28.949999999999818</v>
      </c>
      <c r="I4111" s="3">
        <f t="shared" si="193"/>
        <v>5.074718436390695E-3</v>
      </c>
    </row>
    <row r="4112" spans="2:9" x14ac:dyDescent="0.25">
      <c r="B4112" s="1">
        <v>41185</v>
      </c>
      <c r="C4112" s="2">
        <v>5731.25</v>
      </c>
      <c r="D4112" s="2">
        <v>5727.7</v>
      </c>
      <c r="E4112" s="2">
        <v>5743.25</v>
      </c>
      <c r="F4112" s="2">
        <v>5715.8</v>
      </c>
      <c r="G4112" s="3">
        <f t="shared" si="194"/>
        <v>2.1770301461845332E-3</v>
      </c>
      <c r="H4112" s="2">
        <f t="shared" si="192"/>
        <v>27.449999999999818</v>
      </c>
      <c r="I4112" s="3">
        <f t="shared" si="193"/>
        <v>4.7924996071721316E-3</v>
      </c>
    </row>
    <row r="4113" spans="2:9" x14ac:dyDescent="0.25">
      <c r="B4113" s="1">
        <v>41186</v>
      </c>
      <c r="C4113" s="2">
        <v>5787.6</v>
      </c>
      <c r="D4113" s="2">
        <v>5751.55</v>
      </c>
      <c r="E4113" s="2">
        <v>5807.25</v>
      </c>
      <c r="F4113" s="2">
        <v>5751.35</v>
      </c>
      <c r="G4113" s="3">
        <f t="shared" si="194"/>
        <v>9.8320610687023802E-3</v>
      </c>
      <c r="H4113" s="2">
        <f t="shared" si="192"/>
        <v>55.899999999999636</v>
      </c>
      <c r="I4113" s="3">
        <f t="shared" si="193"/>
        <v>9.7191191939563475E-3</v>
      </c>
    </row>
    <row r="4114" spans="2:9" x14ac:dyDescent="0.25">
      <c r="B4114" s="1">
        <v>41187</v>
      </c>
      <c r="C4114" s="2">
        <v>5746.95</v>
      </c>
      <c r="D4114" s="2">
        <v>5815</v>
      </c>
      <c r="E4114" s="2">
        <v>5815.35</v>
      </c>
      <c r="F4114" s="2">
        <v>4888.2</v>
      </c>
      <c r="G4114" s="3">
        <f t="shared" si="194"/>
        <v>-7.0236367406180111E-3</v>
      </c>
      <c r="H4114" s="2">
        <f t="shared" si="192"/>
        <v>927.15000000000055</v>
      </c>
      <c r="I4114" s="3">
        <f t="shared" si="193"/>
        <v>0.15944110060189176</v>
      </c>
    </row>
    <row r="4115" spans="2:9" x14ac:dyDescent="0.25">
      <c r="B4115" s="1">
        <v>41190</v>
      </c>
      <c r="C4115" s="2">
        <v>5676</v>
      </c>
      <c r="D4115" s="2">
        <v>5751.85</v>
      </c>
      <c r="E4115" s="2">
        <v>5751.85</v>
      </c>
      <c r="F4115" s="2">
        <v>5666.2</v>
      </c>
      <c r="G4115" s="3">
        <f t="shared" si="194"/>
        <v>-1.2345679012345623E-2</v>
      </c>
      <c r="H4115" s="2">
        <f t="shared" si="192"/>
        <v>85.650000000000546</v>
      </c>
      <c r="I4115" s="3">
        <f t="shared" si="193"/>
        <v>1.4890861201178844E-2</v>
      </c>
    </row>
    <row r="4116" spans="2:9" x14ac:dyDescent="0.25">
      <c r="B4116" s="1">
        <v>41191</v>
      </c>
      <c r="C4116" s="2">
        <v>5704.6</v>
      </c>
      <c r="D4116" s="2">
        <v>5708.15</v>
      </c>
      <c r="E4116" s="2">
        <v>5728.65</v>
      </c>
      <c r="F4116" s="2">
        <v>5677.9</v>
      </c>
      <c r="G4116" s="3">
        <f t="shared" si="194"/>
        <v>5.0387596899226228E-3</v>
      </c>
      <c r="H4116" s="2">
        <f t="shared" si="192"/>
        <v>50.75</v>
      </c>
      <c r="I4116" s="3">
        <f t="shared" si="193"/>
        <v>8.8907964927340735E-3</v>
      </c>
    </row>
    <row r="4117" spans="2:9" x14ac:dyDescent="0.25">
      <c r="B4117" s="1">
        <v>41192</v>
      </c>
      <c r="C4117" s="2">
        <v>5652.15</v>
      </c>
      <c r="D4117" s="2">
        <v>5671.15</v>
      </c>
      <c r="E4117" s="2">
        <v>5686.5</v>
      </c>
      <c r="F4117" s="2">
        <v>5647.05</v>
      </c>
      <c r="G4117" s="3">
        <f t="shared" si="194"/>
        <v>-9.194334396802728E-3</v>
      </c>
      <c r="H4117" s="2">
        <f t="shared" si="192"/>
        <v>39.449999999999818</v>
      </c>
      <c r="I4117" s="3">
        <f t="shared" si="193"/>
        <v>6.9562610757958826E-3</v>
      </c>
    </row>
    <row r="4118" spans="2:9" x14ac:dyDescent="0.25">
      <c r="B4118" s="1">
        <v>41193</v>
      </c>
      <c r="C4118" s="2">
        <v>5708.05</v>
      </c>
      <c r="D4118" s="2">
        <v>5663.5</v>
      </c>
      <c r="E4118" s="2">
        <v>5721.1</v>
      </c>
      <c r="F4118" s="2">
        <v>5636.95</v>
      </c>
      <c r="G4118" s="3">
        <f t="shared" si="194"/>
        <v>9.8900418424847647E-3</v>
      </c>
      <c r="H4118" s="2">
        <f t="shared" si="192"/>
        <v>84.150000000000546</v>
      </c>
      <c r="I4118" s="3">
        <f t="shared" si="193"/>
        <v>1.48583031694183E-2</v>
      </c>
    </row>
    <row r="4119" spans="2:9" x14ac:dyDescent="0.25">
      <c r="B4119" s="1">
        <v>41194</v>
      </c>
      <c r="C4119" s="2">
        <v>5676.05</v>
      </c>
      <c r="D4119" s="2">
        <v>5681.7</v>
      </c>
      <c r="E4119" s="2">
        <v>5725</v>
      </c>
      <c r="F4119" s="2">
        <v>5659.35</v>
      </c>
      <c r="G4119" s="3">
        <f t="shared" si="194"/>
        <v>-5.606117675913791E-3</v>
      </c>
      <c r="H4119" s="2">
        <f t="shared" si="192"/>
        <v>65.649999999999636</v>
      </c>
      <c r="I4119" s="3">
        <f t="shared" si="193"/>
        <v>1.1554640336518936E-2</v>
      </c>
    </row>
    <row r="4120" spans="2:9" x14ac:dyDescent="0.25">
      <c r="B4120" s="1">
        <v>41197</v>
      </c>
      <c r="C4120" s="2">
        <v>5687.25</v>
      </c>
      <c r="D4120" s="2">
        <v>5674.25</v>
      </c>
      <c r="E4120" s="2">
        <v>5693.7</v>
      </c>
      <c r="F4120" s="2">
        <v>5651.05</v>
      </c>
      <c r="G4120" s="3">
        <f t="shared" si="194"/>
        <v>1.9732031958843432E-3</v>
      </c>
      <c r="H4120" s="2">
        <f t="shared" si="192"/>
        <v>42.649999999999636</v>
      </c>
      <c r="I4120" s="3">
        <f t="shared" si="193"/>
        <v>7.516411860598253E-3</v>
      </c>
    </row>
    <row r="4121" spans="2:9" x14ac:dyDescent="0.25">
      <c r="B4121" s="1">
        <v>41198</v>
      </c>
      <c r="C4121" s="2">
        <v>5648</v>
      </c>
      <c r="D4121" s="2">
        <v>5705.6</v>
      </c>
      <c r="E4121" s="2">
        <v>5714</v>
      </c>
      <c r="F4121" s="2">
        <v>5635.6</v>
      </c>
      <c r="G4121" s="3">
        <f t="shared" si="194"/>
        <v>-6.9014022594400259E-3</v>
      </c>
      <c r="H4121" s="2">
        <f t="shared" si="192"/>
        <v>78.399999999999636</v>
      </c>
      <c r="I4121" s="3">
        <f t="shared" si="193"/>
        <v>1.374088614694329E-2</v>
      </c>
    </row>
    <row r="4122" spans="2:9" x14ac:dyDescent="0.25">
      <c r="B4122" s="1">
        <v>41199</v>
      </c>
      <c r="C4122" s="2">
        <v>5660.25</v>
      </c>
      <c r="D4122" s="2">
        <v>5681.1</v>
      </c>
      <c r="E4122" s="2">
        <v>5684.35</v>
      </c>
      <c r="F4122" s="2">
        <v>5633.9</v>
      </c>
      <c r="G4122" s="3">
        <f t="shared" si="194"/>
        <v>2.1689093484418276E-3</v>
      </c>
      <c r="H4122" s="2">
        <f t="shared" si="192"/>
        <v>50.450000000000728</v>
      </c>
      <c r="I4122" s="3">
        <f t="shared" si="193"/>
        <v>8.8803224727606843E-3</v>
      </c>
    </row>
    <row r="4123" spans="2:9" x14ac:dyDescent="0.25">
      <c r="B4123" s="1">
        <v>41200</v>
      </c>
      <c r="C4123" s="2">
        <v>5718.7</v>
      </c>
      <c r="D4123" s="2">
        <v>5675.3</v>
      </c>
      <c r="E4123" s="2">
        <v>5722.5</v>
      </c>
      <c r="F4123" s="2">
        <v>5650.55</v>
      </c>
      <c r="G4123" s="3">
        <f t="shared" si="194"/>
        <v>1.032639901064436E-2</v>
      </c>
      <c r="H4123" s="2">
        <f t="shared" si="192"/>
        <v>71.949999999999818</v>
      </c>
      <c r="I4123" s="3">
        <f t="shared" si="193"/>
        <v>1.2677743907811009E-2</v>
      </c>
    </row>
    <row r="4124" spans="2:9" x14ac:dyDescent="0.25">
      <c r="B4124" s="1">
        <v>41201</v>
      </c>
      <c r="C4124" s="2">
        <v>5684.25</v>
      </c>
      <c r="D4124" s="2">
        <v>5703.3</v>
      </c>
      <c r="E4124" s="2">
        <v>5711.7</v>
      </c>
      <c r="F4124" s="2">
        <v>5660</v>
      </c>
      <c r="G4124" s="3">
        <f t="shared" si="194"/>
        <v>-6.0240963855421326E-3</v>
      </c>
      <c r="H4124" s="2">
        <f t="shared" si="192"/>
        <v>51.699999999999818</v>
      </c>
      <c r="I4124" s="3">
        <f t="shared" si="193"/>
        <v>9.0649273227780078E-3</v>
      </c>
    </row>
    <row r="4125" spans="2:9" x14ac:dyDescent="0.25">
      <c r="B4125" s="1">
        <v>41204</v>
      </c>
      <c r="C4125" s="2">
        <v>5717.15</v>
      </c>
      <c r="D4125" s="2">
        <v>5667.6</v>
      </c>
      <c r="E4125" s="2">
        <v>5721.55</v>
      </c>
      <c r="F4125" s="2">
        <v>5658.05</v>
      </c>
      <c r="G4125" s="3">
        <f t="shared" si="194"/>
        <v>5.7879227690547097E-3</v>
      </c>
      <c r="H4125" s="2">
        <f t="shared" si="192"/>
        <v>63.5</v>
      </c>
      <c r="I4125" s="3">
        <f t="shared" si="193"/>
        <v>1.1204036982144117E-2</v>
      </c>
    </row>
    <row r="4126" spans="2:9" x14ac:dyDescent="0.25">
      <c r="B4126" s="1">
        <v>41205</v>
      </c>
      <c r="C4126" s="2">
        <v>5691.4</v>
      </c>
      <c r="D4126" s="2">
        <v>5715.65</v>
      </c>
      <c r="E4126" s="2">
        <v>5720.8</v>
      </c>
      <c r="F4126" s="2">
        <v>5681.45</v>
      </c>
      <c r="G4126" s="3">
        <f t="shared" si="194"/>
        <v>-4.5039923738225962E-3</v>
      </c>
      <c r="H4126" s="2">
        <f t="shared" si="192"/>
        <v>39.350000000000364</v>
      </c>
      <c r="I4126" s="3">
        <f t="shared" si="193"/>
        <v>6.8846063002458808E-3</v>
      </c>
    </row>
    <row r="4127" spans="2:9" x14ac:dyDescent="0.25">
      <c r="B4127" s="1">
        <v>41207</v>
      </c>
      <c r="C4127" s="2">
        <v>5705.3</v>
      </c>
      <c r="D4127" s="2">
        <v>5688.8</v>
      </c>
      <c r="E4127" s="2">
        <v>5718.75</v>
      </c>
      <c r="F4127" s="2">
        <v>5685.7</v>
      </c>
      <c r="G4127" s="3">
        <f t="shared" si="194"/>
        <v>2.4422813367537266E-3</v>
      </c>
      <c r="H4127" s="2">
        <f t="shared" si="192"/>
        <v>33.050000000000182</v>
      </c>
      <c r="I4127" s="3">
        <f t="shared" si="193"/>
        <v>5.8096610884545387E-3</v>
      </c>
    </row>
    <row r="4128" spans="2:9" x14ac:dyDescent="0.25">
      <c r="B4128" s="1">
        <v>41208</v>
      </c>
      <c r="C4128" s="2">
        <v>5664.3</v>
      </c>
      <c r="D4128" s="2">
        <v>5683.55</v>
      </c>
      <c r="E4128" s="2">
        <v>5697.2</v>
      </c>
      <c r="F4128" s="2">
        <v>5641.75</v>
      </c>
      <c r="G4128" s="3">
        <f t="shared" si="194"/>
        <v>-7.1863004574693745E-3</v>
      </c>
      <c r="H4128" s="2">
        <f t="shared" si="192"/>
        <v>55.449999999999818</v>
      </c>
      <c r="I4128" s="3">
        <f t="shared" si="193"/>
        <v>9.7562263022230502E-3</v>
      </c>
    </row>
    <row r="4129" spans="2:9" x14ac:dyDescent="0.25">
      <c r="B4129" s="1">
        <v>41211</v>
      </c>
      <c r="C4129" s="2">
        <v>5665.6</v>
      </c>
      <c r="D4129" s="2">
        <v>5665.2</v>
      </c>
      <c r="E4129" s="2">
        <v>5698.3</v>
      </c>
      <c r="F4129" s="2">
        <v>5645.1</v>
      </c>
      <c r="G4129" s="3">
        <f t="shared" si="194"/>
        <v>2.295076178875366E-4</v>
      </c>
      <c r="H4129" s="2">
        <f t="shared" si="192"/>
        <v>53.199999999999818</v>
      </c>
      <c r="I4129" s="3">
        <f t="shared" si="193"/>
        <v>9.3906658193885165E-3</v>
      </c>
    </row>
    <row r="4130" spans="2:9" x14ac:dyDescent="0.25">
      <c r="B4130" s="1">
        <v>41212</v>
      </c>
      <c r="C4130" s="2">
        <v>5597.9</v>
      </c>
      <c r="D4130" s="2">
        <v>5656.35</v>
      </c>
      <c r="E4130" s="2">
        <v>5689.9</v>
      </c>
      <c r="F4130" s="2">
        <v>5589.9</v>
      </c>
      <c r="G4130" s="3">
        <f t="shared" si="194"/>
        <v>-1.1949308105055234E-2</v>
      </c>
      <c r="H4130" s="2">
        <f t="shared" si="192"/>
        <v>100</v>
      </c>
      <c r="I4130" s="3">
        <f t="shared" si="193"/>
        <v>1.7679245449804201E-2</v>
      </c>
    </row>
    <row r="4131" spans="2:9" x14ac:dyDescent="0.25">
      <c r="B4131" s="1">
        <v>41213</v>
      </c>
      <c r="C4131" s="2">
        <v>5619.7</v>
      </c>
      <c r="D4131" s="2">
        <v>5596.75</v>
      </c>
      <c r="E4131" s="2">
        <v>5624.4</v>
      </c>
      <c r="F4131" s="2">
        <v>5583.05</v>
      </c>
      <c r="G4131" s="3">
        <f t="shared" si="194"/>
        <v>3.8943175119241502E-3</v>
      </c>
      <c r="H4131" s="2">
        <f t="shared" si="192"/>
        <v>41.349999999999454</v>
      </c>
      <c r="I4131" s="3">
        <f t="shared" si="193"/>
        <v>7.3882163755750133E-3</v>
      </c>
    </row>
    <row r="4132" spans="2:9" x14ac:dyDescent="0.25">
      <c r="B4132" s="1">
        <v>41214</v>
      </c>
      <c r="C4132" s="2">
        <v>5645.05</v>
      </c>
      <c r="D4132" s="2">
        <v>5609.85</v>
      </c>
      <c r="E4132" s="2">
        <v>5649.75</v>
      </c>
      <c r="F4132" s="2">
        <v>5601.95</v>
      </c>
      <c r="G4132" s="3">
        <f t="shared" si="194"/>
        <v>4.5109169528623205E-3</v>
      </c>
      <c r="H4132" s="2">
        <f t="shared" si="192"/>
        <v>47.800000000000182</v>
      </c>
      <c r="I4132" s="3">
        <f t="shared" si="193"/>
        <v>8.5207269356578474E-3</v>
      </c>
    </row>
    <row r="4133" spans="2:9" x14ac:dyDescent="0.25">
      <c r="B4133" s="1">
        <v>41215</v>
      </c>
      <c r="C4133" s="2">
        <v>5697.7</v>
      </c>
      <c r="D4133" s="2">
        <v>5696.35</v>
      </c>
      <c r="E4133" s="2">
        <v>5711.3</v>
      </c>
      <c r="F4133" s="2">
        <v>5682.55</v>
      </c>
      <c r="G4133" s="3">
        <f t="shared" si="194"/>
        <v>9.3267552988900437E-3</v>
      </c>
      <c r="H4133" s="2">
        <f t="shared" si="192"/>
        <v>28.75</v>
      </c>
      <c r="I4133" s="3">
        <f t="shared" si="193"/>
        <v>5.0470915586296487E-3</v>
      </c>
    </row>
    <row r="4134" spans="2:9" x14ac:dyDescent="0.25">
      <c r="B4134" s="1">
        <v>41218</v>
      </c>
      <c r="C4134" s="2">
        <v>5704.2</v>
      </c>
      <c r="D4134" s="2">
        <v>5693.05</v>
      </c>
      <c r="E4134" s="2">
        <v>5709.2</v>
      </c>
      <c r="F4134" s="2">
        <v>5679.5</v>
      </c>
      <c r="G4134" s="3">
        <f t="shared" si="194"/>
        <v>1.1408112045210306E-3</v>
      </c>
      <c r="H4134" s="2">
        <f t="shared" si="192"/>
        <v>29.699999999999818</v>
      </c>
      <c r="I4134" s="3">
        <f t="shared" si="193"/>
        <v>5.2168872572697965E-3</v>
      </c>
    </row>
    <row r="4135" spans="2:9" x14ac:dyDescent="0.25">
      <c r="B4135" s="1">
        <v>41219</v>
      </c>
      <c r="C4135" s="2">
        <v>5724.4</v>
      </c>
      <c r="D4135" s="2">
        <v>5694.1</v>
      </c>
      <c r="E4135" s="2">
        <v>5730.8</v>
      </c>
      <c r="F4135" s="2">
        <v>5693.65</v>
      </c>
      <c r="G4135" s="3">
        <f t="shared" si="194"/>
        <v>3.5412503067915324E-3</v>
      </c>
      <c r="H4135" s="2">
        <f t="shared" si="192"/>
        <v>37.150000000000546</v>
      </c>
      <c r="I4135" s="3">
        <f t="shared" si="193"/>
        <v>6.5242970794331927E-3</v>
      </c>
    </row>
    <row r="4136" spans="2:9" x14ac:dyDescent="0.25">
      <c r="B4136" s="1">
        <v>41220</v>
      </c>
      <c r="C4136" s="2">
        <v>5760.1</v>
      </c>
      <c r="D4136" s="2">
        <v>5718.6</v>
      </c>
      <c r="E4136" s="2">
        <v>5777.3</v>
      </c>
      <c r="F4136" s="2">
        <v>5711.4</v>
      </c>
      <c r="G4136" s="3">
        <f t="shared" si="194"/>
        <v>6.2364614632102189E-3</v>
      </c>
      <c r="H4136" s="2">
        <f t="shared" si="192"/>
        <v>65.900000000000546</v>
      </c>
      <c r="I4136" s="3">
        <f t="shared" si="193"/>
        <v>1.1523799531353922E-2</v>
      </c>
    </row>
    <row r="4137" spans="2:9" x14ac:dyDescent="0.25">
      <c r="B4137" s="1">
        <v>41221</v>
      </c>
      <c r="C4137" s="2">
        <v>5738.75</v>
      </c>
      <c r="D4137" s="2">
        <v>5709</v>
      </c>
      <c r="E4137" s="2">
        <v>5744.5</v>
      </c>
      <c r="F4137" s="2">
        <v>5693.95</v>
      </c>
      <c r="G4137" s="3">
        <f t="shared" si="194"/>
        <v>-3.7065328726932911E-3</v>
      </c>
      <c r="H4137" s="2">
        <f t="shared" si="192"/>
        <v>50.550000000000182</v>
      </c>
      <c r="I4137" s="3">
        <f t="shared" si="193"/>
        <v>8.8544403573305626E-3</v>
      </c>
    </row>
    <row r="4138" spans="2:9" x14ac:dyDescent="0.25">
      <c r="B4138" s="1">
        <v>41222</v>
      </c>
      <c r="C4138" s="2">
        <v>5686.25</v>
      </c>
      <c r="D4138" s="2">
        <v>5731.1</v>
      </c>
      <c r="E4138" s="2">
        <v>5751.7</v>
      </c>
      <c r="F4138" s="2">
        <v>5677.75</v>
      </c>
      <c r="G4138" s="3">
        <f t="shared" si="194"/>
        <v>-9.1483336963624762E-3</v>
      </c>
      <c r="H4138" s="2">
        <f t="shared" si="192"/>
        <v>73.949999999999818</v>
      </c>
      <c r="I4138" s="3">
        <f t="shared" si="193"/>
        <v>1.2903282092442955E-2</v>
      </c>
    </row>
    <row r="4139" spans="2:9" x14ac:dyDescent="0.25">
      <c r="B4139" s="1">
        <v>41225</v>
      </c>
      <c r="C4139" s="2">
        <v>5683.7</v>
      </c>
      <c r="D4139" s="2">
        <v>5688.45</v>
      </c>
      <c r="E4139" s="2">
        <v>5718.9</v>
      </c>
      <c r="F4139" s="2">
        <v>5665.75</v>
      </c>
      <c r="G4139" s="3">
        <f t="shared" si="194"/>
        <v>-4.484502088371034E-4</v>
      </c>
      <c r="H4139" s="2">
        <f t="shared" si="192"/>
        <v>53.149999999999636</v>
      </c>
      <c r="I4139" s="3">
        <f t="shared" si="193"/>
        <v>9.3434942734839255E-3</v>
      </c>
    </row>
    <row r="4140" spans="2:9" x14ac:dyDescent="0.25">
      <c r="B4140" s="1">
        <v>41226</v>
      </c>
      <c r="C4140" s="2">
        <v>5666.95</v>
      </c>
      <c r="D4140" s="2">
        <v>5689.7</v>
      </c>
      <c r="E4140" s="2">
        <v>5698.25</v>
      </c>
      <c r="F4140" s="2">
        <v>5660.35</v>
      </c>
      <c r="G4140" s="3">
        <f t="shared" si="194"/>
        <v>-2.9470239456691472E-3</v>
      </c>
      <c r="H4140" s="2">
        <f t="shared" si="192"/>
        <v>37.899999999999636</v>
      </c>
      <c r="I4140" s="3">
        <f t="shared" si="193"/>
        <v>6.6611596393482322E-3</v>
      </c>
    </row>
    <row r="4141" spans="2:9" x14ac:dyDescent="0.25">
      <c r="B4141" s="1">
        <v>41228</v>
      </c>
      <c r="C4141" s="2">
        <v>5631</v>
      </c>
      <c r="D4141" s="2">
        <v>5650.35</v>
      </c>
      <c r="E4141" s="2">
        <v>5651.65</v>
      </c>
      <c r="F4141" s="2">
        <v>5603.55</v>
      </c>
      <c r="G4141" s="3">
        <f t="shared" si="194"/>
        <v>-6.3438004570359752E-3</v>
      </c>
      <c r="H4141" s="2">
        <f t="shared" si="192"/>
        <v>48.099999999999454</v>
      </c>
      <c r="I4141" s="3">
        <f t="shared" si="193"/>
        <v>8.5127469979734798E-3</v>
      </c>
    </row>
    <row r="4142" spans="2:9" x14ac:dyDescent="0.25">
      <c r="B4142" s="1">
        <v>41229</v>
      </c>
      <c r="C4142" s="2">
        <v>5574.05</v>
      </c>
      <c r="D4142" s="2">
        <v>5624.8</v>
      </c>
      <c r="E4142" s="2">
        <v>5650.15</v>
      </c>
      <c r="F4142" s="2">
        <v>5559.8</v>
      </c>
      <c r="G4142" s="3">
        <f t="shared" si="194"/>
        <v>-1.0113656544130656E-2</v>
      </c>
      <c r="H4142" s="2">
        <f t="shared" si="192"/>
        <v>90.349999999999454</v>
      </c>
      <c r="I4142" s="3">
        <f t="shared" si="193"/>
        <v>1.6062793343763235E-2</v>
      </c>
    </row>
    <row r="4143" spans="2:9" x14ac:dyDescent="0.25">
      <c r="B4143" s="1">
        <v>41232</v>
      </c>
      <c r="C4143" s="2">
        <v>5571.4</v>
      </c>
      <c r="D4143" s="2">
        <v>5577.3</v>
      </c>
      <c r="E4143" s="2">
        <v>5592.75</v>
      </c>
      <c r="F4143" s="2">
        <v>5549.25</v>
      </c>
      <c r="G4143" s="3">
        <f t="shared" si="194"/>
        <v>-4.7541733568956523E-4</v>
      </c>
      <c r="H4143" s="2">
        <f t="shared" si="192"/>
        <v>43.5</v>
      </c>
      <c r="I4143" s="3">
        <f t="shared" si="193"/>
        <v>7.7994728632133827E-3</v>
      </c>
    </row>
    <row r="4144" spans="2:9" x14ac:dyDescent="0.25">
      <c r="B4144" s="1">
        <v>41233</v>
      </c>
      <c r="C4144" s="2">
        <v>5571.55</v>
      </c>
      <c r="D4144" s="2">
        <v>5604.8</v>
      </c>
      <c r="E4144" s="2">
        <v>5613.7</v>
      </c>
      <c r="F4144" s="2">
        <v>5548.35</v>
      </c>
      <c r="G4144" s="3">
        <f t="shared" si="194"/>
        <v>2.6923214990981492E-5</v>
      </c>
      <c r="H4144" s="2">
        <f t="shared" si="192"/>
        <v>65.349999999999454</v>
      </c>
      <c r="I4144" s="3">
        <f t="shared" si="193"/>
        <v>1.1659648872394993E-2</v>
      </c>
    </row>
    <row r="4145" spans="2:9" x14ac:dyDescent="0.25">
      <c r="B4145" s="1">
        <v>41234</v>
      </c>
      <c r="C4145" s="2">
        <v>5614.8</v>
      </c>
      <c r="D4145" s="2">
        <v>5582.5</v>
      </c>
      <c r="E4145" s="2">
        <v>5620.2</v>
      </c>
      <c r="F4145" s="2">
        <v>5561.4</v>
      </c>
      <c r="G4145" s="3">
        <f t="shared" si="194"/>
        <v>7.7626513268300723E-3</v>
      </c>
      <c r="H4145" s="2">
        <f t="shared" si="192"/>
        <v>58.800000000000182</v>
      </c>
      <c r="I4145" s="3">
        <f t="shared" si="193"/>
        <v>1.0532915360501599E-2</v>
      </c>
    </row>
    <row r="4146" spans="2:9" x14ac:dyDescent="0.25">
      <c r="B4146" s="1">
        <v>41235</v>
      </c>
      <c r="C4146" s="2">
        <v>5627.75</v>
      </c>
      <c r="D4146" s="2">
        <v>5628.6</v>
      </c>
      <c r="E4146" s="2">
        <v>5643.35</v>
      </c>
      <c r="F4146" s="2">
        <v>5608</v>
      </c>
      <c r="G4146" s="3">
        <f t="shared" si="194"/>
        <v>2.3064045023866164E-3</v>
      </c>
      <c r="H4146" s="2">
        <f t="shared" si="192"/>
        <v>35.350000000000364</v>
      </c>
      <c r="I4146" s="3">
        <f t="shared" si="193"/>
        <v>6.2804249724621331E-3</v>
      </c>
    </row>
    <row r="4147" spans="2:9" x14ac:dyDescent="0.25">
      <c r="B4147" s="1">
        <v>41236</v>
      </c>
      <c r="C4147" s="2">
        <v>5626.6</v>
      </c>
      <c r="D4147" s="2">
        <v>5635.45</v>
      </c>
      <c r="E4147" s="2">
        <v>5637.75</v>
      </c>
      <c r="F4147" s="2">
        <v>5593.55</v>
      </c>
      <c r="G4147" s="3">
        <f t="shared" si="194"/>
        <v>-2.0434454266793356E-4</v>
      </c>
      <c r="H4147" s="2">
        <f t="shared" si="192"/>
        <v>44.199999999999818</v>
      </c>
      <c r="I4147" s="3">
        <f t="shared" si="193"/>
        <v>7.8432068423994212E-3</v>
      </c>
    </row>
    <row r="4148" spans="2:9" x14ac:dyDescent="0.25">
      <c r="B4148" s="1">
        <v>41239</v>
      </c>
      <c r="C4148" s="2">
        <v>5635.9</v>
      </c>
      <c r="D4148" s="2">
        <v>5648.65</v>
      </c>
      <c r="E4148" s="2">
        <v>5649.2</v>
      </c>
      <c r="F4148" s="2">
        <v>5623.45</v>
      </c>
      <c r="G4148" s="3">
        <f t="shared" si="194"/>
        <v>1.6528631855825537E-3</v>
      </c>
      <c r="H4148" s="2">
        <f t="shared" si="192"/>
        <v>25.75</v>
      </c>
      <c r="I4148" s="3">
        <f t="shared" si="193"/>
        <v>4.5586113496145098E-3</v>
      </c>
    </row>
    <row r="4149" spans="2:9" x14ac:dyDescent="0.25">
      <c r="B4149" s="1">
        <v>41240</v>
      </c>
      <c r="C4149" s="2">
        <v>5727.45</v>
      </c>
      <c r="D4149" s="2">
        <v>5658.5</v>
      </c>
      <c r="E4149" s="2">
        <v>5733.2</v>
      </c>
      <c r="F4149" s="2">
        <v>5658</v>
      </c>
      <c r="G4149" s="3">
        <f t="shared" si="194"/>
        <v>1.6244078141911755E-2</v>
      </c>
      <c r="H4149" s="2">
        <f t="shared" si="192"/>
        <v>75.199999999999818</v>
      </c>
      <c r="I4149" s="3">
        <f t="shared" si="193"/>
        <v>1.328974109746396E-2</v>
      </c>
    </row>
    <row r="4150" spans="2:9" x14ac:dyDescent="0.25">
      <c r="B4150" s="1">
        <v>41242</v>
      </c>
      <c r="C4150" s="2">
        <v>5825</v>
      </c>
      <c r="D4150" s="2">
        <v>5736.7</v>
      </c>
      <c r="E4150" s="2">
        <v>5833.5</v>
      </c>
      <c r="F4150" s="2">
        <v>5736.1</v>
      </c>
      <c r="G4150" s="3">
        <f t="shared" si="194"/>
        <v>1.7032012501200455E-2</v>
      </c>
      <c r="H4150" s="2">
        <f t="shared" si="192"/>
        <v>97.399999999999636</v>
      </c>
      <c r="I4150" s="3">
        <f t="shared" si="193"/>
        <v>1.6978402217302568E-2</v>
      </c>
    </row>
    <row r="4151" spans="2:9" x14ac:dyDescent="0.25">
      <c r="B4151" s="1">
        <v>41243</v>
      </c>
      <c r="C4151" s="2">
        <v>5879.85</v>
      </c>
      <c r="D4151" s="2">
        <v>5836</v>
      </c>
      <c r="E4151" s="2">
        <v>5885.25</v>
      </c>
      <c r="F4151" s="2">
        <v>5827.85</v>
      </c>
      <c r="G4151" s="3">
        <f t="shared" si="194"/>
        <v>9.4163090128756011E-3</v>
      </c>
      <c r="H4151" s="2">
        <f t="shared" si="192"/>
        <v>57.399999999999636</v>
      </c>
      <c r="I4151" s="3">
        <f t="shared" si="193"/>
        <v>9.8355037697052151E-3</v>
      </c>
    </row>
    <row r="4152" spans="2:9" x14ac:dyDescent="0.25">
      <c r="B4152" s="1">
        <v>41246</v>
      </c>
      <c r="C4152" s="2">
        <v>5870.95</v>
      </c>
      <c r="D4152" s="2">
        <v>5878.25</v>
      </c>
      <c r="E4152" s="2">
        <v>5899.15</v>
      </c>
      <c r="F4152" s="2">
        <v>5854.6</v>
      </c>
      <c r="G4152" s="3">
        <f t="shared" si="194"/>
        <v>-1.5136440555457709E-3</v>
      </c>
      <c r="H4152" s="2">
        <f t="shared" si="192"/>
        <v>44.549999999999272</v>
      </c>
      <c r="I4152" s="3">
        <f t="shared" si="193"/>
        <v>7.5787862033767318E-3</v>
      </c>
    </row>
    <row r="4153" spans="2:9" x14ac:dyDescent="0.25">
      <c r="B4153" s="1">
        <v>41247</v>
      </c>
      <c r="C4153" s="2">
        <v>5889.25</v>
      </c>
      <c r="D4153" s="2">
        <v>5866.8</v>
      </c>
      <c r="E4153" s="2">
        <v>5894.95</v>
      </c>
      <c r="F4153" s="2">
        <v>5859</v>
      </c>
      <c r="G4153" s="3">
        <f t="shared" si="194"/>
        <v>3.1170423866666574E-3</v>
      </c>
      <c r="H4153" s="2">
        <f t="shared" si="192"/>
        <v>35.949999999999818</v>
      </c>
      <c r="I4153" s="3">
        <f t="shared" si="193"/>
        <v>6.1277016431444424E-3</v>
      </c>
    </row>
    <row r="4154" spans="2:9" x14ac:dyDescent="0.25">
      <c r="B4154" s="1">
        <v>41248</v>
      </c>
      <c r="C4154" s="2">
        <v>5900.5</v>
      </c>
      <c r="D4154" s="2">
        <v>5906.6</v>
      </c>
      <c r="E4154" s="2">
        <v>5917.8</v>
      </c>
      <c r="F4154" s="2">
        <v>5891.35</v>
      </c>
      <c r="G4154" s="3">
        <f t="shared" si="194"/>
        <v>1.910260219892157E-3</v>
      </c>
      <c r="H4154" s="2">
        <f t="shared" si="192"/>
        <v>26.449999999999818</v>
      </c>
      <c r="I4154" s="3">
        <f t="shared" si="193"/>
        <v>4.4780415128838616E-3</v>
      </c>
    </row>
    <row r="4155" spans="2:9" x14ac:dyDescent="0.25">
      <c r="B4155" s="1">
        <v>41249</v>
      </c>
      <c r="C4155" s="2">
        <v>5930.9</v>
      </c>
      <c r="D4155" s="2">
        <v>5926.3</v>
      </c>
      <c r="E4155" s="2">
        <v>5942.55</v>
      </c>
      <c r="F4155" s="2">
        <v>5838.9</v>
      </c>
      <c r="G4155" s="3">
        <f t="shared" si="194"/>
        <v>5.1521057537495807E-3</v>
      </c>
      <c r="H4155" s="2">
        <f t="shared" si="192"/>
        <v>103.65000000000055</v>
      </c>
      <c r="I4155" s="3">
        <f t="shared" si="193"/>
        <v>1.748983345426329E-2</v>
      </c>
    </row>
    <row r="4156" spans="2:9" x14ac:dyDescent="0.25">
      <c r="B4156" s="1">
        <v>41250</v>
      </c>
      <c r="C4156" s="2">
        <v>5907.4</v>
      </c>
      <c r="D4156" s="2">
        <v>5934</v>
      </c>
      <c r="E4156" s="2">
        <v>5949.85</v>
      </c>
      <c r="F4156" s="2">
        <v>5888.65</v>
      </c>
      <c r="G4156" s="3">
        <f t="shared" si="194"/>
        <v>-3.9622991451550016E-3</v>
      </c>
      <c r="H4156" s="2">
        <f t="shared" si="192"/>
        <v>61.200000000000728</v>
      </c>
      <c r="I4156" s="3">
        <f t="shared" si="193"/>
        <v>1.0313447927199314E-2</v>
      </c>
    </row>
    <row r="4157" spans="2:9" x14ac:dyDescent="0.25">
      <c r="B4157" s="1">
        <v>41253</v>
      </c>
      <c r="C4157" s="2">
        <v>5908.9</v>
      </c>
      <c r="D4157" s="2">
        <v>5916.05</v>
      </c>
      <c r="E4157" s="2">
        <v>5919.95</v>
      </c>
      <c r="F4157" s="2">
        <v>5888.1</v>
      </c>
      <c r="G4157" s="3">
        <f t="shared" si="194"/>
        <v>2.5391881369141167E-4</v>
      </c>
      <c r="H4157" s="2">
        <f t="shared" si="192"/>
        <v>31.849999999999454</v>
      </c>
      <c r="I4157" s="3">
        <f t="shared" si="193"/>
        <v>5.3836597053776511E-3</v>
      </c>
    </row>
    <row r="4158" spans="2:9" x14ac:dyDescent="0.25">
      <c r="B4158" s="1">
        <v>41254</v>
      </c>
      <c r="C4158" s="2">
        <v>5898.8</v>
      </c>
      <c r="D4158" s="2">
        <v>5923.8</v>
      </c>
      <c r="E4158" s="2">
        <v>5965.15</v>
      </c>
      <c r="F4158" s="2">
        <v>5865.45</v>
      </c>
      <c r="G4158" s="3">
        <f t="shared" si="194"/>
        <v>-1.7092859923165671E-3</v>
      </c>
      <c r="H4158" s="2">
        <f t="shared" si="192"/>
        <v>99.699999999999818</v>
      </c>
      <c r="I4158" s="3">
        <f t="shared" si="193"/>
        <v>1.6830412910631656E-2</v>
      </c>
    </row>
    <row r="4159" spans="2:9" x14ac:dyDescent="0.25">
      <c r="B4159" s="1">
        <v>41255</v>
      </c>
      <c r="C4159" s="2">
        <v>5888</v>
      </c>
      <c r="D4159" s="2">
        <v>5917.8</v>
      </c>
      <c r="E4159" s="2">
        <v>5924.6</v>
      </c>
      <c r="F4159" s="2">
        <v>5874.25</v>
      </c>
      <c r="G4159" s="3">
        <f t="shared" si="194"/>
        <v>-1.8308808571234625E-3</v>
      </c>
      <c r="H4159" s="2">
        <f t="shared" si="192"/>
        <v>50.350000000000364</v>
      </c>
      <c r="I4159" s="3">
        <f t="shared" si="193"/>
        <v>8.5082294095779453E-3</v>
      </c>
    </row>
    <row r="4160" spans="2:9" x14ac:dyDescent="0.25">
      <c r="B4160" s="1">
        <v>41256</v>
      </c>
      <c r="C4160" s="2">
        <v>5851.5</v>
      </c>
      <c r="D4160" s="2">
        <v>5900.35</v>
      </c>
      <c r="E4160" s="2">
        <v>5907.45</v>
      </c>
      <c r="F4160" s="2">
        <v>5841.35</v>
      </c>
      <c r="G4160" s="3">
        <f t="shared" si="194"/>
        <v>-6.199048913043459E-3</v>
      </c>
      <c r="H4160" s="2">
        <f t="shared" si="192"/>
        <v>66.099999999999454</v>
      </c>
      <c r="I4160" s="3">
        <f t="shared" si="193"/>
        <v>1.1202725262060632E-2</v>
      </c>
    </row>
    <row r="4161" spans="2:9" x14ac:dyDescent="0.25">
      <c r="B4161" s="1">
        <v>41257</v>
      </c>
      <c r="C4161" s="2">
        <v>5879.6</v>
      </c>
      <c r="D4161" s="2">
        <v>5846.9</v>
      </c>
      <c r="E4161" s="2">
        <v>5886.1</v>
      </c>
      <c r="F4161" s="2">
        <v>5839.15</v>
      </c>
      <c r="G4161" s="3">
        <f t="shared" si="194"/>
        <v>4.8021874732975256E-3</v>
      </c>
      <c r="H4161" s="2">
        <f t="shared" si="192"/>
        <v>46.950000000000728</v>
      </c>
      <c r="I4161" s="3">
        <f t="shared" si="193"/>
        <v>8.0298961843029183E-3</v>
      </c>
    </row>
    <row r="4162" spans="2:9" x14ac:dyDescent="0.25">
      <c r="B4162" s="1">
        <v>41260</v>
      </c>
      <c r="C4162" s="2">
        <v>5857.9</v>
      </c>
      <c r="D4162" s="2">
        <v>5860.5</v>
      </c>
      <c r="E4162" s="2">
        <v>5886.05</v>
      </c>
      <c r="F4162" s="2">
        <v>5850.15</v>
      </c>
      <c r="G4162" s="3">
        <f t="shared" si="194"/>
        <v>-3.6907272603580177E-3</v>
      </c>
      <c r="H4162" s="2">
        <f t="shared" si="192"/>
        <v>35.900000000000546</v>
      </c>
      <c r="I4162" s="3">
        <f t="shared" si="193"/>
        <v>6.1257571879533394E-3</v>
      </c>
    </row>
    <row r="4163" spans="2:9" x14ac:dyDescent="0.25">
      <c r="B4163" s="1">
        <v>41261</v>
      </c>
      <c r="C4163" s="2">
        <v>5896.8</v>
      </c>
      <c r="D4163" s="2">
        <v>5873.6</v>
      </c>
      <c r="E4163" s="2">
        <v>5905.8</v>
      </c>
      <c r="F4163" s="2">
        <v>5823.15</v>
      </c>
      <c r="G4163" s="3">
        <f t="shared" si="194"/>
        <v>6.6406049949641055E-3</v>
      </c>
      <c r="H4163" s="2">
        <f t="shared" si="192"/>
        <v>82.650000000000546</v>
      </c>
      <c r="I4163" s="3">
        <f t="shared" si="193"/>
        <v>1.4071438300190775E-2</v>
      </c>
    </row>
    <row r="4164" spans="2:9" x14ac:dyDescent="0.25">
      <c r="B4164" s="1">
        <v>41262</v>
      </c>
      <c r="C4164" s="2">
        <v>5929.6</v>
      </c>
      <c r="D4164" s="2">
        <v>5917.3</v>
      </c>
      <c r="E4164" s="2">
        <v>5939.4</v>
      </c>
      <c r="F4164" s="2">
        <v>5910.8</v>
      </c>
      <c r="G4164" s="3">
        <f t="shared" si="194"/>
        <v>5.5623388956722586E-3</v>
      </c>
      <c r="H4164" s="2">
        <f t="shared" si="192"/>
        <v>28.599999999999454</v>
      </c>
      <c r="I4164" s="3">
        <f t="shared" si="193"/>
        <v>4.8332854511347161E-3</v>
      </c>
    </row>
    <row r="4165" spans="2:9" x14ac:dyDescent="0.25">
      <c r="B4165" s="1">
        <v>41263</v>
      </c>
      <c r="C4165" s="2">
        <v>5916.4</v>
      </c>
      <c r="D4165" s="2">
        <v>5934.45</v>
      </c>
      <c r="E4165" s="2">
        <v>5937.6</v>
      </c>
      <c r="F4165" s="2">
        <v>5881.45</v>
      </c>
      <c r="G4165" s="3">
        <f t="shared" si="194"/>
        <v>-2.2261198057206277E-3</v>
      </c>
      <c r="H4165" s="2">
        <f t="shared" ref="H4165:H4228" si="195">E4165-F4165</f>
        <v>56.150000000000546</v>
      </c>
      <c r="I4165" s="3">
        <f t="shared" si="193"/>
        <v>9.4617024324074768E-3</v>
      </c>
    </row>
    <row r="4166" spans="2:9" x14ac:dyDescent="0.25">
      <c r="B4166" s="1">
        <v>41264</v>
      </c>
      <c r="C4166" s="2">
        <v>5847.7</v>
      </c>
      <c r="D4166" s="2">
        <v>5888</v>
      </c>
      <c r="E4166" s="2">
        <v>5888</v>
      </c>
      <c r="F4166" s="2">
        <v>5841.65</v>
      </c>
      <c r="G4166" s="3">
        <f t="shared" si="194"/>
        <v>-1.1611790953958478E-2</v>
      </c>
      <c r="H4166" s="2">
        <f t="shared" si="195"/>
        <v>46.350000000000364</v>
      </c>
      <c r="I4166" s="3">
        <f t="shared" ref="I4166:I4229" si="196">H4166/D4166</f>
        <v>7.8719429347826712E-3</v>
      </c>
    </row>
    <row r="4167" spans="2:9" x14ac:dyDescent="0.25">
      <c r="B4167" s="1">
        <v>41267</v>
      </c>
      <c r="C4167" s="2">
        <v>5855.75</v>
      </c>
      <c r="D4167" s="2">
        <v>5869</v>
      </c>
      <c r="E4167" s="2">
        <v>5871.9</v>
      </c>
      <c r="F4167" s="2">
        <v>5844.7</v>
      </c>
      <c r="G4167" s="3">
        <f t="shared" ref="G4167:G4230" si="197">C4167/C4166-1</f>
        <v>1.3766096071960998E-3</v>
      </c>
      <c r="H4167" s="2">
        <f t="shared" si="195"/>
        <v>27.199999999999818</v>
      </c>
      <c r="I4167" s="3">
        <f t="shared" si="196"/>
        <v>4.6345203612199381E-3</v>
      </c>
    </row>
    <row r="4168" spans="2:9" x14ac:dyDescent="0.25">
      <c r="B4168" s="1">
        <v>41269</v>
      </c>
      <c r="C4168" s="2">
        <v>5905.6</v>
      </c>
      <c r="D4168" s="2">
        <v>5864.95</v>
      </c>
      <c r="E4168" s="2">
        <v>5917.3</v>
      </c>
      <c r="F4168" s="2">
        <v>5859.55</v>
      </c>
      <c r="G4168" s="3">
        <f t="shared" si="197"/>
        <v>8.5130000426931751E-3</v>
      </c>
      <c r="H4168" s="2">
        <f t="shared" si="195"/>
        <v>57.75</v>
      </c>
      <c r="I4168" s="3">
        <f t="shared" si="196"/>
        <v>9.8466312585785056E-3</v>
      </c>
    </row>
    <row r="4169" spans="2:9" x14ac:dyDescent="0.25">
      <c r="B4169" s="1">
        <v>41270</v>
      </c>
      <c r="C4169" s="2">
        <v>5870.1</v>
      </c>
      <c r="D4169" s="2">
        <v>5930.2</v>
      </c>
      <c r="E4169" s="2">
        <v>5930.8</v>
      </c>
      <c r="F4169" s="2">
        <v>5864.7</v>
      </c>
      <c r="G4169" s="3">
        <f t="shared" si="197"/>
        <v>-6.0112435654293694E-3</v>
      </c>
      <c r="H4169" s="2">
        <f t="shared" si="195"/>
        <v>66.100000000000364</v>
      </c>
      <c r="I4169" s="3">
        <f t="shared" si="196"/>
        <v>1.1146335705372561E-2</v>
      </c>
    </row>
    <row r="4170" spans="2:9" x14ac:dyDescent="0.25">
      <c r="B4170" s="1">
        <v>41271</v>
      </c>
      <c r="C4170" s="2">
        <v>5908.35</v>
      </c>
      <c r="D4170" s="2">
        <v>5887.15</v>
      </c>
      <c r="E4170" s="2">
        <v>5915.75</v>
      </c>
      <c r="F4170" s="2">
        <v>5879.5</v>
      </c>
      <c r="G4170" s="3">
        <f t="shared" si="197"/>
        <v>6.5160729800173289E-3</v>
      </c>
      <c r="H4170" s="2">
        <f t="shared" si="195"/>
        <v>36.25</v>
      </c>
      <c r="I4170" s="3">
        <f t="shared" si="196"/>
        <v>6.1574785762210918E-3</v>
      </c>
    </row>
    <row r="4171" spans="2:9" x14ac:dyDescent="0.25">
      <c r="B4171" s="1">
        <v>41274</v>
      </c>
      <c r="C4171" s="2">
        <v>5905.1</v>
      </c>
      <c r="D4171" s="2">
        <v>5901.2</v>
      </c>
      <c r="E4171" s="2">
        <v>5919</v>
      </c>
      <c r="F4171" s="2">
        <v>5897.15</v>
      </c>
      <c r="G4171" s="3">
        <f t="shared" si="197"/>
        <v>-5.5006897018627932E-4</v>
      </c>
      <c r="H4171" s="2">
        <f t="shared" si="195"/>
        <v>21.850000000000364</v>
      </c>
      <c r="I4171" s="3">
        <f t="shared" si="196"/>
        <v>3.7026367518471436E-3</v>
      </c>
    </row>
    <row r="4172" spans="2:9" x14ac:dyDescent="0.25">
      <c r="B4172" s="1">
        <v>41275</v>
      </c>
      <c r="C4172" s="2">
        <v>5950.85</v>
      </c>
      <c r="D4172" s="2">
        <v>5937.65</v>
      </c>
      <c r="E4172" s="2">
        <v>5963.9</v>
      </c>
      <c r="F4172" s="2">
        <v>5935.2</v>
      </c>
      <c r="G4172" s="3">
        <f t="shared" si="197"/>
        <v>7.7475402618076838E-3</v>
      </c>
      <c r="H4172" s="2">
        <f t="shared" si="195"/>
        <v>28.699999999999818</v>
      </c>
      <c r="I4172" s="3">
        <f t="shared" si="196"/>
        <v>4.8335620994837724E-3</v>
      </c>
    </row>
    <row r="4173" spans="2:9" x14ac:dyDescent="0.25">
      <c r="B4173" s="1">
        <v>41276</v>
      </c>
      <c r="C4173" s="2">
        <v>5993.25</v>
      </c>
      <c r="D4173" s="2">
        <v>5982.6</v>
      </c>
      <c r="E4173" s="2">
        <v>6006.05</v>
      </c>
      <c r="F4173" s="2">
        <v>5982</v>
      </c>
      <c r="G4173" s="3">
        <f t="shared" si="197"/>
        <v>7.1250325583740448E-3</v>
      </c>
      <c r="H4173" s="2">
        <f t="shared" si="195"/>
        <v>24.050000000000182</v>
      </c>
      <c r="I4173" s="3">
        <f t="shared" si="196"/>
        <v>4.0199913081269316E-3</v>
      </c>
    </row>
    <row r="4174" spans="2:9" x14ac:dyDescent="0.25">
      <c r="B4174" s="1">
        <v>41277</v>
      </c>
      <c r="C4174" s="2">
        <v>6009.5</v>
      </c>
      <c r="D4174" s="2">
        <v>6015.8</v>
      </c>
      <c r="E4174" s="2">
        <v>6017</v>
      </c>
      <c r="F4174" s="2">
        <v>5986.55</v>
      </c>
      <c r="G4174" s="3">
        <f t="shared" si="197"/>
        <v>2.7113836399281777E-3</v>
      </c>
      <c r="H4174" s="2">
        <f t="shared" si="195"/>
        <v>30.449999999999818</v>
      </c>
      <c r="I4174" s="3">
        <f t="shared" si="196"/>
        <v>5.0616709332091852E-3</v>
      </c>
    </row>
    <row r="4175" spans="2:9" x14ac:dyDescent="0.25">
      <c r="B4175" s="1">
        <v>41278</v>
      </c>
      <c r="C4175" s="2">
        <v>6016.15</v>
      </c>
      <c r="D4175" s="2">
        <v>6011.95</v>
      </c>
      <c r="E4175" s="2">
        <v>6020.75</v>
      </c>
      <c r="F4175" s="2">
        <v>5981.55</v>
      </c>
      <c r="G4175" s="3">
        <f t="shared" si="197"/>
        <v>1.1065812463597613E-3</v>
      </c>
      <c r="H4175" s="2">
        <f t="shared" si="195"/>
        <v>39.199999999999818</v>
      </c>
      <c r="I4175" s="3">
        <f t="shared" si="196"/>
        <v>6.5203469756068859E-3</v>
      </c>
    </row>
    <row r="4176" spans="2:9" x14ac:dyDescent="0.25">
      <c r="B4176" s="1">
        <v>41281</v>
      </c>
      <c r="C4176" s="2">
        <v>5988.4</v>
      </c>
      <c r="D4176" s="2">
        <v>6042.15</v>
      </c>
      <c r="E4176" s="2">
        <v>6042.15</v>
      </c>
      <c r="F4176" s="2">
        <v>5977.15</v>
      </c>
      <c r="G4176" s="3">
        <f t="shared" si="197"/>
        <v>-4.6125844601614396E-3</v>
      </c>
      <c r="H4176" s="2">
        <f t="shared" si="195"/>
        <v>65</v>
      </c>
      <c r="I4176" s="3">
        <f t="shared" si="196"/>
        <v>1.0757760068849665E-2</v>
      </c>
    </row>
    <row r="4177" spans="2:9" x14ac:dyDescent="0.25">
      <c r="B4177" s="1">
        <v>41282</v>
      </c>
      <c r="C4177" s="2">
        <v>6001.7</v>
      </c>
      <c r="D4177" s="2">
        <v>5983.45</v>
      </c>
      <c r="E4177" s="2">
        <v>6007.05</v>
      </c>
      <c r="F4177" s="2">
        <v>5964.4</v>
      </c>
      <c r="G4177" s="3">
        <f t="shared" si="197"/>
        <v>2.2209605236791496E-3</v>
      </c>
      <c r="H4177" s="2">
        <f t="shared" si="195"/>
        <v>42.650000000000546</v>
      </c>
      <c r="I4177" s="3">
        <f t="shared" si="196"/>
        <v>7.127994718766021E-3</v>
      </c>
    </row>
    <row r="4178" spans="2:9" x14ac:dyDescent="0.25">
      <c r="B4178" s="1">
        <v>41283</v>
      </c>
      <c r="C4178" s="2">
        <v>5971.5</v>
      </c>
      <c r="D4178" s="2">
        <v>6006.2</v>
      </c>
      <c r="E4178" s="2">
        <v>6020.1</v>
      </c>
      <c r="F4178" s="2">
        <v>5958.45</v>
      </c>
      <c r="G4178" s="3">
        <f t="shared" si="197"/>
        <v>-5.0319076261725604E-3</v>
      </c>
      <c r="H4178" s="2">
        <f t="shared" si="195"/>
        <v>61.650000000000546</v>
      </c>
      <c r="I4178" s="3">
        <f t="shared" si="196"/>
        <v>1.026439346009133E-2</v>
      </c>
    </row>
    <row r="4179" spans="2:9" x14ac:dyDescent="0.25">
      <c r="B4179" s="1">
        <v>41284</v>
      </c>
      <c r="C4179" s="2">
        <v>5968.65</v>
      </c>
      <c r="D4179" s="2">
        <v>5998.8</v>
      </c>
      <c r="E4179" s="2">
        <v>6005.15</v>
      </c>
      <c r="F4179" s="2">
        <v>5947.3</v>
      </c>
      <c r="G4179" s="3">
        <f t="shared" si="197"/>
        <v>-4.7726701833716856E-4</v>
      </c>
      <c r="H4179" s="2">
        <f t="shared" si="195"/>
        <v>57.849999999999454</v>
      </c>
      <c r="I4179" s="3">
        <f t="shared" si="196"/>
        <v>9.6435953857437248E-3</v>
      </c>
    </row>
    <row r="4180" spans="2:9" x14ac:dyDescent="0.25">
      <c r="B4180" s="1">
        <v>41285</v>
      </c>
      <c r="C4180" s="2">
        <v>5951.3</v>
      </c>
      <c r="D4180" s="2">
        <v>6012.4</v>
      </c>
      <c r="E4180" s="2">
        <v>6018.85</v>
      </c>
      <c r="F4180" s="2">
        <v>5940.6</v>
      </c>
      <c r="G4180" s="3">
        <f t="shared" si="197"/>
        <v>-2.9068549839577074E-3</v>
      </c>
      <c r="H4180" s="2">
        <f t="shared" si="195"/>
        <v>78.25</v>
      </c>
      <c r="I4180" s="3">
        <f t="shared" si="196"/>
        <v>1.301476947641541E-2</v>
      </c>
    </row>
    <row r="4181" spans="2:9" x14ac:dyDescent="0.25">
      <c r="B4181" s="1">
        <v>41288</v>
      </c>
      <c r="C4181" s="2">
        <v>6024.05</v>
      </c>
      <c r="D4181" s="2">
        <v>5967.2</v>
      </c>
      <c r="E4181" s="2">
        <v>6036.9</v>
      </c>
      <c r="F4181" s="2">
        <v>5962.15</v>
      </c>
      <c r="G4181" s="3">
        <f t="shared" si="197"/>
        <v>1.2224219918337109E-2</v>
      </c>
      <c r="H4181" s="2">
        <f t="shared" si="195"/>
        <v>74.75</v>
      </c>
      <c r="I4181" s="3">
        <f t="shared" si="196"/>
        <v>1.2526813245743397E-2</v>
      </c>
    </row>
    <row r="4182" spans="2:9" x14ac:dyDescent="0.25">
      <c r="B4182" s="1">
        <v>41289</v>
      </c>
      <c r="C4182" s="2">
        <v>6056.6</v>
      </c>
      <c r="D4182" s="2">
        <v>6037.85</v>
      </c>
      <c r="E4182" s="2">
        <v>6068.5</v>
      </c>
      <c r="F4182" s="2">
        <v>6018.6</v>
      </c>
      <c r="G4182" s="3">
        <f t="shared" si="197"/>
        <v>5.4033416057304162E-3</v>
      </c>
      <c r="H4182" s="2">
        <f t="shared" si="195"/>
        <v>49.899999999999636</v>
      </c>
      <c r="I4182" s="3">
        <f t="shared" si="196"/>
        <v>8.2645312487060179E-3</v>
      </c>
    </row>
    <row r="4183" spans="2:9" x14ac:dyDescent="0.25">
      <c r="B4183" s="1">
        <v>41290</v>
      </c>
      <c r="C4183" s="2">
        <v>6001.85</v>
      </c>
      <c r="D4183" s="2">
        <v>6049</v>
      </c>
      <c r="E4183" s="2">
        <v>6055.95</v>
      </c>
      <c r="F4183" s="2">
        <v>5992.05</v>
      </c>
      <c r="G4183" s="3">
        <f t="shared" si="197"/>
        <v>-9.0397252583958032E-3</v>
      </c>
      <c r="H4183" s="2">
        <f t="shared" si="195"/>
        <v>63.899999999999636</v>
      </c>
      <c r="I4183" s="3">
        <f t="shared" si="196"/>
        <v>1.0563729542073011E-2</v>
      </c>
    </row>
    <row r="4184" spans="2:9" x14ac:dyDescent="0.25">
      <c r="B4184" s="1">
        <v>41291</v>
      </c>
      <c r="C4184" s="2">
        <v>6039.2</v>
      </c>
      <c r="D4184" s="2">
        <v>6001.25</v>
      </c>
      <c r="E4184" s="2">
        <v>6053.2</v>
      </c>
      <c r="F4184" s="2">
        <v>5988.1</v>
      </c>
      <c r="G4184" s="3">
        <f t="shared" si="197"/>
        <v>6.2230812166248484E-3</v>
      </c>
      <c r="H4184" s="2">
        <f t="shared" si="195"/>
        <v>65.099999999999454</v>
      </c>
      <c r="I4184" s="3">
        <f t="shared" si="196"/>
        <v>1.0847740054155293E-2</v>
      </c>
    </row>
    <row r="4185" spans="2:9" x14ac:dyDescent="0.25">
      <c r="B4185" s="1">
        <v>41292</v>
      </c>
      <c r="C4185" s="2">
        <v>6064.4</v>
      </c>
      <c r="D4185" s="2">
        <v>6059.85</v>
      </c>
      <c r="E4185" s="2">
        <v>6083.4</v>
      </c>
      <c r="F4185" s="2">
        <v>6048.3</v>
      </c>
      <c r="G4185" s="3">
        <f t="shared" si="197"/>
        <v>4.1727381110081563E-3</v>
      </c>
      <c r="H4185" s="2">
        <f t="shared" si="195"/>
        <v>35.099999999999454</v>
      </c>
      <c r="I4185" s="3">
        <f t="shared" si="196"/>
        <v>5.7922225797667351E-3</v>
      </c>
    </row>
    <row r="4186" spans="2:9" x14ac:dyDescent="0.25">
      <c r="B4186" s="1">
        <v>41295</v>
      </c>
      <c r="C4186" s="2">
        <v>6082.3</v>
      </c>
      <c r="D4186" s="2">
        <v>6085.75</v>
      </c>
      <c r="E4186" s="2">
        <v>6094.35</v>
      </c>
      <c r="F4186" s="2">
        <v>6065.1</v>
      </c>
      <c r="G4186" s="3">
        <f t="shared" si="197"/>
        <v>2.9516522656818367E-3</v>
      </c>
      <c r="H4186" s="2">
        <f t="shared" si="195"/>
        <v>29.25</v>
      </c>
      <c r="I4186" s="3">
        <f t="shared" si="196"/>
        <v>4.806309822125457E-3</v>
      </c>
    </row>
    <row r="4187" spans="2:9" x14ac:dyDescent="0.25">
      <c r="B4187" s="1">
        <v>41296</v>
      </c>
      <c r="C4187" s="2">
        <v>6048.5</v>
      </c>
      <c r="D4187" s="2">
        <v>6080.15</v>
      </c>
      <c r="E4187" s="2">
        <v>6101.3</v>
      </c>
      <c r="F4187" s="2">
        <v>6040.5</v>
      </c>
      <c r="G4187" s="3">
        <f t="shared" si="197"/>
        <v>-5.5571083307301983E-3</v>
      </c>
      <c r="H4187" s="2">
        <f t="shared" si="195"/>
        <v>60.800000000000182</v>
      </c>
      <c r="I4187" s="3">
        <f t="shared" si="196"/>
        <v>9.9997532955601737E-3</v>
      </c>
    </row>
    <row r="4188" spans="2:9" x14ac:dyDescent="0.25">
      <c r="B4188" s="1">
        <v>41297</v>
      </c>
      <c r="C4188" s="2">
        <v>6054.3</v>
      </c>
      <c r="D4188" s="2">
        <v>6052.85</v>
      </c>
      <c r="E4188" s="2">
        <v>6069.8</v>
      </c>
      <c r="F4188" s="2">
        <v>6021.15</v>
      </c>
      <c r="G4188" s="3">
        <f t="shared" si="197"/>
        <v>9.5891543357851106E-4</v>
      </c>
      <c r="H4188" s="2">
        <f t="shared" si="195"/>
        <v>48.650000000000546</v>
      </c>
      <c r="I4188" s="3">
        <f t="shared" si="196"/>
        <v>8.0375360367431117E-3</v>
      </c>
    </row>
    <row r="4189" spans="2:9" x14ac:dyDescent="0.25">
      <c r="B4189" s="1">
        <v>41298</v>
      </c>
      <c r="C4189" s="2">
        <v>6019.35</v>
      </c>
      <c r="D4189" s="2">
        <v>6046.2</v>
      </c>
      <c r="E4189" s="2">
        <v>6065.3</v>
      </c>
      <c r="F4189" s="2">
        <v>6007.85</v>
      </c>
      <c r="G4189" s="3">
        <f t="shared" si="197"/>
        <v>-5.7727565531935365E-3</v>
      </c>
      <c r="H4189" s="2">
        <f t="shared" si="195"/>
        <v>57.449999999999818</v>
      </c>
      <c r="I4189" s="3">
        <f t="shared" si="196"/>
        <v>9.5018358638483385E-3</v>
      </c>
    </row>
    <row r="4190" spans="2:9" x14ac:dyDescent="0.25">
      <c r="B4190" s="1">
        <v>41299</v>
      </c>
      <c r="C4190" s="2">
        <v>6074.65</v>
      </c>
      <c r="D4190" s="2">
        <v>6024.5</v>
      </c>
      <c r="E4190" s="2">
        <v>6080.55</v>
      </c>
      <c r="F4190" s="2">
        <v>6014.45</v>
      </c>
      <c r="G4190" s="3">
        <f t="shared" si="197"/>
        <v>9.1870384676084882E-3</v>
      </c>
      <c r="H4190" s="2">
        <f t="shared" si="195"/>
        <v>66.100000000000364</v>
      </c>
      <c r="I4190" s="3">
        <f t="shared" si="196"/>
        <v>1.0971864885052762E-2</v>
      </c>
    </row>
    <row r="4191" spans="2:9" x14ac:dyDescent="0.25">
      <c r="B4191" s="1">
        <v>41302</v>
      </c>
      <c r="C4191" s="2">
        <v>6074.8</v>
      </c>
      <c r="D4191" s="2">
        <v>6082.1</v>
      </c>
      <c r="E4191" s="2">
        <v>6088.4</v>
      </c>
      <c r="F4191" s="2">
        <v>6061.4</v>
      </c>
      <c r="G4191" s="3">
        <f t="shared" si="197"/>
        <v>2.4692780654200774E-5</v>
      </c>
      <c r="H4191" s="2">
        <f t="shared" si="195"/>
        <v>27</v>
      </c>
      <c r="I4191" s="3">
        <f t="shared" si="196"/>
        <v>4.4392561779648477E-3</v>
      </c>
    </row>
    <row r="4192" spans="2:9" x14ac:dyDescent="0.25">
      <c r="B4192" s="1">
        <v>41303</v>
      </c>
      <c r="C4192" s="2">
        <v>6049.9</v>
      </c>
      <c r="D4192" s="2">
        <v>6064.7</v>
      </c>
      <c r="E4192" s="2">
        <v>6111.8</v>
      </c>
      <c r="F4192" s="2">
        <v>6042.45</v>
      </c>
      <c r="G4192" s="3">
        <f t="shared" si="197"/>
        <v>-4.0989003753211239E-3</v>
      </c>
      <c r="H4192" s="2">
        <f t="shared" si="195"/>
        <v>69.350000000000364</v>
      </c>
      <c r="I4192" s="3">
        <f t="shared" si="196"/>
        <v>1.1435025640180119E-2</v>
      </c>
    </row>
    <row r="4193" spans="2:9" x14ac:dyDescent="0.25">
      <c r="B4193" s="1">
        <v>41304</v>
      </c>
      <c r="C4193" s="2">
        <v>6055.75</v>
      </c>
      <c r="D4193" s="2">
        <v>6065</v>
      </c>
      <c r="E4193" s="2">
        <v>6071.95</v>
      </c>
      <c r="F4193" s="2">
        <v>6044.15</v>
      </c>
      <c r="G4193" s="3">
        <f t="shared" si="197"/>
        <v>9.6695813153946375E-4</v>
      </c>
      <c r="H4193" s="2">
        <f t="shared" si="195"/>
        <v>27.800000000000182</v>
      </c>
      <c r="I4193" s="3">
        <f t="shared" si="196"/>
        <v>4.583676834295166E-3</v>
      </c>
    </row>
    <row r="4194" spans="2:9" x14ac:dyDescent="0.25">
      <c r="B4194" s="1">
        <v>41305</v>
      </c>
      <c r="C4194" s="2">
        <v>6034.75</v>
      </c>
      <c r="D4194" s="2">
        <v>6045.65</v>
      </c>
      <c r="E4194" s="2">
        <v>6058.05</v>
      </c>
      <c r="F4194" s="2">
        <v>6025.15</v>
      </c>
      <c r="G4194" s="3">
        <f t="shared" si="197"/>
        <v>-3.467778557569301E-3</v>
      </c>
      <c r="H4194" s="2">
        <f t="shared" si="195"/>
        <v>32.900000000000546</v>
      </c>
      <c r="I4194" s="3">
        <f t="shared" si="196"/>
        <v>5.4419293210821911E-3</v>
      </c>
    </row>
    <row r="4195" spans="2:9" x14ac:dyDescent="0.25">
      <c r="B4195" s="1">
        <v>41306</v>
      </c>
      <c r="C4195" s="2">
        <v>5998.9</v>
      </c>
      <c r="D4195" s="2">
        <v>6040.95</v>
      </c>
      <c r="E4195" s="2">
        <v>6052.95</v>
      </c>
      <c r="F4195" s="2">
        <v>5983.2</v>
      </c>
      <c r="G4195" s="3">
        <f t="shared" si="197"/>
        <v>-5.9405940594059459E-3</v>
      </c>
      <c r="H4195" s="2">
        <f t="shared" si="195"/>
        <v>69.75</v>
      </c>
      <c r="I4195" s="3">
        <f t="shared" si="196"/>
        <v>1.1546197204082139E-2</v>
      </c>
    </row>
    <row r="4196" spans="2:9" x14ac:dyDescent="0.25">
      <c r="B4196" s="1">
        <v>41309</v>
      </c>
      <c r="C4196" s="2">
        <v>5987.25</v>
      </c>
      <c r="D4196" s="2">
        <v>6025.2</v>
      </c>
      <c r="E4196" s="2">
        <v>6038.5</v>
      </c>
      <c r="F4196" s="2">
        <v>5981.25</v>
      </c>
      <c r="G4196" s="3">
        <f t="shared" si="197"/>
        <v>-1.9420227041623273E-3</v>
      </c>
      <c r="H4196" s="2">
        <f t="shared" si="195"/>
        <v>57.25</v>
      </c>
      <c r="I4196" s="3">
        <f t="shared" si="196"/>
        <v>9.5017592777003248E-3</v>
      </c>
    </row>
    <row r="4197" spans="2:9" x14ac:dyDescent="0.25">
      <c r="B4197" s="1">
        <v>41310</v>
      </c>
      <c r="C4197" s="2">
        <v>5956.9</v>
      </c>
      <c r="D4197" s="2">
        <v>5948.2</v>
      </c>
      <c r="E4197" s="2">
        <v>5970.35</v>
      </c>
      <c r="F4197" s="2">
        <v>5946.9</v>
      </c>
      <c r="G4197" s="3">
        <f t="shared" si="197"/>
        <v>-5.0691051818447797E-3</v>
      </c>
      <c r="H4197" s="2">
        <f t="shared" si="195"/>
        <v>23.450000000000728</v>
      </c>
      <c r="I4197" s="3">
        <f t="shared" si="196"/>
        <v>3.9423691200700592E-3</v>
      </c>
    </row>
    <row r="4198" spans="2:9" x14ac:dyDescent="0.25">
      <c r="B4198" s="1">
        <v>41311</v>
      </c>
      <c r="C4198" s="2">
        <v>5959.2</v>
      </c>
      <c r="D4198" s="2">
        <v>5988.05</v>
      </c>
      <c r="E4198" s="2">
        <v>5990.9</v>
      </c>
      <c r="F4198" s="2">
        <v>5953.15</v>
      </c>
      <c r="G4198" s="3">
        <f t="shared" si="197"/>
        <v>3.8610686766604729E-4</v>
      </c>
      <c r="H4198" s="2">
        <f t="shared" si="195"/>
        <v>37.75</v>
      </c>
      <c r="I4198" s="3">
        <f t="shared" si="196"/>
        <v>6.3042225766317917E-3</v>
      </c>
    </row>
    <row r="4199" spans="2:9" x14ac:dyDescent="0.25">
      <c r="B4199" s="1">
        <v>41312</v>
      </c>
      <c r="C4199" s="2">
        <v>5938.8</v>
      </c>
      <c r="D4199" s="2">
        <v>5936.45</v>
      </c>
      <c r="E4199" s="2">
        <v>5978.5</v>
      </c>
      <c r="F4199" s="2">
        <v>5927.6</v>
      </c>
      <c r="G4199" s="3">
        <f t="shared" si="197"/>
        <v>-3.4232782923881988E-3</v>
      </c>
      <c r="H4199" s="2">
        <f t="shared" si="195"/>
        <v>50.899999999999636</v>
      </c>
      <c r="I4199" s="3">
        <f t="shared" si="196"/>
        <v>8.5741478493038155E-3</v>
      </c>
    </row>
    <row r="4200" spans="2:9" x14ac:dyDescent="0.25">
      <c r="B4200" s="1">
        <v>41313</v>
      </c>
      <c r="C4200" s="2">
        <v>5903.5</v>
      </c>
      <c r="D4200" s="2">
        <v>5929.1</v>
      </c>
      <c r="E4200" s="2">
        <v>5953.7</v>
      </c>
      <c r="F4200" s="2">
        <v>5883.65</v>
      </c>
      <c r="G4200" s="3">
        <f t="shared" si="197"/>
        <v>-5.9439617431130687E-3</v>
      </c>
      <c r="H4200" s="2">
        <f t="shared" si="195"/>
        <v>70.050000000000182</v>
      </c>
      <c r="I4200" s="3">
        <f t="shared" si="196"/>
        <v>1.1814609299893775E-2</v>
      </c>
    </row>
    <row r="4201" spans="2:9" x14ac:dyDescent="0.25">
      <c r="B4201" s="1">
        <v>41316</v>
      </c>
      <c r="C4201" s="2">
        <v>5897.85</v>
      </c>
      <c r="D4201" s="2">
        <v>5920.05</v>
      </c>
      <c r="E4201" s="2">
        <v>5924.15</v>
      </c>
      <c r="F4201" s="2">
        <v>5879.1</v>
      </c>
      <c r="G4201" s="3">
        <f t="shared" si="197"/>
        <v>-9.5705937155921017E-4</v>
      </c>
      <c r="H4201" s="2">
        <f t="shared" si="195"/>
        <v>45.049999999999272</v>
      </c>
      <c r="I4201" s="3">
        <f t="shared" si="196"/>
        <v>7.6097330259033745E-3</v>
      </c>
    </row>
    <row r="4202" spans="2:9" x14ac:dyDescent="0.25">
      <c r="B4202" s="1">
        <v>41317</v>
      </c>
      <c r="C4202" s="2">
        <v>5922.5</v>
      </c>
      <c r="D4202" s="2">
        <v>5894.35</v>
      </c>
      <c r="E4202" s="2">
        <v>5927.65</v>
      </c>
      <c r="F4202" s="2">
        <v>5886.45</v>
      </c>
      <c r="G4202" s="3">
        <f t="shared" si="197"/>
        <v>4.1794891358715169E-3</v>
      </c>
      <c r="H4202" s="2">
        <f t="shared" si="195"/>
        <v>41.199999999999818</v>
      </c>
      <c r="I4202" s="3">
        <f t="shared" si="196"/>
        <v>6.9897444162630006E-3</v>
      </c>
    </row>
    <row r="4203" spans="2:9" x14ac:dyDescent="0.25">
      <c r="B4203" s="1">
        <v>41318</v>
      </c>
      <c r="C4203" s="2">
        <v>5932.95</v>
      </c>
      <c r="D4203" s="2">
        <v>5943.15</v>
      </c>
      <c r="E4203" s="2">
        <v>5969.5</v>
      </c>
      <c r="F4203" s="2">
        <v>5922.95</v>
      </c>
      <c r="G4203" s="3">
        <f t="shared" si="197"/>
        <v>1.7644575770368043E-3</v>
      </c>
      <c r="H4203" s="2">
        <f t="shared" si="195"/>
        <v>46.550000000000182</v>
      </c>
      <c r="I4203" s="3">
        <f t="shared" si="196"/>
        <v>7.8325467134432395E-3</v>
      </c>
    </row>
    <row r="4204" spans="2:9" x14ac:dyDescent="0.25">
      <c r="B4204" s="1">
        <v>41319</v>
      </c>
      <c r="C4204" s="2">
        <v>5896.95</v>
      </c>
      <c r="D4204" s="2">
        <v>5933.2</v>
      </c>
      <c r="E4204" s="2">
        <v>5940.2</v>
      </c>
      <c r="F4204" s="2">
        <v>5884.55</v>
      </c>
      <c r="G4204" s="3">
        <f t="shared" si="197"/>
        <v>-6.06780775162441E-3</v>
      </c>
      <c r="H4204" s="2">
        <f t="shared" si="195"/>
        <v>55.649999999999636</v>
      </c>
      <c r="I4204" s="3">
        <f t="shared" si="196"/>
        <v>9.3794242567248089E-3</v>
      </c>
    </row>
    <row r="4205" spans="2:9" x14ac:dyDescent="0.25">
      <c r="B4205" s="1">
        <v>41320</v>
      </c>
      <c r="C4205" s="2">
        <v>5887.4</v>
      </c>
      <c r="D4205" s="2">
        <v>5869.95</v>
      </c>
      <c r="E4205" s="2">
        <v>5899.95</v>
      </c>
      <c r="F4205" s="2">
        <v>5853.9</v>
      </c>
      <c r="G4205" s="3">
        <f t="shared" si="197"/>
        <v>-1.6194812572601913E-3</v>
      </c>
      <c r="H4205" s="2">
        <f t="shared" si="195"/>
        <v>46.050000000000182</v>
      </c>
      <c r="I4205" s="3">
        <f t="shared" si="196"/>
        <v>7.845041269516807E-3</v>
      </c>
    </row>
    <row r="4206" spans="2:9" x14ac:dyDescent="0.25">
      <c r="B4206" s="1">
        <v>41323</v>
      </c>
      <c r="C4206" s="2">
        <v>5898.2</v>
      </c>
      <c r="D4206" s="2">
        <v>5888.65</v>
      </c>
      <c r="E4206" s="2">
        <v>5911</v>
      </c>
      <c r="F4206" s="2">
        <v>5878.45</v>
      </c>
      <c r="G4206" s="3">
        <f t="shared" si="197"/>
        <v>1.8344260624385544E-3</v>
      </c>
      <c r="H4206" s="2">
        <f t="shared" si="195"/>
        <v>32.550000000000182</v>
      </c>
      <c r="I4206" s="3">
        <f t="shared" si="196"/>
        <v>5.5275827226953858E-3</v>
      </c>
    </row>
    <row r="4207" spans="2:9" x14ac:dyDescent="0.25">
      <c r="B4207" s="1">
        <v>41324</v>
      </c>
      <c r="C4207" s="2">
        <v>5939.7</v>
      </c>
      <c r="D4207" s="2">
        <v>5900.2</v>
      </c>
      <c r="E4207" s="2">
        <v>5947.55</v>
      </c>
      <c r="F4207" s="2">
        <v>5883.15</v>
      </c>
      <c r="G4207" s="3">
        <f t="shared" si="197"/>
        <v>7.0360448950528287E-3</v>
      </c>
      <c r="H4207" s="2">
        <f t="shared" si="195"/>
        <v>64.400000000000546</v>
      </c>
      <c r="I4207" s="3">
        <f t="shared" si="196"/>
        <v>1.0914884241212255E-2</v>
      </c>
    </row>
    <row r="4208" spans="2:9" x14ac:dyDescent="0.25">
      <c r="B4208" s="1">
        <v>41325</v>
      </c>
      <c r="C4208" s="2">
        <v>5943.05</v>
      </c>
      <c r="D4208" s="2">
        <v>5966.3</v>
      </c>
      <c r="E4208" s="2">
        <v>5971</v>
      </c>
      <c r="F4208" s="2">
        <v>5937.55</v>
      </c>
      <c r="G4208" s="3">
        <f t="shared" si="197"/>
        <v>5.6400154889990617E-4</v>
      </c>
      <c r="H4208" s="2">
        <f t="shared" si="195"/>
        <v>33.449999999999818</v>
      </c>
      <c r="I4208" s="3">
        <f t="shared" si="196"/>
        <v>5.6064897842883895E-3</v>
      </c>
    </row>
    <row r="4209" spans="2:9" x14ac:dyDescent="0.25">
      <c r="B4209" s="1">
        <v>41326</v>
      </c>
      <c r="C4209" s="2">
        <v>5852.25</v>
      </c>
      <c r="D4209" s="2">
        <v>5909.65</v>
      </c>
      <c r="E4209" s="2">
        <v>5921.15</v>
      </c>
      <c r="F4209" s="2">
        <v>5844.4</v>
      </c>
      <c r="G4209" s="3">
        <f t="shared" si="197"/>
        <v>-1.5278350341996094E-2</v>
      </c>
      <c r="H4209" s="2">
        <f t="shared" si="195"/>
        <v>76.75</v>
      </c>
      <c r="I4209" s="3">
        <f t="shared" si="196"/>
        <v>1.2987232746440145E-2</v>
      </c>
    </row>
    <row r="4210" spans="2:9" x14ac:dyDescent="0.25">
      <c r="B4210" s="1">
        <v>41327</v>
      </c>
      <c r="C4210" s="2">
        <v>5850.3</v>
      </c>
      <c r="D4210" s="2">
        <v>5837.95</v>
      </c>
      <c r="E4210" s="2">
        <v>5873.8</v>
      </c>
      <c r="F4210" s="2">
        <v>5835.8</v>
      </c>
      <c r="G4210" s="3">
        <f t="shared" si="197"/>
        <v>-3.3320517749579892E-4</v>
      </c>
      <c r="H4210" s="2">
        <f t="shared" si="195"/>
        <v>38</v>
      </c>
      <c r="I4210" s="3">
        <f t="shared" si="196"/>
        <v>6.5091341995049635E-3</v>
      </c>
    </row>
    <row r="4211" spans="2:9" x14ac:dyDescent="0.25">
      <c r="B4211" s="1">
        <v>41330</v>
      </c>
      <c r="C4211" s="2">
        <v>5854.75</v>
      </c>
      <c r="D4211" s="2">
        <v>5870.55</v>
      </c>
      <c r="E4211" s="2">
        <v>5878.4</v>
      </c>
      <c r="F4211" s="2">
        <v>5825</v>
      </c>
      <c r="G4211" s="3">
        <f t="shared" si="197"/>
        <v>7.6064475326043102E-4</v>
      </c>
      <c r="H4211" s="2">
        <f t="shared" si="195"/>
        <v>53.399999999999636</v>
      </c>
      <c r="I4211" s="3">
        <f t="shared" si="196"/>
        <v>9.0962516288933121E-3</v>
      </c>
    </row>
    <row r="4212" spans="2:9" x14ac:dyDescent="0.25">
      <c r="B4212" s="1">
        <v>41331</v>
      </c>
      <c r="C4212" s="2">
        <v>5761.35</v>
      </c>
      <c r="D4212" s="2">
        <v>5838.3</v>
      </c>
      <c r="E4212" s="2">
        <v>5838.85</v>
      </c>
      <c r="F4212" s="2">
        <v>5748.6</v>
      </c>
      <c r="G4212" s="3">
        <f t="shared" si="197"/>
        <v>-1.5952858789871405E-2</v>
      </c>
      <c r="H4212" s="2">
        <f t="shared" si="195"/>
        <v>90.25</v>
      </c>
      <c r="I4212" s="3">
        <f t="shared" si="196"/>
        <v>1.5458266961272973E-2</v>
      </c>
    </row>
    <row r="4213" spans="2:9" x14ac:dyDescent="0.25">
      <c r="B4213" s="1">
        <v>41332</v>
      </c>
      <c r="C4213" s="2">
        <v>5796.9</v>
      </c>
      <c r="D4213" s="2">
        <v>5784.9</v>
      </c>
      <c r="E4213" s="2">
        <v>5818.2</v>
      </c>
      <c r="F4213" s="2">
        <v>5749.7</v>
      </c>
      <c r="G4213" s="3">
        <f t="shared" si="197"/>
        <v>6.1704288057484735E-3</v>
      </c>
      <c r="H4213" s="2">
        <f t="shared" si="195"/>
        <v>68.5</v>
      </c>
      <c r="I4213" s="3">
        <f t="shared" si="196"/>
        <v>1.1841172708257706E-2</v>
      </c>
    </row>
    <row r="4214" spans="2:9" x14ac:dyDescent="0.25">
      <c r="B4214" s="1">
        <v>41333</v>
      </c>
      <c r="C4214" s="2">
        <v>5693.05</v>
      </c>
      <c r="D4214" s="2">
        <v>5834.35</v>
      </c>
      <c r="E4214" s="2">
        <v>5849.9</v>
      </c>
      <c r="F4214" s="2">
        <v>5671.9</v>
      </c>
      <c r="G4214" s="3">
        <f t="shared" si="197"/>
        <v>-1.7914747537476794E-2</v>
      </c>
      <c r="H4214" s="2">
        <f t="shared" si="195"/>
        <v>178</v>
      </c>
      <c r="I4214" s="3">
        <f t="shared" si="196"/>
        <v>3.0508968436929563E-2</v>
      </c>
    </row>
    <row r="4215" spans="2:9" x14ac:dyDescent="0.25">
      <c r="B4215" s="1">
        <v>41334</v>
      </c>
      <c r="C4215" s="2">
        <v>5719.7</v>
      </c>
      <c r="D4215" s="2">
        <v>5702.45</v>
      </c>
      <c r="E4215" s="2">
        <v>5739.45</v>
      </c>
      <c r="F4215" s="2">
        <v>5679.9</v>
      </c>
      <c r="G4215" s="3">
        <f t="shared" si="197"/>
        <v>4.6811463099742934E-3</v>
      </c>
      <c r="H4215" s="2">
        <f t="shared" si="195"/>
        <v>59.550000000000182</v>
      </c>
      <c r="I4215" s="3">
        <f t="shared" si="196"/>
        <v>1.0442879814816472E-2</v>
      </c>
    </row>
    <row r="4216" spans="2:9" x14ac:dyDescent="0.25">
      <c r="B4216" s="1">
        <v>41337</v>
      </c>
      <c r="C4216" s="2">
        <v>5698.5</v>
      </c>
      <c r="D4216" s="2">
        <v>5704.7</v>
      </c>
      <c r="E4216" s="2">
        <v>5712</v>
      </c>
      <c r="F4216" s="2">
        <v>5663.6</v>
      </c>
      <c r="G4216" s="3">
        <f t="shared" si="197"/>
        <v>-3.7064881025228313E-3</v>
      </c>
      <c r="H4216" s="2">
        <f t="shared" si="195"/>
        <v>48.399999999999636</v>
      </c>
      <c r="I4216" s="3">
        <f t="shared" si="196"/>
        <v>8.484232299682655E-3</v>
      </c>
    </row>
    <row r="4217" spans="2:9" x14ac:dyDescent="0.25">
      <c r="B4217" s="1">
        <v>41338</v>
      </c>
      <c r="C4217" s="2">
        <v>5784.25</v>
      </c>
      <c r="D4217" s="2">
        <v>5722.45</v>
      </c>
      <c r="E4217" s="2">
        <v>5790.1</v>
      </c>
      <c r="F4217" s="2">
        <v>5722.4</v>
      </c>
      <c r="G4217" s="3">
        <f t="shared" si="197"/>
        <v>1.504781960164947E-2</v>
      </c>
      <c r="H4217" s="2">
        <f t="shared" si="195"/>
        <v>67.700000000000728</v>
      </c>
      <c r="I4217" s="3">
        <f t="shared" si="196"/>
        <v>1.1830597034487104E-2</v>
      </c>
    </row>
    <row r="4218" spans="2:9" x14ac:dyDescent="0.25">
      <c r="B4218" s="1">
        <v>41339</v>
      </c>
      <c r="C4218" s="2">
        <v>5818.6</v>
      </c>
      <c r="D4218" s="2">
        <v>5816.4</v>
      </c>
      <c r="E4218" s="2">
        <v>5828.7</v>
      </c>
      <c r="F4218" s="2">
        <v>5795.05</v>
      </c>
      <c r="G4218" s="3">
        <f t="shared" si="197"/>
        <v>5.9385400008644673E-3</v>
      </c>
      <c r="H4218" s="2">
        <f t="shared" si="195"/>
        <v>33.649999999999636</v>
      </c>
      <c r="I4218" s="3">
        <f t="shared" si="196"/>
        <v>5.7853655181898831E-3</v>
      </c>
    </row>
    <row r="4219" spans="2:9" x14ac:dyDescent="0.25">
      <c r="B4219" s="1">
        <v>41340</v>
      </c>
      <c r="C4219" s="2">
        <v>5863.3</v>
      </c>
      <c r="D4219" s="2">
        <v>5801.3</v>
      </c>
      <c r="E4219" s="2">
        <v>5878</v>
      </c>
      <c r="F4219" s="2">
        <v>5801.3</v>
      </c>
      <c r="G4219" s="3">
        <f t="shared" si="197"/>
        <v>7.6822603375381604E-3</v>
      </c>
      <c r="H4219" s="2">
        <f t="shared" si="195"/>
        <v>76.699999999999818</v>
      </c>
      <c r="I4219" s="3">
        <f t="shared" si="196"/>
        <v>1.3221174564321758E-2</v>
      </c>
    </row>
    <row r="4220" spans="2:9" x14ac:dyDescent="0.25">
      <c r="B4220" s="1">
        <v>41341</v>
      </c>
      <c r="C4220" s="2">
        <v>5945.7</v>
      </c>
      <c r="D4220" s="2">
        <v>5883.65</v>
      </c>
      <c r="E4220" s="2">
        <v>5952.85</v>
      </c>
      <c r="F4220" s="2">
        <v>5883</v>
      </c>
      <c r="G4220" s="3">
        <f t="shared" si="197"/>
        <v>1.4053519349171983E-2</v>
      </c>
      <c r="H4220" s="2">
        <f t="shared" si="195"/>
        <v>69.850000000000364</v>
      </c>
      <c r="I4220" s="3">
        <f t="shared" si="196"/>
        <v>1.1871882249963946E-2</v>
      </c>
    </row>
    <row r="4221" spans="2:9" x14ac:dyDescent="0.25">
      <c r="B4221" s="1">
        <v>41344</v>
      </c>
      <c r="C4221" s="2">
        <v>5942.35</v>
      </c>
      <c r="D4221" s="2">
        <v>5946.1</v>
      </c>
      <c r="E4221" s="2">
        <v>5971.2</v>
      </c>
      <c r="F4221" s="2">
        <v>5930.35</v>
      </c>
      <c r="G4221" s="3">
        <f t="shared" si="197"/>
        <v>-5.6343239652179022E-4</v>
      </c>
      <c r="H4221" s="2">
        <f t="shared" si="195"/>
        <v>40.849999999999454</v>
      </c>
      <c r="I4221" s="3">
        <f t="shared" si="196"/>
        <v>6.8700492759959392E-3</v>
      </c>
    </row>
    <row r="4222" spans="2:9" x14ac:dyDescent="0.25">
      <c r="B4222" s="1">
        <v>41345</v>
      </c>
      <c r="C4222" s="2">
        <v>5914.1</v>
      </c>
      <c r="D4222" s="2">
        <v>5944.6</v>
      </c>
      <c r="E4222" s="2">
        <v>5952</v>
      </c>
      <c r="F4222" s="2">
        <v>5893.65</v>
      </c>
      <c r="G4222" s="3">
        <f t="shared" si="197"/>
        <v>-4.7540114601125616E-3</v>
      </c>
      <c r="H4222" s="2">
        <f t="shared" si="195"/>
        <v>58.350000000000364</v>
      </c>
      <c r="I4222" s="3">
        <f t="shared" si="196"/>
        <v>9.8156309928338938E-3</v>
      </c>
    </row>
    <row r="4223" spans="2:9" x14ac:dyDescent="0.25">
      <c r="B4223" s="1">
        <v>41346</v>
      </c>
      <c r="C4223" s="2">
        <v>5851.2</v>
      </c>
      <c r="D4223" s="2">
        <v>5884.8</v>
      </c>
      <c r="E4223" s="2">
        <v>5893.85</v>
      </c>
      <c r="F4223" s="2">
        <v>5842.25</v>
      </c>
      <c r="G4223" s="3">
        <f t="shared" si="197"/>
        <v>-1.0635599668588736E-2</v>
      </c>
      <c r="H4223" s="2">
        <f t="shared" si="195"/>
        <v>51.600000000000364</v>
      </c>
      <c r="I4223" s="3">
        <f t="shared" si="196"/>
        <v>8.7683523654160482E-3</v>
      </c>
    </row>
    <row r="4224" spans="2:9" x14ac:dyDescent="0.25">
      <c r="B4224" s="1">
        <v>41347</v>
      </c>
      <c r="C4224" s="2">
        <v>5908.95</v>
      </c>
      <c r="D4224" s="2">
        <v>5845.95</v>
      </c>
      <c r="E4224" s="2">
        <v>5920.15</v>
      </c>
      <c r="F4224" s="2">
        <v>5791.75</v>
      </c>
      <c r="G4224" s="3">
        <f t="shared" si="197"/>
        <v>9.8697703035275364E-3</v>
      </c>
      <c r="H4224" s="2">
        <f t="shared" si="195"/>
        <v>128.39999999999964</v>
      </c>
      <c r="I4224" s="3">
        <f t="shared" si="196"/>
        <v>2.1963923742077788E-2</v>
      </c>
    </row>
    <row r="4225" spans="2:9" x14ac:dyDescent="0.25">
      <c r="B4225" s="1">
        <v>41348</v>
      </c>
      <c r="C4225" s="2">
        <v>5872.6</v>
      </c>
      <c r="D4225" s="2">
        <v>5914.9</v>
      </c>
      <c r="E4225" s="2">
        <v>5945.65</v>
      </c>
      <c r="F4225" s="2">
        <v>5861</v>
      </c>
      <c r="G4225" s="3">
        <f t="shared" si="197"/>
        <v>-6.1516851555689644E-3</v>
      </c>
      <c r="H4225" s="2">
        <f t="shared" si="195"/>
        <v>84.649999999999636</v>
      </c>
      <c r="I4225" s="3">
        <f t="shared" si="196"/>
        <v>1.43113154913861E-2</v>
      </c>
    </row>
    <row r="4226" spans="2:9" x14ac:dyDescent="0.25">
      <c r="B4226" s="1">
        <v>41351</v>
      </c>
      <c r="C4226" s="2">
        <v>5835.25</v>
      </c>
      <c r="D4226" s="2">
        <v>5816.75</v>
      </c>
      <c r="E4226" s="2">
        <v>5850.2</v>
      </c>
      <c r="F4226" s="2">
        <v>5814.35</v>
      </c>
      <c r="G4226" s="3">
        <f t="shared" si="197"/>
        <v>-6.3600449545346827E-3</v>
      </c>
      <c r="H4226" s="2">
        <f t="shared" si="195"/>
        <v>35.849999999999454</v>
      </c>
      <c r="I4226" s="3">
        <f t="shared" si="196"/>
        <v>6.1632354837322309E-3</v>
      </c>
    </row>
    <row r="4227" spans="2:9" x14ac:dyDescent="0.25">
      <c r="B4227" s="1">
        <v>41352</v>
      </c>
      <c r="C4227" s="2">
        <v>5745.95</v>
      </c>
      <c r="D4227" s="2">
        <v>5859.5</v>
      </c>
      <c r="E4227" s="2">
        <v>5863.6</v>
      </c>
      <c r="F4227" s="2">
        <v>5724.3</v>
      </c>
      <c r="G4227" s="3">
        <f t="shared" si="197"/>
        <v>-1.5303543121545804E-2</v>
      </c>
      <c r="H4227" s="2">
        <f t="shared" si="195"/>
        <v>139.30000000000018</v>
      </c>
      <c r="I4227" s="3">
        <f t="shared" si="196"/>
        <v>2.3773359501663996E-2</v>
      </c>
    </row>
    <row r="4228" spans="2:9" x14ac:dyDescent="0.25">
      <c r="B4228" s="1">
        <v>41353</v>
      </c>
      <c r="C4228" s="2">
        <v>5694.4</v>
      </c>
      <c r="D4228" s="2">
        <v>5740.55</v>
      </c>
      <c r="E4228" s="2">
        <v>5745.3</v>
      </c>
      <c r="F4228" s="2">
        <v>5682.3</v>
      </c>
      <c r="G4228" s="3">
        <f t="shared" si="197"/>
        <v>-8.9715364735161174E-3</v>
      </c>
      <c r="H4228" s="2">
        <f t="shared" si="195"/>
        <v>63</v>
      </c>
      <c r="I4228" s="3">
        <f t="shared" si="196"/>
        <v>1.0974558186933308E-2</v>
      </c>
    </row>
    <row r="4229" spans="2:9" x14ac:dyDescent="0.25">
      <c r="B4229" s="1">
        <v>41354</v>
      </c>
      <c r="C4229" s="2">
        <v>5658.75</v>
      </c>
      <c r="D4229" s="2">
        <v>5705.9</v>
      </c>
      <c r="E4229" s="2">
        <v>5757.75</v>
      </c>
      <c r="F4229" s="2">
        <v>5647.95</v>
      </c>
      <c r="G4229" s="3">
        <f t="shared" si="197"/>
        <v>-6.2605366676031782E-3</v>
      </c>
      <c r="H4229" s="2">
        <f t="shared" ref="H4229:H4292" si="198">E4229-F4229</f>
        <v>109.80000000000018</v>
      </c>
      <c r="I4229" s="3">
        <f t="shared" si="196"/>
        <v>1.9243239453898629E-2</v>
      </c>
    </row>
    <row r="4230" spans="2:9" x14ac:dyDescent="0.25">
      <c r="B4230" s="1">
        <v>41355</v>
      </c>
      <c r="C4230" s="2">
        <v>5651.35</v>
      </c>
      <c r="D4230" s="2">
        <v>5659.8</v>
      </c>
      <c r="E4230" s="2">
        <v>5691.45</v>
      </c>
      <c r="F4230" s="2">
        <v>5631.8</v>
      </c>
      <c r="G4230" s="3">
        <f t="shared" si="197"/>
        <v>-1.3077092997569872E-3</v>
      </c>
      <c r="H4230" s="2">
        <f t="shared" si="198"/>
        <v>59.649999999999636</v>
      </c>
      <c r="I4230" s="3">
        <f t="shared" ref="I4230:I4293" si="199">H4230/D4230</f>
        <v>1.0539241669316872E-2</v>
      </c>
    </row>
    <row r="4231" spans="2:9" x14ac:dyDescent="0.25">
      <c r="B4231" s="1">
        <v>41358</v>
      </c>
      <c r="C4231" s="2">
        <v>5633.85</v>
      </c>
      <c r="D4231" s="2">
        <v>5707.3</v>
      </c>
      <c r="E4231" s="2">
        <v>5718.4</v>
      </c>
      <c r="F4231" s="2">
        <v>5624.4</v>
      </c>
      <c r="G4231" s="3">
        <f t="shared" ref="G4231:G4294" si="200">C4231/C4230-1</f>
        <v>-3.0966052359170382E-3</v>
      </c>
      <c r="H4231" s="2">
        <f t="shared" si="198"/>
        <v>94</v>
      </c>
      <c r="I4231" s="3">
        <f t="shared" si="199"/>
        <v>1.6470134739719307E-2</v>
      </c>
    </row>
    <row r="4232" spans="2:9" x14ac:dyDescent="0.25">
      <c r="B4232" s="1">
        <v>41359</v>
      </c>
      <c r="C4232" s="2">
        <v>5641.6</v>
      </c>
      <c r="D4232" s="2">
        <v>5613.75</v>
      </c>
      <c r="E4232" s="2">
        <v>5655.3</v>
      </c>
      <c r="F4232" s="2">
        <v>5612.05</v>
      </c>
      <c r="G4232" s="3">
        <f t="shared" si="200"/>
        <v>1.3756134792370922E-3</v>
      </c>
      <c r="H4232" s="2">
        <f t="shared" si="198"/>
        <v>43.25</v>
      </c>
      <c r="I4232" s="3">
        <f t="shared" si="199"/>
        <v>7.7042974838566021E-3</v>
      </c>
    </row>
    <row r="4233" spans="2:9" x14ac:dyDescent="0.25">
      <c r="B4233" s="1">
        <v>41361</v>
      </c>
      <c r="C4233" s="2">
        <v>5682.55</v>
      </c>
      <c r="D4233" s="2">
        <v>5647.75</v>
      </c>
      <c r="E4233" s="2">
        <v>5692.95</v>
      </c>
      <c r="F4233" s="2">
        <v>5604.85</v>
      </c>
      <c r="G4233" s="3">
        <f t="shared" si="200"/>
        <v>7.2585791264889732E-3</v>
      </c>
      <c r="H4233" s="2">
        <f t="shared" si="198"/>
        <v>88.099999999999454</v>
      </c>
      <c r="I4233" s="3">
        <f t="shared" si="199"/>
        <v>1.5599132397857457E-2</v>
      </c>
    </row>
    <row r="4234" spans="2:9" x14ac:dyDescent="0.25">
      <c r="B4234" s="1">
        <v>41365</v>
      </c>
      <c r="C4234" s="2">
        <v>5704.4</v>
      </c>
      <c r="D4234" s="2">
        <v>5697.35</v>
      </c>
      <c r="E4234" s="2">
        <v>5720.95</v>
      </c>
      <c r="F4234" s="2">
        <v>5675.9</v>
      </c>
      <c r="G4234" s="3">
        <f t="shared" si="200"/>
        <v>3.8451047505081437E-3</v>
      </c>
      <c r="H4234" s="2">
        <f t="shared" si="198"/>
        <v>45.050000000000182</v>
      </c>
      <c r="I4234" s="3">
        <f t="shared" si="199"/>
        <v>7.9071849193046197E-3</v>
      </c>
    </row>
    <row r="4235" spans="2:9" x14ac:dyDescent="0.25">
      <c r="B4235" s="1">
        <v>41366</v>
      </c>
      <c r="C4235" s="2">
        <v>5748.1</v>
      </c>
      <c r="D4235" s="2">
        <v>5701.7</v>
      </c>
      <c r="E4235" s="2">
        <v>5754.6</v>
      </c>
      <c r="F4235" s="2">
        <v>5687.15</v>
      </c>
      <c r="G4235" s="3">
        <f t="shared" si="200"/>
        <v>7.6607531028680675E-3</v>
      </c>
      <c r="H4235" s="2">
        <f t="shared" si="198"/>
        <v>67.450000000000728</v>
      </c>
      <c r="I4235" s="3">
        <f t="shared" si="199"/>
        <v>1.1829805145833826E-2</v>
      </c>
    </row>
    <row r="4236" spans="2:9" x14ac:dyDescent="0.25">
      <c r="B4236" s="1">
        <v>41367</v>
      </c>
      <c r="C4236" s="2">
        <v>5672.9</v>
      </c>
      <c r="D4236" s="2">
        <v>5740.2</v>
      </c>
      <c r="E4236" s="2">
        <v>5744.95</v>
      </c>
      <c r="F4236" s="2">
        <v>5650.1</v>
      </c>
      <c r="G4236" s="3">
        <f t="shared" si="200"/>
        <v>-1.3082583810302695E-2</v>
      </c>
      <c r="H4236" s="2">
        <f t="shared" si="198"/>
        <v>94.849999999999454</v>
      </c>
      <c r="I4236" s="3">
        <f t="shared" si="199"/>
        <v>1.6523814501236796E-2</v>
      </c>
    </row>
    <row r="4237" spans="2:9" x14ac:dyDescent="0.25">
      <c r="B4237" s="1">
        <v>41368</v>
      </c>
      <c r="C4237" s="2">
        <v>5574.75</v>
      </c>
      <c r="D4237" s="2">
        <v>5640.65</v>
      </c>
      <c r="E4237" s="2">
        <v>5644.45</v>
      </c>
      <c r="F4237" s="2">
        <v>5565.65</v>
      </c>
      <c r="G4237" s="3">
        <f t="shared" si="200"/>
        <v>-1.73015565231186E-2</v>
      </c>
      <c r="H4237" s="2">
        <f t="shared" si="198"/>
        <v>78.800000000000182</v>
      </c>
      <c r="I4237" s="3">
        <f t="shared" si="199"/>
        <v>1.3970021185501703E-2</v>
      </c>
    </row>
    <row r="4238" spans="2:9" x14ac:dyDescent="0.25">
      <c r="B4238" s="1">
        <v>41369</v>
      </c>
      <c r="C4238" s="2">
        <v>5553.25</v>
      </c>
      <c r="D4238" s="2">
        <v>5568.1</v>
      </c>
      <c r="E4238" s="2">
        <v>5577.3</v>
      </c>
      <c r="F4238" s="2">
        <v>5534.7</v>
      </c>
      <c r="G4238" s="3">
        <f t="shared" si="200"/>
        <v>-3.856675187228098E-3</v>
      </c>
      <c r="H4238" s="2">
        <f t="shared" si="198"/>
        <v>42.600000000000364</v>
      </c>
      <c r="I4238" s="3">
        <f t="shared" si="199"/>
        <v>7.6507246637094089E-3</v>
      </c>
    </row>
    <row r="4239" spans="2:9" x14ac:dyDescent="0.25">
      <c r="B4239" s="1">
        <v>41372</v>
      </c>
      <c r="C4239" s="2">
        <v>5542.95</v>
      </c>
      <c r="D4239" s="2">
        <v>5550.5</v>
      </c>
      <c r="E4239" s="2">
        <v>5569.2</v>
      </c>
      <c r="F4239" s="2">
        <v>5537.05</v>
      </c>
      <c r="G4239" s="3">
        <f t="shared" si="200"/>
        <v>-1.8547697294377663E-3</v>
      </c>
      <c r="H4239" s="2">
        <f t="shared" si="198"/>
        <v>32.149999999999636</v>
      </c>
      <c r="I4239" s="3">
        <f t="shared" si="199"/>
        <v>5.7922709665795217E-3</v>
      </c>
    </row>
    <row r="4240" spans="2:9" x14ac:dyDescent="0.25">
      <c r="B4240" s="1">
        <v>41373</v>
      </c>
      <c r="C4240" s="2">
        <v>5495.1</v>
      </c>
      <c r="D4240" s="2">
        <v>5568.75</v>
      </c>
      <c r="E4240" s="2">
        <v>5603.05</v>
      </c>
      <c r="F4240" s="2">
        <v>5487</v>
      </c>
      <c r="G4240" s="3">
        <f t="shared" si="200"/>
        <v>-8.6325873406758458E-3</v>
      </c>
      <c r="H4240" s="2">
        <f t="shared" si="198"/>
        <v>116.05000000000018</v>
      </c>
      <c r="I4240" s="3">
        <f t="shared" si="199"/>
        <v>2.0839506172839539E-2</v>
      </c>
    </row>
    <row r="4241" spans="2:9" x14ac:dyDescent="0.25">
      <c r="B4241" s="1">
        <v>41374</v>
      </c>
      <c r="C4241" s="2">
        <v>5558.7</v>
      </c>
      <c r="D4241" s="2">
        <v>5536.25</v>
      </c>
      <c r="E4241" s="2">
        <v>5569.25</v>
      </c>
      <c r="F4241" s="2">
        <v>5477.2</v>
      </c>
      <c r="G4241" s="3">
        <f t="shared" si="200"/>
        <v>1.1573947698858777E-2</v>
      </c>
      <c r="H4241" s="2">
        <f t="shared" si="198"/>
        <v>92.050000000000182</v>
      </c>
      <c r="I4241" s="3">
        <f t="shared" si="199"/>
        <v>1.6626778053736767E-2</v>
      </c>
    </row>
    <row r="4242" spans="2:9" x14ac:dyDescent="0.25">
      <c r="B4242" s="1">
        <v>41375</v>
      </c>
      <c r="C4242" s="2">
        <v>5594</v>
      </c>
      <c r="D4242" s="2">
        <v>5601.65</v>
      </c>
      <c r="E4242" s="2">
        <v>5610.65</v>
      </c>
      <c r="F4242" s="2">
        <v>5542.85</v>
      </c>
      <c r="G4242" s="3">
        <f t="shared" si="200"/>
        <v>6.3504056703906908E-3</v>
      </c>
      <c r="H4242" s="2">
        <f t="shared" si="198"/>
        <v>67.799999999999272</v>
      </c>
      <c r="I4242" s="3">
        <f t="shared" si="199"/>
        <v>1.2103576624744365E-2</v>
      </c>
    </row>
    <row r="4243" spans="2:9" x14ac:dyDescent="0.25">
      <c r="B4243" s="1">
        <v>41376</v>
      </c>
      <c r="C4243" s="2">
        <v>5528.55</v>
      </c>
      <c r="D4243" s="2">
        <v>5520.7</v>
      </c>
      <c r="E4243" s="2">
        <v>5544.5</v>
      </c>
      <c r="F4243" s="2">
        <v>5494.9</v>
      </c>
      <c r="G4243" s="3">
        <f t="shared" si="200"/>
        <v>-1.1700035752592042E-2</v>
      </c>
      <c r="H4243" s="2">
        <f t="shared" si="198"/>
        <v>49.600000000000364</v>
      </c>
      <c r="I4243" s="3">
        <f t="shared" si="199"/>
        <v>8.9843679243574847E-3</v>
      </c>
    </row>
    <row r="4244" spans="2:9" x14ac:dyDescent="0.25">
      <c r="B4244" s="1">
        <v>41379</v>
      </c>
      <c r="C4244" s="2">
        <v>5568.4</v>
      </c>
      <c r="D4244" s="2">
        <v>5508.5</v>
      </c>
      <c r="E4244" s="2">
        <v>5592.85</v>
      </c>
      <c r="F4244" s="2">
        <v>5500.3</v>
      </c>
      <c r="G4244" s="3">
        <f t="shared" si="200"/>
        <v>7.2080382740500326E-3</v>
      </c>
      <c r="H4244" s="2">
        <f t="shared" si="198"/>
        <v>92.550000000000182</v>
      </c>
      <c r="I4244" s="3">
        <f t="shared" si="199"/>
        <v>1.6801307070890475E-2</v>
      </c>
    </row>
    <row r="4245" spans="2:9" x14ac:dyDescent="0.25">
      <c r="B4245" s="1">
        <v>41380</v>
      </c>
      <c r="C4245" s="2">
        <v>5688.95</v>
      </c>
      <c r="D4245" s="2">
        <v>5562.45</v>
      </c>
      <c r="E4245" s="2">
        <v>5699.25</v>
      </c>
      <c r="F4245" s="2">
        <v>5555.85</v>
      </c>
      <c r="G4245" s="3">
        <f t="shared" si="200"/>
        <v>2.1648947633072346E-2</v>
      </c>
      <c r="H4245" s="2">
        <f t="shared" si="198"/>
        <v>143.39999999999964</v>
      </c>
      <c r="I4245" s="3">
        <f t="shared" si="199"/>
        <v>2.5780007011298914E-2</v>
      </c>
    </row>
    <row r="4246" spans="2:9" x14ac:dyDescent="0.25">
      <c r="B4246" s="1">
        <v>41381</v>
      </c>
      <c r="C4246" s="2">
        <v>5688.7</v>
      </c>
      <c r="D4246" s="2">
        <v>5708.65</v>
      </c>
      <c r="E4246" s="2">
        <v>5732.15</v>
      </c>
      <c r="F4246" s="2">
        <v>5669</v>
      </c>
      <c r="G4246" s="3">
        <f t="shared" si="200"/>
        <v>-4.3944840436238586E-5</v>
      </c>
      <c r="H4246" s="2">
        <f t="shared" si="198"/>
        <v>63.149999999999636</v>
      </c>
      <c r="I4246" s="3">
        <f t="shared" si="199"/>
        <v>1.106216005535453E-2</v>
      </c>
    </row>
    <row r="4247" spans="2:9" x14ac:dyDescent="0.25">
      <c r="B4247" s="1">
        <v>41382</v>
      </c>
      <c r="C4247" s="2">
        <v>5783.1</v>
      </c>
      <c r="D4247" s="2">
        <v>5682.7</v>
      </c>
      <c r="E4247" s="2">
        <v>5794.35</v>
      </c>
      <c r="F4247" s="2">
        <v>5681.85</v>
      </c>
      <c r="G4247" s="3">
        <f t="shared" si="200"/>
        <v>1.6594300982649912E-2</v>
      </c>
      <c r="H4247" s="2">
        <f t="shared" si="198"/>
        <v>112.5</v>
      </c>
      <c r="I4247" s="3">
        <f t="shared" si="199"/>
        <v>1.9796927516849385E-2</v>
      </c>
    </row>
    <row r="4248" spans="2:9" x14ac:dyDescent="0.25">
      <c r="B4248" s="1">
        <v>41386</v>
      </c>
      <c r="C4248" s="2">
        <v>5834.4</v>
      </c>
      <c r="D4248" s="2">
        <v>5789.85</v>
      </c>
      <c r="E4248" s="2">
        <v>5844.85</v>
      </c>
      <c r="F4248" s="2">
        <v>5789.8</v>
      </c>
      <c r="G4248" s="3">
        <f t="shared" si="200"/>
        <v>8.8706748975462268E-3</v>
      </c>
      <c r="H4248" s="2">
        <f t="shared" si="198"/>
        <v>55.050000000000182</v>
      </c>
      <c r="I4248" s="3">
        <f t="shared" si="199"/>
        <v>9.5080183424441356E-3</v>
      </c>
    </row>
    <row r="4249" spans="2:9" x14ac:dyDescent="0.25">
      <c r="B4249" s="1">
        <v>41387</v>
      </c>
      <c r="C4249" s="2">
        <v>5836.9</v>
      </c>
      <c r="D4249" s="2">
        <v>5843.1</v>
      </c>
      <c r="E4249" s="2">
        <v>5844.3</v>
      </c>
      <c r="F4249" s="2">
        <v>5791.55</v>
      </c>
      <c r="G4249" s="3">
        <f t="shared" si="200"/>
        <v>4.2849307555181682E-4</v>
      </c>
      <c r="H4249" s="2">
        <f t="shared" si="198"/>
        <v>52.75</v>
      </c>
      <c r="I4249" s="3">
        <f t="shared" si="199"/>
        <v>9.0277421231880327E-3</v>
      </c>
    </row>
    <row r="4250" spans="2:9" x14ac:dyDescent="0.25">
      <c r="B4250" s="1">
        <v>41389</v>
      </c>
      <c r="C4250" s="2">
        <v>5916.3</v>
      </c>
      <c r="D4250" s="2">
        <v>5856.1</v>
      </c>
      <c r="E4250" s="2">
        <v>5924.6</v>
      </c>
      <c r="F4250" s="2">
        <v>5853.3</v>
      </c>
      <c r="G4250" s="3">
        <f t="shared" si="200"/>
        <v>1.360311124055591E-2</v>
      </c>
      <c r="H4250" s="2">
        <f t="shared" si="198"/>
        <v>71.300000000000182</v>
      </c>
      <c r="I4250" s="3">
        <f t="shared" si="199"/>
        <v>1.2175338535885687E-2</v>
      </c>
    </row>
    <row r="4251" spans="2:9" x14ac:dyDescent="0.25">
      <c r="B4251" s="1">
        <v>41390</v>
      </c>
      <c r="C4251" s="2">
        <v>5871.45</v>
      </c>
      <c r="D4251" s="2">
        <v>5899.75</v>
      </c>
      <c r="E4251" s="2">
        <v>5907.05</v>
      </c>
      <c r="F4251" s="2">
        <v>5860.5</v>
      </c>
      <c r="G4251" s="3">
        <f t="shared" si="200"/>
        <v>-7.5807514831905953E-3</v>
      </c>
      <c r="H4251" s="2">
        <f t="shared" si="198"/>
        <v>46.550000000000182</v>
      </c>
      <c r="I4251" s="3">
        <f t="shared" si="199"/>
        <v>7.8901648374931441E-3</v>
      </c>
    </row>
    <row r="4252" spans="2:9" x14ac:dyDescent="0.25">
      <c r="B4252" s="1">
        <v>41393</v>
      </c>
      <c r="C4252" s="2">
        <v>5904.1</v>
      </c>
      <c r="D4252" s="2">
        <v>5877.6</v>
      </c>
      <c r="E4252" s="2">
        <v>5918.65</v>
      </c>
      <c r="F4252" s="2">
        <v>5868.8</v>
      </c>
      <c r="G4252" s="3">
        <f t="shared" si="200"/>
        <v>5.5608069556924988E-3</v>
      </c>
      <c r="H4252" s="2">
        <f t="shared" si="198"/>
        <v>49.849999999999454</v>
      </c>
      <c r="I4252" s="3">
        <f t="shared" si="199"/>
        <v>8.4813529331699087E-3</v>
      </c>
    </row>
    <row r="4253" spans="2:9" x14ac:dyDescent="0.25">
      <c r="B4253" s="1">
        <v>41394</v>
      </c>
      <c r="C4253" s="2">
        <v>5930.2</v>
      </c>
      <c r="D4253" s="2">
        <v>5932.6</v>
      </c>
      <c r="E4253" s="2">
        <v>5962.3</v>
      </c>
      <c r="F4253" s="2">
        <v>5867.8</v>
      </c>
      <c r="G4253" s="3">
        <f t="shared" si="200"/>
        <v>4.4206568316931261E-3</v>
      </c>
      <c r="H4253" s="2">
        <f t="shared" si="198"/>
        <v>94.5</v>
      </c>
      <c r="I4253" s="3">
        <f t="shared" si="199"/>
        <v>1.5928935036914674E-2</v>
      </c>
    </row>
    <row r="4254" spans="2:9" x14ac:dyDescent="0.25">
      <c r="B4254" s="1">
        <v>41396</v>
      </c>
      <c r="C4254" s="2">
        <v>5999.35</v>
      </c>
      <c r="D4254" s="2">
        <v>5911.4</v>
      </c>
      <c r="E4254" s="2">
        <v>6019.45</v>
      </c>
      <c r="F4254" s="2">
        <v>5910.95</v>
      </c>
      <c r="G4254" s="3">
        <f t="shared" si="200"/>
        <v>1.1660652254561477E-2</v>
      </c>
      <c r="H4254" s="2">
        <f t="shared" si="198"/>
        <v>108.5</v>
      </c>
      <c r="I4254" s="3">
        <f t="shared" si="199"/>
        <v>1.8354366140000678E-2</v>
      </c>
    </row>
    <row r="4255" spans="2:9" x14ac:dyDescent="0.25">
      <c r="B4255" s="1">
        <v>41397</v>
      </c>
      <c r="C4255" s="2">
        <v>5944</v>
      </c>
      <c r="D4255" s="2">
        <v>5993.5</v>
      </c>
      <c r="E4255" s="2">
        <v>6000.3</v>
      </c>
      <c r="F4255" s="2">
        <v>5930.15</v>
      </c>
      <c r="G4255" s="3">
        <f t="shared" si="200"/>
        <v>-9.2259994832774028E-3</v>
      </c>
      <c r="H4255" s="2">
        <f t="shared" si="198"/>
        <v>70.150000000000546</v>
      </c>
      <c r="I4255" s="3">
        <f t="shared" si="199"/>
        <v>1.1704346375239934E-2</v>
      </c>
    </row>
    <row r="4256" spans="2:9" x14ac:dyDescent="0.25">
      <c r="B4256" s="1">
        <v>41400</v>
      </c>
      <c r="C4256" s="2">
        <v>5971.05</v>
      </c>
      <c r="D4256" s="2">
        <v>5944.9</v>
      </c>
      <c r="E4256" s="2">
        <v>5976.5</v>
      </c>
      <c r="F4256" s="2">
        <v>5928.45</v>
      </c>
      <c r="G4256" s="3">
        <f t="shared" si="200"/>
        <v>4.5508075370122025E-3</v>
      </c>
      <c r="H4256" s="2">
        <f t="shared" si="198"/>
        <v>48.050000000000182</v>
      </c>
      <c r="I4256" s="3">
        <f t="shared" si="199"/>
        <v>8.0825581590943801E-3</v>
      </c>
    </row>
    <row r="4257" spans="2:9" x14ac:dyDescent="0.25">
      <c r="B4257" s="1">
        <v>41401</v>
      </c>
      <c r="C4257" s="2">
        <v>6043.55</v>
      </c>
      <c r="D4257" s="2">
        <v>5983.45</v>
      </c>
      <c r="E4257" s="2">
        <v>6050.5</v>
      </c>
      <c r="F4257" s="2">
        <v>5982.95</v>
      </c>
      <c r="G4257" s="3">
        <f t="shared" si="200"/>
        <v>1.2141918088108383E-2</v>
      </c>
      <c r="H4257" s="2">
        <f t="shared" si="198"/>
        <v>67.550000000000182</v>
      </c>
      <c r="I4257" s="3">
        <f t="shared" si="199"/>
        <v>1.1289473464305741E-2</v>
      </c>
    </row>
    <row r="4258" spans="2:9" x14ac:dyDescent="0.25">
      <c r="B4258" s="1">
        <v>41402</v>
      </c>
      <c r="C4258" s="2">
        <v>6069.3</v>
      </c>
      <c r="D4258" s="2">
        <v>6064.15</v>
      </c>
      <c r="E4258" s="2">
        <v>6083.55</v>
      </c>
      <c r="F4258" s="2">
        <v>6024.95</v>
      </c>
      <c r="G4258" s="3">
        <f t="shared" si="200"/>
        <v>4.2607407897676808E-3</v>
      </c>
      <c r="H4258" s="2">
        <f t="shared" si="198"/>
        <v>58.600000000000364</v>
      </c>
      <c r="I4258" s="3">
        <f t="shared" si="199"/>
        <v>9.6633493564638687E-3</v>
      </c>
    </row>
    <row r="4259" spans="2:9" x14ac:dyDescent="0.25">
      <c r="B4259" s="1">
        <v>41403</v>
      </c>
      <c r="C4259" s="2">
        <v>6050.15</v>
      </c>
      <c r="D4259" s="2">
        <v>6078.35</v>
      </c>
      <c r="E4259" s="2">
        <v>6084.7</v>
      </c>
      <c r="F4259" s="2">
        <v>6040.45</v>
      </c>
      <c r="G4259" s="3">
        <f t="shared" si="200"/>
        <v>-3.155223831413978E-3</v>
      </c>
      <c r="H4259" s="2">
        <f t="shared" si="198"/>
        <v>44.25</v>
      </c>
      <c r="I4259" s="3">
        <f t="shared" si="199"/>
        <v>7.2799361668873953E-3</v>
      </c>
    </row>
    <row r="4260" spans="2:9" x14ac:dyDescent="0.25">
      <c r="B4260" s="1">
        <v>41404</v>
      </c>
      <c r="C4260" s="2">
        <v>6094.75</v>
      </c>
      <c r="D4260" s="2">
        <v>6046.25</v>
      </c>
      <c r="E4260" s="2">
        <v>6105.3</v>
      </c>
      <c r="F4260" s="2">
        <v>6045.6</v>
      </c>
      <c r="G4260" s="3">
        <f t="shared" si="200"/>
        <v>7.3717180565771034E-3</v>
      </c>
      <c r="H4260" s="2">
        <f t="shared" si="198"/>
        <v>59.699999999999818</v>
      </c>
      <c r="I4260" s="3">
        <f t="shared" si="199"/>
        <v>9.8738887740334614E-3</v>
      </c>
    </row>
    <row r="4261" spans="2:9" x14ac:dyDescent="0.25">
      <c r="B4261" s="1">
        <v>41405</v>
      </c>
      <c r="C4261" s="2">
        <v>6107.25</v>
      </c>
      <c r="D4261" s="2">
        <v>6088.2</v>
      </c>
      <c r="E4261" s="2">
        <v>6114.55</v>
      </c>
      <c r="F4261" s="2">
        <v>6084.15</v>
      </c>
      <c r="G4261" s="3">
        <f t="shared" si="200"/>
        <v>2.0509454858690379E-3</v>
      </c>
      <c r="H4261" s="2">
        <f t="shared" si="198"/>
        <v>30.400000000000546</v>
      </c>
      <c r="I4261" s="3">
        <f t="shared" si="199"/>
        <v>4.9932656614435382E-3</v>
      </c>
    </row>
    <row r="4262" spans="2:9" x14ac:dyDescent="0.25">
      <c r="B4262" s="1">
        <v>41407</v>
      </c>
      <c r="C4262" s="2">
        <v>5980.45</v>
      </c>
      <c r="D4262" s="2">
        <v>6098.2</v>
      </c>
      <c r="E4262" s="2">
        <v>6104.95</v>
      </c>
      <c r="F4262" s="2">
        <v>5972.9</v>
      </c>
      <c r="G4262" s="3">
        <f t="shared" si="200"/>
        <v>-2.0762208850137132E-2</v>
      </c>
      <c r="H4262" s="2">
        <f t="shared" si="198"/>
        <v>132.05000000000018</v>
      </c>
      <c r="I4262" s="3">
        <f t="shared" si="199"/>
        <v>2.1653930668066017E-2</v>
      </c>
    </row>
    <row r="4263" spans="2:9" x14ac:dyDescent="0.25">
      <c r="B4263" s="1">
        <v>41408</v>
      </c>
      <c r="C4263" s="2">
        <v>5995.4</v>
      </c>
      <c r="D4263" s="2">
        <v>5989.7</v>
      </c>
      <c r="E4263" s="2">
        <v>6026.2</v>
      </c>
      <c r="F4263" s="2">
        <v>5970.05</v>
      </c>
      <c r="G4263" s="3">
        <f t="shared" si="200"/>
        <v>2.499811887065384E-3</v>
      </c>
      <c r="H4263" s="2">
        <f t="shared" si="198"/>
        <v>56.149999999999636</v>
      </c>
      <c r="I4263" s="3">
        <f t="shared" si="199"/>
        <v>9.3744260981350712E-3</v>
      </c>
    </row>
    <row r="4264" spans="2:9" x14ac:dyDescent="0.25">
      <c r="B4264" s="1">
        <v>41409</v>
      </c>
      <c r="C4264" s="2">
        <v>6146.75</v>
      </c>
      <c r="D4264" s="2">
        <v>6018.85</v>
      </c>
      <c r="E4264" s="2">
        <v>6157.1</v>
      </c>
      <c r="F4264" s="2">
        <v>6018.85</v>
      </c>
      <c r="G4264" s="3">
        <f t="shared" si="200"/>
        <v>2.5244354004737124E-2</v>
      </c>
      <c r="H4264" s="2">
        <f t="shared" si="198"/>
        <v>138.25</v>
      </c>
      <c r="I4264" s="3">
        <f t="shared" si="199"/>
        <v>2.2969504141156533E-2</v>
      </c>
    </row>
    <row r="4265" spans="2:9" x14ac:dyDescent="0.25">
      <c r="B4265" s="1">
        <v>41410</v>
      </c>
      <c r="C4265" s="2">
        <v>6169.9</v>
      </c>
      <c r="D4265" s="2">
        <v>6128.25</v>
      </c>
      <c r="E4265" s="2">
        <v>6187.3</v>
      </c>
      <c r="F4265" s="2">
        <v>6128.25</v>
      </c>
      <c r="G4265" s="3">
        <f t="shared" si="200"/>
        <v>3.7662179200390611E-3</v>
      </c>
      <c r="H4265" s="2">
        <f t="shared" si="198"/>
        <v>59.050000000000182</v>
      </c>
      <c r="I4265" s="3">
        <f t="shared" si="199"/>
        <v>9.6357035042630729E-3</v>
      </c>
    </row>
    <row r="4266" spans="2:9" x14ac:dyDescent="0.25">
      <c r="B4266" s="1">
        <v>41411</v>
      </c>
      <c r="C4266" s="2">
        <v>6187.3</v>
      </c>
      <c r="D4266" s="2">
        <v>6172.95</v>
      </c>
      <c r="E4266" s="2">
        <v>6199.95</v>
      </c>
      <c r="F4266" s="2">
        <v>6146.15</v>
      </c>
      <c r="G4266" s="3">
        <f t="shared" si="200"/>
        <v>2.8201429520737786E-3</v>
      </c>
      <c r="H4266" s="2">
        <f t="shared" si="198"/>
        <v>53.800000000000182</v>
      </c>
      <c r="I4266" s="3">
        <f t="shared" si="199"/>
        <v>8.7154439935525456E-3</v>
      </c>
    </row>
    <row r="4267" spans="2:9" x14ac:dyDescent="0.25">
      <c r="B4267" s="1">
        <v>41414</v>
      </c>
      <c r="C4267" s="2">
        <v>6156.9</v>
      </c>
      <c r="D4267" s="2">
        <v>6198</v>
      </c>
      <c r="E4267" s="2">
        <v>6229.45</v>
      </c>
      <c r="F4267" s="2">
        <v>6146.05</v>
      </c>
      <c r="G4267" s="3">
        <f t="shared" si="200"/>
        <v>-4.9132901265496187E-3</v>
      </c>
      <c r="H4267" s="2">
        <f t="shared" si="198"/>
        <v>83.399999999999636</v>
      </c>
      <c r="I4267" s="3">
        <f t="shared" si="199"/>
        <v>1.3455953533397812E-2</v>
      </c>
    </row>
    <row r="4268" spans="2:9" x14ac:dyDescent="0.25">
      <c r="B4268" s="1">
        <v>41415</v>
      </c>
      <c r="C4268" s="2">
        <v>6114.1</v>
      </c>
      <c r="D4268" s="2">
        <v>6152.35</v>
      </c>
      <c r="E4268" s="2">
        <v>6180.25</v>
      </c>
      <c r="F4268" s="2">
        <v>6102.35</v>
      </c>
      <c r="G4268" s="3">
        <f t="shared" si="200"/>
        <v>-6.9515502931668527E-3</v>
      </c>
      <c r="H4268" s="2">
        <f t="shared" si="198"/>
        <v>77.899999999999636</v>
      </c>
      <c r="I4268" s="3">
        <f t="shared" si="199"/>
        <v>1.26618284070314E-2</v>
      </c>
    </row>
    <row r="4269" spans="2:9" x14ac:dyDescent="0.25">
      <c r="B4269" s="1">
        <v>41416</v>
      </c>
      <c r="C4269" s="2">
        <v>6094.5</v>
      </c>
      <c r="D4269" s="2">
        <v>6127.05</v>
      </c>
      <c r="E4269" s="2">
        <v>6147.6</v>
      </c>
      <c r="F4269" s="2">
        <v>6074.45</v>
      </c>
      <c r="G4269" s="3">
        <f t="shared" si="200"/>
        <v>-3.2057048461753279E-3</v>
      </c>
      <c r="H4269" s="2">
        <f t="shared" si="198"/>
        <v>73.150000000000546</v>
      </c>
      <c r="I4269" s="3">
        <f t="shared" si="199"/>
        <v>1.1938861279082192E-2</v>
      </c>
    </row>
    <row r="4270" spans="2:9" x14ac:dyDescent="0.25">
      <c r="B4270" s="1">
        <v>41417</v>
      </c>
      <c r="C4270" s="2">
        <v>5967.05</v>
      </c>
      <c r="D4270" s="2">
        <v>6050.4</v>
      </c>
      <c r="E4270" s="2">
        <v>6081.45</v>
      </c>
      <c r="F4270" s="2">
        <v>5955.7</v>
      </c>
      <c r="G4270" s="3">
        <f t="shared" si="200"/>
        <v>-2.0912297973582739E-2</v>
      </c>
      <c r="H4270" s="2">
        <f t="shared" si="198"/>
        <v>125.75</v>
      </c>
      <c r="I4270" s="3">
        <f t="shared" si="199"/>
        <v>2.0783749834721671E-2</v>
      </c>
    </row>
    <row r="4271" spans="2:9" x14ac:dyDescent="0.25">
      <c r="B4271" s="1">
        <v>41418</v>
      </c>
      <c r="C4271" s="2">
        <v>5983.55</v>
      </c>
      <c r="D4271" s="2">
        <v>6010.7</v>
      </c>
      <c r="E4271" s="2">
        <v>6015.3</v>
      </c>
      <c r="F4271" s="2">
        <v>5936.8</v>
      </c>
      <c r="G4271" s="3">
        <f t="shared" si="200"/>
        <v>2.7651854769106254E-3</v>
      </c>
      <c r="H4271" s="2">
        <f t="shared" si="198"/>
        <v>78.5</v>
      </c>
      <c r="I4271" s="3">
        <f t="shared" si="199"/>
        <v>1.3060042923453176E-2</v>
      </c>
    </row>
    <row r="4272" spans="2:9" x14ac:dyDescent="0.25">
      <c r="B4272" s="1">
        <v>41421</v>
      </c>
      <c r="C4272" s="2">
        <v>6083.15</v>
      </c>
      <c r="D4272" s="2">
        <v>5989.4</v>
      </c>
      <c r="E4272" s="2">
        <v>6099.9</v>
      </c>
      <c r="F4272" s="2">
        <v>5975.55</v>
      </c>
      <c r="G4272" s="3">
        <f t="shared" si="200"/>
        <v>1.6645636787525619E-2</v>
      </c>
      <c r="H4272" s="2">
        <f t="shared" si="198"/>
        <v>124.34999999999945</v>
      </c>
      <c r="I4272" s="3">
        <f t="shared" si="199"/>
        <v>2.0761678966173484E-2</v>
      </c>
    </row>
    <row r="4273" spans="2:9" x14ac:dyDescent="0.25">
      <c r="B4273" s="1">
        <v>41422</v>
      </c>
      <c r="C4273" s="2">
        <v>6111.25</v>
      </c>
      <c r="D4273" s="2">
        <v>6086.35</v>
      </c>
      <c r="E4273" s="2">
        <v>6127.65</v>
      </c>
      <c r="F4273" s="2">
        <v>6055.4</v>
      </c>
      <c r="G4273" s="3">
        <f t="shared" si="200"/>
        <v>4.6193172944939409E-3</v>
      </c>
      <c r="H4273" s="2">
        <f t="shared" si="198"/>
        <v>72.25</v>
      </c>
      <c r="I4273" s="3">
        <f t="shared" si="199"/>
        <v>1.1870825700132263E-2</v>
      </c>
    </row>
    <row r="4274" spans="2:9" x14ac:dyDescent="0.25">
      <c r="B4274" s="1">
        <v>41423</v>
      </c>
      <c r="C4274" s="2">
        <v>6104.3</v>
      </c>
      <c r="D4274" s="2">
        <v>6120.45</v>
      </c>
      <c r="E4274" s="2">
        <v>6125.05</v>
      </c>
      <c r="F4274" s="2">
        <v>6069.8</v>
      </c>
      <c r="G4274" s="3">
        <f t="shared" si="200"/>
        <v>-1.1372468807526737E-3</v>
      </c>
      <c r="H4274" s="2">
        <f t="shared" si="198"/>
        <v>55.25</v>
      </c>
      <c r="I4274" s="3">
        <f t="shared" si="199"/>
        <v>9.0271140193939996E-3</v>
      </c>
    </row>
    <row r="4275" spans="2:9" x14ac:dyDescent="0.25">
      <c r="B4275" s="1">
        <v>41424</v>
      </c>
      <c r="C4275" s="2">
        <v>6124.05</v>
      </c>
      <c r="D4275" s="2">
        <v>6072.15</v>
      </c>
      <c r="E4275" s="2">
        <v>6133.75</v>
      </c>
      <c r="F4275" s="2">
        <v>6072.15</v>
      </c>
      <c r="G4275" s="3">
        <f t="shared" si="200"/>
        <v>3.2354242091641172E-3</v>
      </c>
      <c r="H4275" s="2">
        <f t="shared" si="198"/>
        <v>61.600000000000364</v>
      </c>
      <c r="I4275" s="3">
        <f t="shared" si="199"/>
        <v>1.0144676926624073E-2</v>
      </c>
    </row>
    <row r="4276" spans="2:9" x14ac:dyDescent="0.25">
      <c r="B4276" s="1">
        <v>41425</v>
      </c>
      <c r="C4276" s="2">
        <v>5985.95</v>
      </c>
      <c r="D4276" s="2">
        <v>6098.7</v>
      </c>
      <c r="E4276" s="2">
        <v>6106.25</v>
      </c>
      <c r="F4276" s="2">
        <v>5975.55</v>
      </c>
      <c r="G4276" s="3">
        <f t="shared" si="200"/>
        <v>-2.2550436394216278E-2</v>
      </c>
      <c r="H4276" s="2">
        <f t="shared" si="198"/>
        <v>130.69999999999982</v>
      </c>
      <c r="I4276" s="3">
        <f t="shared" si="199"/>
        <v>2.1430796727171336E-2</v>
      </c>
    </row>
    <row r="4277" spans="2:9" x14ac:dyDescent="0.25">
      <c r="B4277" s="1">
        <v>41428</v>
      </c>
      <c r="C4277" s="2">
        <v>5939.3</v>
      </c>
      <c r="D4277" s="2">
        <v>5997.35</v>
      </c>
      <c r="E4277" s="2">
        <v>6011</v>
      </c>
      <c r="F4277" s="2">
        <v>5916.35</v>
      </c>
      <c r="G4277" s="3">
        <f t="shared" si="200"/>
        <v>-7.793249191857532E-3</v>
      </c>
      <c r="H4277" s="2">
        <f t="shared" si="198"/>
        <v>94.649999999999636</v>
      </c>
      <c r="I4277" s="3">
        <f t="shared" si="199"/>
        <v>1.5781970370246798E-2</v>
      </c>
    </row>
    <row r="4278" spans="2:9" x14ac:dyDescent="0.25">
      <c r="B4278" s="1">
        <v>41429</v>
      </c>
      <c r="C4278" s="2">
        <v>5919.45</v>
      </c>
      <c r="D4278" s="2">
        <v>5941.1</v>
      </c>
      <c r="E4278" s="2">
        <v>5981.6</v>
      </c>
      <c r="F4278" s="2">
        <v>5910.25</v>
      </c>
      <c r="G4278" s="3">
        <f t="shared" si="200"/>
        <v>-3.3421446971866331E-3</v>
      </c>
      <c r="H4278" s="2">
        <f t="shared" si="198"/>
        <v>71.350000000000364</v>
      </c>
      <c r="I4278" s="3">
        <f t="shared" si="199"/>
        <v>1.200956051909585E-2</v>
      </c>
    </row>
    <row r="4279" spans="2:9" x14ac:dyDescent="0.25">
      <c r="B4279" s="1">
        <v>41430</v>
      </c>
      <c r="C4279" s="2">
        <v>5923.85</v>
      </c>
      <c r="D4279" s="2">
        <v>5908.3</v>
      </c>
      <c r="E4279" s="2">
        <v>5935.2</v>
      </c>
      <c r="F4279" s="2">
        <v>5883.7</v>
      </c>
      <c r="G4279" s="3">
        <f t="shared" si="200"/>
        <v>7.4331230097390844E-4</v>
      </c>
      <c r="H4279" s="2">
        <f t="shared" si="198"/>
        <v>51.5</v>
      </c>
      <c r="I4279" s="3">
        <f t="shared" si="199"/>
        <v>8.7165512922498852E-3</v>
      </c>
    </row>
    <row r="4280" spans="2:9" x14ac:dyDescent="0.25">
      <c r="B4280" s="1">
        <v>41431</v>
      </c>
      <c r="C4280" s="2">
        <v>5921.4</v>
      </c>
      <c r="D4280" s="2">
        <v>5895</v>
      </c>
      <c r="E4280" s="2">
        <v>5956.55</v>
      </c>
      <c r="F4280" s="2">
        <v>5869.5</v>
      </c>
      <c r="G4280" s="3">
        <f t="shared" si="200"/>
        <v>-4.1358238307864781E-4</v>
      </c>
      <c r="H4280" s="2">
        <f t="shared" si="198"/>
        <v>87.050000000000182</v>
      </c>
      <c r="I4280" s="3">
        <f t="shared" si="199"/>
        <v>1.4766751484308767E-2</v>
      </c>
    </row>
    <row r="4281" spans="2:9" x14ac:dyDescent="0.25">
      <c r="B4281" s="1">
        <v>41432</v>
      </c>
      <c r="C4281" s="2">
        <v>5881</v>
      </c>
      <c r="D4281" s="2">
        <v>5900.05</v>
      </c>
      <c r="E4281" s="2">
        <v>5972.7</v>
      </c>
      <c r="F4281" s="2">
        <v>5871.3</v>
      </c>
      <c r="G4281" s="3">
        <f t="shared" si="200"/>
        <v>-6.8227108454080865E-3</v>
      </c>
      <c r="H4281" s="2">
        <f t="shared" si="198"/>
        <v>101.39999999999964</v>
      </c>
      <c r="I4281" s="3">
        <f t="shared" si="199"/>
        <v>1.7186295031397975E-2</v>
      </c>
    </row>
    <row r="4282" spans="2:9" x14ac:dyDescent="0.25">
      <c r="B4282" s="1">
        <v>41435</v>
      </c>
      <c r="C4282" s="2">
        <v>5878</v>
      </c>
      <c r="D4282" s="2">
        <v>5907.9</v>
      </c>
      <c r="E4282" s="2">
        <v>5931.65</v>
      </c>
      <c r="F4282" s="2">
        <v>5857.4</v>
      </c>
      <c r="G4282" s="3">
        <f t="shared" si="200"/>
        <v>-5.1011732698524881E-4</v>
      </c>
      <c r="H4282" s="2">
        <f t="shared" si="198"/>
        <v>74.25</v>
      </c>
      <c r="I4282" s="3">
        <f t="shared" si="199"/>
        <v>1.2567917534149192E-2</v>
      </c>
    </row>
    <row r="4283" spans="2:9" x14ac:dyDescent="0.25">
      <c r="B4283" s="1">
        <v>41436</v>
      </c>
      <c r="C4283" s="2">
        <v>5788.8</v>
      </c>
      <c r="D4283" s="2">
        <v>5848.75</v>
      </c>
      <c r="E4283" s="2">
        <v>5868.05</v>
      </c>
      <c r="F4283" s="2">
        <v>5780.35</v>
      </c>
      <c r="G4283" s="3">
        <f t="shared" si="200"/>
        <v>-1.517522966995577E-2</v>
      </c>
      <c r="H4283" s="2">
        <f t="shared" si="198"/>
        <v>87.699999999999818</v>
      </c>
      <c r="I4283" s="3">
        <f t="shared" si="199"/>
        <v>1.4994656977986718E-2</v>
      </c>
    </row>
    <row r="4284" spans="2:9" x14ac:dyDescent="0.25">
      <c r="B4284" s="1">
        <v>41437</v>
      </c>
      <c r="C4284" s="2">
        <v>5760.2</v>
      </c>
      <c r="D4284" s="2">
        <v>5771.75</v>
      </c>
      <c r="E4284" s="2">
        <v>5792.9</v>
      </c>
      <c r="F4284" s="2">
        <v>5738.6</v>
      </c>
      <c r="G4284" s="3">
        <f t="shared" si="200"/>
        <v>-4.9405749032614965E-3</v>
      </c>
      <c r="H4284" s="2">
        <f t="shared" si="198"/>
        <v>54.299999999999272</v>
      </c>
      <c r="I4284" s="3">
        <f t="shared" si="199"/>
        <v>9.4078918872091254E-3</v>
      </c>
    </row>
    <row r="4285" spans="2:9" x14ac:dyDescent="0.25">
      <c r="B4285" s="1">
        <v>41438</v>
      </c>
      <c r="C4285" s="2">
        <v>5699.1</v>
      </c>
      <c r="D4285" s="2">
        <v>5709.35</v>
      </c>
      <c r="E4285" s="2">
        <v>5729.85</v>
      </c>
      <c r="F4285" s="2">
        <v>5683.1</v>
      </c>
      <c r="G4285" s="3">
        <f t="shared" si="200"/>
        <v>-1.0607270580882511E-2</v>
      </c>
      <c r="H4285" s="2">
        <f t="shared" si="198"/>
        <v>46.75</v>
      </c>
      <c r="I4285" s="3">
        <f t="shared" si="199"/>
        <v>8.188322663700771E-3</v>
      </c>
    </row>
    <row r="4286" spans="2:9" x14ac:dyDescent="0.25">
      <c r="B4286" s="1">
        <v>41439</v>
      </c>
      <c r="C4286" s="2">
        <v>5808.4</v>
      </c>
      <c r="D4286" s="2">
        <v>5748.95</v>
      </c>
      <c r="E4286" s="2">
        <v>5819.4</v>
      </c>
      <c r="F4286" s="2">
        <v>5739.4</v>
      </c>
      <c r="G4286" s="3">
        <f t="shared" si="200"/>
        <v>1.9178466775455538E-2</v>
      </c>
      <c r="H4286" s="2">
        <f t="shared" si="198"/>
        <v>80</v>
      </c>
      <c r="I4286" s="3">
        <f t="shared" si="199"/>
        <v>1.3915584585011177E-2</v>
      </c>
    </row>
    <row r="4287" spans="2:9" x14ac:dyDescent="0.25">
      <c r="B4287" s="1">
        <v>41442</v>
      </c>
      <c r="C4287" s="2">
        <v>5850.05</v>
      </c>
      <c r="D4287" s="2">
        <v>5820.4</v>
      </c>
      <c r="E4287" s="2">
        <v>5854.9</v>
      </c>
      <c r="F4287" s="2">
        <v>5770.25</v>
      </c>
      <c r="G4287" s="3">
        <f t="shared" si="200"/>
        <v>7.1706494043111135E-3</v>
      </c>
      <c r="H4287" s="2">
        <f t="shared" si="198"/>
        <v>84.649999999999636</v>
      </c>
      <c r="I4287" s="3">
        <f t="shared" si="199"/>
        <v>1.4543673974297238E-2</v>
      </c>
    </row>
    <row r="4288" spans="2:9" x14ac:dyDescent="0.25">
      <c r="B4288" s="1">
        <v>41443</v>
      </c>
      <c r="C4288" s="2">
        <v>5813.6</v>
      </c>
      <c r="D4288" s="2">
        <v>5841.9</v>
      </c>
      <c r="E4288" s="2">
        <v>5863.4</v>
      </c>
      <c r="F4288" s="2">
        <v>5804.3</v>
      </c>
      <c r="G4288" s="3">
        <f t="shared" si="200"/>
        <v>-6.2307159767864828E-3</v>
      </c>
      <c r="H4288" s="2">
        <f t="shared" si="198"/>
        <v>59.099999999999454</v>
      </c>
      <c r="I4288" s="3">
        <f t="shared" si="199"/>
        <v>1.0116571663328619E-2</v>
      </c>
    </row>
    <row r="4289" spans="2:9" x14ac:dyDescent="0.25">
      <c r="B4289" s="1">
        <v>41444</v>
      </c>
      <c r="C4289" s="2">
        <v>5822.25</v>
      </c>
      <c r="D4289" s="2">
        <v>5805.75</v>
      </c>
      <c r="E4289" s="2">
        <v>5828.4</v>
      </c>
      <c r="F4289" s="2">
        <v>5777.9</v>
      </c>
      <c r="G4289" s="3">
        <f t="shared" si="200"/>
        <v>1.4878904637400936E-3</v>
      </c>
      <c r="H4289" s="2">
        <f t="shared" si="198"/>
        <v>50.5</v>
      </c>
      <c r="I4289" s="3">
        <f t="shared" si="199"/>
        <v>8.6982732635749044E-3</v>
      </c>
    </row>
    <row r="4290" spans="2:9" x14ac:dyDescent="0.25">
      <c r="B4290" s="1">
        <v>41445</v>
      </c>
      <c r="C4290" s="2">
        <v>5655.9</v>
      </c>
      <c r="D4290" s="2">
        <v>5754.15</v>
      </c>
      <c r="E4290" s="2">
        <v>5755</v>
      </c>
      <c r="F4290" s="2">
        <v>5645.65</v>
      </c>
      <c r="G4290" s="3">
        <f t="shared" si="200"/>
        <v>-2.8571428571428581E-2</v>
      </c>
      <c r="H4290" s="2">
        <f t="shared" si="198"/>
        <v>109.35000000000036</v>
      </c>
      <c r="I4290" s="3">
        <f t="shared" si="199"/>
        <v>1.9003675608039481E-2</v>
      </c>
    </row>
    <row r="4291" spans="2:9" x14ac:dyDescent="0.25">
      <c r="B4291" s="1">
        <v>41446</v>
      </c>
      <c r="C4291" s="2">
        <v>5667.65</v>
      </c>
      <c r="D4291" s="2">
        <v>5639.9</v>
      </c>
      <c r="E4291" s="2">
        <v>5686.15</v>
      </c>
      <c r="F4291" s="2">
        <v>5616.85</v>
      </c>
      <c r="G4291" s="3">
        <f t="shared" si="200"/>
        <v>2.0774766173377035E-3</v>
      </c>
      <c r="H4291" s="2">
        <f t="shared" si="198"/>
        <v>69.299999999999272</v>
      </c>
      <c r="I4291" s="3">
        <f t="shared" si="199"/>
        <v>1.2287451905175495E-2</v>
      </c>
    </row>
    <row r="4292" spans="2:9" x14ac:dyDescent="0.25">
      <c r="B4292" s="1">
        <v>41449</v>
      </c>
      <c r="C4292" s="2">
        <v>5590.25</v>
      </c>
      <c r="D4292" s="2">
        <v>5638.05</v>
      </c>
      <c r="E4292" s="2">
        <v>5640</v>
      </c>
      <c r="F4292" s="2">
        <v>5566.25</v>
      </c>
      <c r="G4292" s="3">
        <f t="shared" si="200"/>
        <v>-1.3656453733028595E-2</v>
      </c>
      <c r="H4292" s="2">
        <f t="shared" si="198"/>
        <v>73.75</v>
      </c>
      <c r="I4292" s="3">
        <f t="shared" si="199"/>
        <v>1.3080763739236083E-2</v>
      </c>
    </row>
    <row r="4293" spans="2:9" x14ac:dyDescent="0.25">
      <c r="B4293" s="1">
        <v>41450</v>
      </c>
      <c r="C4293" s="2">
        <v>5609.1</v>
      </c>
      <c r="D4293" s="2">
        <v>5606.95</v>
      </c>
      <c r="E4293" s="2">
        <v>5666.25</v>
      </c>
      <c r="F4293" s="2">
        <v>5570.25</v>
      </c>
      <c r="G4293" s="3">
        <f t="shared" si="200"/>
        <v>3.3719422208309258E-3</v>
      </c>
      <c r="H4293" s="2">
        <f t="shared" ref="H4293:H4356" si="201">E4293-F4293</f>
        <v>96</v>
      </c>
      <c r="I4293" s="3">
        <f t="shared" si="199"/>
        <v>1.7121608004351741E-2</v>
      </c>
    </row>
    <row r="4294" spans="2:9" x14ac:dyDescent="0.25">
      <c r="B4294" s="1">
        <v>41451</v>
      </c>
      <c r="C4294" s="2">
        <v>5588.7</v>
      </c>
      <c r="D4294" s="2">
        <v>5627.95</v>
      </c>
      <c r="E4294" s="2">
        <v>5635.25</v>
      </c>
      <c r="F4294" s="2">
        <v>5579.35</v>
      </c>
      <c r="G4294" s="3">
        <f t="shared" si="200"/>
        <v>-3.6369471038135703E-3</v>
      </c>
      <c r="H4294" s="2">
        <f t="shared" si="201"/>
        <v>55.899999999999636</v>
      </c>
      <c r="I4294" s="3">
        <f t="shared" ref="I4294:I4357" si="202">H4294/D4294</f>
        <v>9.9325686973053481E-3</v>
      </c>
    </row>
    <row r="4295" spans="2:9" x14ac:dyDescent="0.25">
      <c r="B4295" s="1">
        <v>41452</v>
      </c>
      <c r="C4295" s="2">
        <v>5682.35</v>
      </c>
      <c r="D4295" s="2">
        <v>5647.95</v>
      </c>
      <c r="E4295" s="2">
        <v>5699.35</v>
      </c>
      <c r="F4295" s="2">
        <v>5630.95</v>
      </c>
      <c r="G4295" s="3">
        <f t="shared" ref="G4295:G4358" si="203">C4295/C4294-1</f>
        <v>1.6757027573496508E-2</v>
      </c>
      <c r="H4295" s="2">
        <f t="shared" si="201"/>
        <v>68.400000000000546</v>
      </c>
      <c r="I4295" s="3">
        <f t="shared" si="202"/>
        <v>1.2110588797705459E-2</v>
      </c>
    </row>
    <row r="4296" spans="2:9" x14ac:dyDescent="0.25">
      <c r="B4296" s="1">
        <v>41453</v>
      </c>
      <c r="C4296" s="2">
        <v>5842.2</v>
      </c>
      <c r="D4296" s="2">
        <v>5749.5</v>
      </c>
      <c r="E4296" s="2">
        <v>5852.95</v>
      </c>
      <c r="F4296" s="2">
        <v>5749.5</v>
      </c>
      <c r="G4296" s="3">
        <f t="shared" si="203"/>
        <v>2.8130966941494195E-2</v>
      </c>
      <c r="H4296" s="2">
        <f t="shared" si="201"/>
        <v>103.44999999999982</v>
      </c>
      <c r="I4296" s="3">
        <f t="shared" si="202"/>
        <v>1.7992868945125633E-2</v>
      </c>
    </row>
    <row r="4297" spans="2:9" x14ac:dyDescent="0.25">
      <c r="B4297" s="1">
        <v>41456</v>
      </c>
      <c r="C4297" s="2">
        <v>5898.85</v>
      </c>
      <c r="D4297" s="2">
        <v>5834.1</v>
      </c>
      <c r="E4297" s="2">
        <v>5904.35</v>
      </c>
      <c r="F4297" s="2">
        <v>5822.2</v>
      </c>
      <c r="G4297" s="3">
        <f t="shared" si="203"/>
        <v>9.6966896032317784E-3</v>
      </c>
      <c r="H4297" s="2">
        <f t="shared" si="201"/>
        <v>82.150000000000546</v>
      </c>
      <c r="I4297" s="3">
        <f t="shared" si="202"/>
        <v>1.4081006496289152E-2</v>
      </c>
    </row>
    <row r="4298" spans="2:9" x14ac:dyDescent="0.25">
      <c r="B4298" s="1">
        <v>41457</v>
      </c>
      <c r="C4298" s="2">
        <v>5857.55</v>
      </c>
      <c r="D4298" s="2">
        <v>5885.5</v>
      </c>
      <c r="E4298" s="2">
        <v>5898.8</v>
      </c>
      <c r="F4298" s="2">
        <v>5852.3</v>
      </c>
      <c r="G4298" s="3">
        <f t="shared" si="203"/>
        <v>-7.0013646727752343E-3</v>
      </c>
      <c r="H4298" s="2">
        <f t="shared" si="201"/>
        <v>46.5</v>
      </c>
      <c r="I4298" s="3">
        <f t="shared" si="202"/>
        <v>7.9007730863987768E-3</v>
      </c>
    </row>
    <row r="4299" spans="2:9" x14ac:dyDescent="0.25">
      <c r="B4299" s="1">
        <v>41458</v>
      </c>
      <c r="C4299" s="2">
        <v>5770.9</v>
      </c>
      <c r="D4299" s="2">
        <v>5811.95</v>
      </c>
      <c r="E4299" s="2">
        <v>5815</v>
      </c>
      <c r="F4299" s="2">
        <v>5760.4</v>
      </c>
      <c r="G4299" s="3">
        <f t="shared" si="203"/>
        <v>-1.4792874153869873E-2</v>
      </c>
      <c r="H4299" s="2">
        <f t="shared" si="201"/>
        <v>54.600000000000364</v>
      </c>
      <c r="I4299" s="3">
        <f t="shared" si="202"/>
        <v>9.394437323101603E-3</v>
      </c>
    </row>
    <row r="4300" spans="2:9" x14ac:dyDescent="0.25">
      <c r="B4300" s="1">
        <v>41459</v>
      </c>
      <c r="C4300" s="2">
        <v>5836.95</v>
      </c>
      <c r="D4300" s="2">
        <v>5794.75</v>
      </c>
      <c r="E4300" s="2">
        <v>5848.2</v>
      </c>
      <c r="F4300" s="2">
        <v>5786.05</v>
      </c>
      <c r="G4300" s="3">
        <f t="shared" si="203"/>
        <v>1.1445355143911762E-2</v>
      </c>
      <c r="H4300" s="2">
        <f t="shared" si="201"/>
        <v>62.149999999999636</v>
      </c>
      <c r="I4300" s="3">
        <f t="shared" si="202"/>
        <v>1.0725225419560747E-2</v>
      </c>
    </row>
    <row r="4301" spans="2:9" x14ac:dyDescent="0.25">
      <c r="B4301" s="1">
        <v>41460</v>
      </c>
      <c r="C4301" s="2">
        <v>5867.9</v>
      </c>
      <c r="D4301" s="2">
        <v>5889.95</v>
      </c>
      <c r="E4301" s="2">
        <v>5900.45</v>
      </c>
      <c r="F4301" s="2">
        <v>5858.45</v>
      </c>
      <c r="G4301" s="3">
        <f t="shared" si="203"/>
        <v>5.3024267811099257E-3</v>
      </c>
      <c r="H4301" s="2">
        <f t="shared" si="201"/>
        <v>42</v>
      </c>
      <c r="I4301" s="3">
        <f t="shared" si="202"/>
        <v>7.1307905839608152E-3</v>
      </c>
    </row>
    <row r="4302" spans="2:9" x14ac:dyDescent="0.25">
      <c r="B4302" s="1">
        <v>41463</v>
      </c>
      <c r="C4302" s="2">
        <v>5811.55</v>
      </c>
      <c r="D4302" s="2">
        <v>5833.15</v>
      </c>
      <c r="E4302" s="2">
        <v>5833.85</v>
      </c>
      <c r="F4302" s="2">
        <v>5775.55</v>
      </c>
      <c r="G4302" s="3">
        <f t="shared" si="203"/>
        <v>-9.6030948039331765E-3</v>
      </c>
      <c r="H4302" s="2">
        <f t="shared" si="201"/>
        <v>58.300000000000182</v>
      </c>
      <c r="I4302" s="3">
        <f t="shared" si="202"/>
        <v>9.994599830280412E-3</v>
      </c>
    </row>
    <row r="4303" spans="2:9" x14ac:dyDescent="0.25">
      <c r="B4303" s="1">
        <v>41464</v>
      </c>
      <c r="C4303" s="2">
        <v>5859</v>
      </c>
      <c r="D4303" s="2">
        <v>5834.6</v>
      </c>
      <c r="E4303" s="2">
        <v>5864.95</v>
      </c>
      <c r="F4303" s="2">
        <v>5834.6</v>
      </c>
      <c r="G4303" s="3">
        <f t="shared" si="203"/>
        <v>8.1647753181164351E-3</v>
      </c>
      <c r="H4303" s="2">
        <f t="shared" si="201"/>
        <v>30.349999999999454</v>
      </c>
      <c r="I4303" s="3">
        <f t="shared" si="202"/>
        <v>5.2017276248585084E-3</v>
      </c>
    </row>
    <row r="4304" spans="2:9" x14ac:dyDescent="0.25">
      <c r="B4304" s="1">
        <v>41465</v>
      </c>
      <c r="C4304" s="2">
        <v>5816.7</v>
      </c>
      <c r="D4304" s="2">
        <v>5869.9</v>
      </c>
      <c r="E4304" s="2">
        <v>5879.35</v>
      </c>
      <c r="F4304" s="2">
        <v>5802.85</v>
      </c>
      <c r="G4304" s="3">
        <f t="shared" si="203"/>
        <v>-7.2196620583717674E-3</v>
      </c>
      <c r="H4304" s="2">
        <f t="shared" si="201"/>
        <v>76.5</v>
      </c>
      <c r="I4304" s="3">
        <f t="shared" si="202"/>
        <v>1.3032589993015214E-2</v>
      </c>
    </row>
    <row r="4305" spans="2:9" x14ac:dyDescent="0.25">
      <c r="B4305" s="1">
        <v>41466</v>
      </c>
      <c r="C4305" s="2">
        <v>5935.1</v>
      </c>
      <c r="D4305" s="2">
        <v>5894.5</v>
      </c>
      <c r="E4305" s="2">
        <v>5948.85</v>
      </c>
      <c r="F4305" s="2">
        <v>5887.95</v>
      </c>
      <c r="G4305" s="3">
        <f t="shared" si="203"/>
        <v>2.0355184210978816E-2</v>
      </c>
      <c r="H4305" s="2">
        <f t="shared" si="201"/>
        <v>60.900000000000546</v>
      </c>
      <c r="I4305" s="3">
        <f t="shared" si="202"/>
        <v>1.0331665111544753E-2</v>
      </c>
    </row>
    <row r="4306" spans="2:9" x14ac:dyDescent="0.25">
      <c r="B4306" s="1">
        <v>41467</v>
      </c>
      <c r="C4306" s="2">
        <v>6009</v>
      </c>
      <c r="D4306" s="2">
        <v>6000.5</v>
      </c>
      <c r="E4306" s="2">
        <v>6019</v>
      </c>
      <c r="F4306" s="2">
        <v>5951.15</v>
      </c>
      <c r="G4306" s="3">
        <f t="shared" si="203"/>
        <v>1.2451348755707414E-2</v>
      </c>
      <c r="H4306" s="2">
        <f t="shared" si="201"/>
        <v>67.850000000000364</v>
      </c>
      <c r="I4306" s="3">
        <f t="shared" si="202"/>
        <v>1.1307391050745831E-2</v>
      </c>
    </row>
    <row r="4307" spans="2:9" x14ac:dyDescent="0.25">
      <c r="B4307" s="1">
        <v>41470</v>
      </c>
      <c r="C4307" s="2">
        <v>6030.8</v>
      </c>
      <c r="D4307" s="2">
        <v>5991.2</v>
      </c>
      <c r="E4307" s="2">
        <v>6038.2</v>
      </c>
      <c r="F4307" s="2">
        <v>5980.95</v>
      </c>
      <c r="G4307" s="3">
        <f t="shared" si="203"/>
        <v>3.6278914960892195E-3</v>
      </c>
      <c r="H4307" s="2">
        <f t="shared" si="201"/>
        <v>57.25</v>
      </c>
      <c r="I4307" s="3">
        <f t="shared" si="202"/>
        <v>9.5556816664441185E-3</v>
      </c>
    </row>
    <row r="4308" spans="2:9" x14ac:dyDescent="0.25">
      <c r="B4308" s="1">
        <v>41471</v>
      </c>
      <c r="C4308" s="2">
        <v>5955.25</v>
      </c>
      <c r="D4308" s="2">
        <v>5930.8</v>
      </c>
      <c r="E4308" s="2">
        <v>5966.05</v>
      </c>
      <c r="F4308" s="2">
        <v>5910.95</v>
      </c>
      <c r="G4308" s="3">
        <f t="shared" si="203"/>
        <v>-1.2527359554287965E-2</v>
      </c>
      <c r="H4308" s="2">
        <f t="shared" si="201"/>
        <v>55.100000000000364</v>
      </c>
      <c r="I4308" s="3">
        <f t="shared" si="202"/>
        <v>9.2904835772577663E-3</v>
      </c>
    </row>
    <row r="4309" spans="2:9" x14ac:dyDescent="0.25">
      <c r="B4309" s="1">
        <v>41472</v>
      </c>
      <c r="C4309" s="2">
        <v>5973.3</v>
      </c>
      <c r="D4309" s="2">
        <v>5972.25</v>
      </c>
      <c r="E4309" s="2">
        <v>5989.8</v>
      </c>
      <c r="F4309" s="2">
        <v>5926.75</v>
      </c>
      <c r="G4309" s="3">
        <f t="shared" si="203"/>
        <v>3.0309390873599629E-3</v>
      </c>
      <c r="H4309" s="2">
        <f t="shared" si="201"/>
        <v>63.050000000000182</v>
      </c>
      <c r="I4309" s="3">
        <f t="shared" si="202"/>
        <v>1.0557160199254918E-2</v>
      </c>
    </row>
    <row r="4310" spans="2:9" x14ac:dyDescent="0.25">
      <c r="B4310" s="1">
        <v>41473</v>
      </c>
      <c r="C4310" s="2">
        <v>6038.05</v>
      </c>
      <c r="D4310" s="2">
        <v>5984.7</v>
      </c>
      <c r="E4310" s="2">
        <v>6051.1</v>
      </c>
      <c r="F4310" s="2">
        <v>5974.55</v>
      </c>
      <c r="G4310" s="3">
        <f t="shared" si="203"/>
        <v>1.0839904240537157E-2</v>
      </c>
      <c r="H4310" s="2">
        <f t="shared" si="201"/>
        <v>76.550000000000182</v>
      </c>
      <c r="I4310" s="3">
        <f t="shared" si="202"/>
        <v>1.2790950256487407E-2</v>
      </c>
    </row>
    <row r="4311" spans="2:9" x14ac:dyDescent="0.25">
      <c r="B4311" s="1">
        <v>41474</v>
      </c>
      <c r="C4311" s="2">
        <v>6029.2</v>
      </c>
      <c r="D4311" s="2">
        <v>6057.2</v>
      </c>
      <c r="E4311" s="2">
        <v>6066.85</v>
      </c>
      <c r="F4311" s="2">
        <v>6020.25</v>
      </c>
      <c r="G4311" s="3">
        <f t="shared" si="203"/>
        <v>-1.4657049875373973E-3</v>
      </c>
      <c r="H4311" s="2">
        <f t="shared" si="201"/>
        <v>46.600000000000364</v>
      </c>
      <c r="I4311" s="3">
        <f t="shared" si="202"/>
        <v>7.6933236478901748E-3</v>
      </c>
    </row>
    <row r="4312" spans="2:9" x14ac:dyDescent="0.25">
      <c r="B4312" s="1">
        <v>41477</v>
      </c>
      <c r="C4312" s="2">
        <v>6031.8</v>
      </c>
      <c r="D4312" s="2">
        <v>6009.75</v>
      </c>
      <c r="E4312" s="2">
        <v>6064.15</v>
      </c>
      <c r="F4312" s="2">
        <v>6004.25</v>
      </c>
      <c r="G4312" s="3">
        <f t="shared" si="203"/>
        <v>4.3123465799776994E-4</v>
      </c>
      <c r="H4312" s="2">
        <f t="shared" si="201"/>
        <v>59.899999999999636</v>
      </c>
      <c r="I4312" s="3">
        <f t="shared" si="202"/>
        <v>9.9671367361370503E-3</v>
      </c>
    </row>
    <row r="4313" spans="2:9" x14ac:dyDescent="0.25">
      <c r="B4313" s="1">
        <v>41478</v>
      </c>
      <c r="C4313" s="2">
        <v>6077.8</v>
      </c>
      <c r="D4313" s="2">
        <v>6064.3</v>
      </c>
      <c r="E4313" s="2">
        <v>6093.35</v>
      </c>
      <c r="F4313" s="2">
        <v>6061.3</v>
      </c>
      <c r="G4313" s="3">
        <f t="shared" si="203"/>
        <v>7.6262475546271524E-3</v>
      </c>
      <c r="H4313" s="2">
        <f t="shared" si="201"/>
        <v>32.050000000000182</v>
      </c>
      <c r="I4313" s="3">
        <f t="shared" si="202"/>
        <v>5.2850287749616909E-3</v>
      </c>
    </row>
    <row r="4314" spans="2:9" x14ac:dyDescent="0.25">
      <c r="B4314" s="1">
        <v>41479</v>
      </c>
      <c r="C4314" s="2">
        <v>5990.5</v>
      </c>
      <c r="D4314" s="2">
        <v>6032.2</v>
      </c>
      <c r="E4314" s="2">
        <v>6047.25</v>
      </c>
      <c r="F4314" s="2">
        <v>5962.6</v>
      </c>
      <c r="G4314" s="3">
        <f t="shared" si="203"/>
        <v>-1.4363750041133327E-2</v>
      </c>
      <c r="H4314" s="2">
        <f t="shared" si="201"/>
        <v>84.649999999999636</v>
      </c>
      <c r="I4314" s="3">
        <f t="shared" si="202"/>
        <v>1.4033022777759299E-2</v>
      </c>
    </row>
    <row r="4315" spans="2:9" x14ac:dyDescent="0.25">
      <c r="B4315" s="1">
        <v>41480</v>
      </c>
      <c r="C4315" s="2">
        <v>5907.5</v>
      </c>
      <c r="D4315" s="2">
        <v>5970.4</v>
      </c>
      <c r="E4315" s="2">
        <v>5990.65</v>
      </c>
      <c r="F4315" s="2">
        <v>5896.4</v>
      </c>
      <c r="G4315" s="3">
        <f t="shared" si="203"/>
        <v>-1.3855270845505419E-2</v>
      </c>
      <c r="H4315" s="2">
        <f t="shared" si="201"/>
        <v>94.25</v>
      </c>
      <c r="I4315" s="3">
        <f t="shared" si="202"/>
        <v>1.5786211979096878E-2</v>
      </c>
    </row>
    <row r="4316" spans="2:9" x14ac:dyDescent="0.25">
      <c r="B4316" s="1">
        <v>41481</v>
      </c>
      <c r="C4316" s="2">
        <v>5886.2</v>
      </c>
      <c r="D4316" s="2">
        <v>5937.95</v>
      </c>
      <c r="E4316" s="2">
        <v>5944.5</v>
      </c>
      <c r="F4316" s="2">
        <v>5869.5</v>
      </c>
      <c r="G4316" s="3">
        <f t="shared" si="203"/>
        <v>-3.6055861193398098E-3</v>
      </c>
      <c r="H4316" s="2">
        <f t="shared" si="201"/>
        <v>75</v>
      </c>
      <c r="I4316" s="3">
        <f t="shared" si="202"/>
        <v>1.2630621679199051E-2</v>
      </c>
    </row>
    <row r="4317" spans="2:9" x14ac:dyDescent="0.25">
      <c r="B4317" s="1">
        <v>41484</v>
      </c>
      <c r="C4317" s="2">
        <v>5831.65</v>
      </c>
      <c r="D4317" s="2">
        <v>5869.95</v>
      </c>
      <c r="E4317" s="2">
        <v>5886</v>
      </c>
      <c r="F4317" s="2">
        <v>5825.8</v>
      </c>
      <c r="G4317" s="3">
        <f t="shared" si="203"/>
        <v>-9.267439094831964E-3</v>
      </c>
      <c r="H4317" s="2">
        <f t="shared" si="201"/>
        <v>60.199999999999818</v>
      </c>
      <c r="I4317" s="3">
        <f t="shared" si="202"/>
        <v>1.0255623983168481E-2</v>
      </c>
    </row>
    <row r="4318" spans="2:9" x14ac:dyDescent="0.25">
      <c r="B4318" s="1">
        <v>41485</v>
      </c>
      <c r="C4318" s="2">
        <v>5755.05</v>
      </c>
      <c r="D4318" s="2">
        <v>5836.05</v>
      </c>
      <c r="E4318" s="2">
        <v>5861.3</v>
      </c>
      <c r="F4318" s="2">
        <v>5747.6</v>
      </c>
      <c r="G4318" s="3">
        <f t="shared" si="203"/>
        <v>-1.3135219020345756E-2</v>
      </c>
      <c r="H4318" s="2">
        <f t="shared" si="201"/>
        <v>113.69999999999982</v>
      </c>
      <c r="I4318" s="3">
        <f t="shared" si="202"/>
        <v>1.9482355360217925E-2</v>
      </c>
    </row>
    <row r="4319" spans="2:9" x14ac:dyDescent="0.25">
      <c r="B4319" s="1">
        <v>41486</v>
      </c>
      <c r="C4319" s="2">
        <v>5742</v>
      </c>
      <c r="D4319" s="2">
        <v>5738.35</v>
      </c>
      <c r="E4319" s="2">
        <v>5752.1</v>
      </c>
      <c r="F4319" s="2">
        <v>5675.75</v>
      </c>
      <c r="G4319" s="3">
        <f t="shared" si="203"/>
        <v>-2.2675736961451642E-3</v>
      </c>
      <c r="H4319" s="2">
        <f t="shared" si="201"/>
        <v>76.350000000000364</v>
      </c>
      <c r="I4319" s="3">
        <f t="shared" si="202"/>
        <v>1.3305218399017202E-2</v>
      </c>
    </row>
    <row r="4320" spans="2:9" x14ac:dyDescent="0.25">
      <c r="B4320" s="1">
        <v>41487</v>
      </c>
      <c r="C4320" s="2">
        <v>5727.85</v>
      </c>
      <c r="D4320" s="2">
        <v>5776.9</v>
      </c>
      <c r="E4320" s="2">
        <v>5808.5</v>
      </c>
      <c r="F4320" s="2">
        <v>5676.85</v>
      </c>
      <c r="G4320" s="3">
        <f t="shared" si="203"/>
        <v>-2.4642981539532149E-3</v>
      </c>
      <c r="H4320" s="2">
        <f t="shared" si="201"/>
        <v>131.64999999999964</v>
      </c>
      <c r="I4320" s="3">
        <f t="shared" si="202"/>
        <v>2.2789039104017663E-2</v>
      </c>
    </row>
    <row r="4321" spans="2:9" x14ac:dyDescent="0.25">
      <c r="B4321" s="1">
        <v>41488</v>
      </c>
      <c r="C4321" s="2">
        <v>5677.9</v>
      </c>
      <c r="D4321" s="2">
        <v>5750.05</v>
      </c>
      <c r="E4321" s="2">
        <v>5761.85</v>
      </c>
      <c r="F4321" s="2">
        <v>5649</v>
      </c>
      <c r="G4321" s="3">
        <f t="shared" si="203"/>
        <v>-8.7205495953980305E-3</v>
      </c>
      <c r="H4321" s="2">
        <f t="shared" si="201"/>
        <v>112.85000000000036</v>
      </c>
      <c r="I4321" s="3">
        <f t="shared" si="202"/>
        <v>1.9625916296380094E-2</v>
      </c>
    </row>
    <row r="4322" spans="2:9" x14ac:dyDescent="0.25">
      <c r="B4322" s="1">
        <v>41491</v>
      </c>
      <c r="C4322" s="2">
        <v>5685.4</v>
      </c>
      <c r="D4322" s="2">
        <v>5682.4</v>
      </c>
      <c r="E4322" s="2">
        <v>5721</v>
      </c>
      <c r="F4322" s="2">
        <v>5661.5</v>
      </c>
      <c r="G4322" s="3">
        <f t="shared" si="203"/>
        <v>1.3209109001568464E-3</v>
      </c>
      <c r="H4322" s="2">
        <f t="shared" si="201"/>
        <v>59.5</v>
      </c>
      <c r="I4322" s="3">
        <f t="shared" si="202"/>
        <v>1.0470927776995636E-2</v>
      </c>
    </row>
    <row r="4323" spans="2:9" x14ac:dyDescent="0.25">
      <c r="B4323" s="1">
        <v>41492</v>
      </c>
      <c r="C4323" s="2">
        <v>5542.25</v>
      </c>
      <c r="D4323" s="2">
        <v>5664.9</v>
      </c>
      <c r="E4323" s="2">
        <v>5664.9</v>
      </c>
      <c r="F4323" s="2">
        <v>5521.8</v>
      </c>
      <c r="G4323" s="3">
        <f t="shared" si="203"/>
        <v>-2.5178527456291455E-2</v>
      </c>
      <c r="H4323" s="2">
        <f t="shared" si="201"/>
        <v>143.09999999999945</v>
      </c>
      <c r="I4323" s="3">
        <f t="shared" si="202"/>
        <v>2.526081660753049E-2</v>
      </c>
    </row>
    <row r="4324" spans="2:9" x14ac:dyDescent="0.25">
      <c r="B4324" s="1">
        <v>41493</v>
      </c>
      <c r="C4324" s="2">
        <v>5519.1</v>
      </c>
      <c r="D4324" s="2">
        <v>5549.3</v>
      </c>
      <c r="E4324" s="2">
        <v>5561.45</v>
      </c>
      <c r="F4324" s="2">
        <v>5486.85</v>
      </c>
      <c r="G4324" s="3">
        <f t="shared" si="203"/>
        <v>-4.1770039243989032E-3</v>
      </c>
      <c r="H4324" s="2">
        <f t="shared" si="201"/>
        <v>74.599999999999454</v>
      </c>
      <c r="I4324" s="3">
        <f t="shared" si="202"/>
        <v>1.3443136972230632E-2</v>
      </c>
    </row>
    <row r="4325" spans="2:9" x14ac:dyDescent="0.25">
      <c r="B4325" s="1">
        <v>41494</v>
      </c>
      <c r="C4325" s="2">
        <v>5565.65</v>
      </c>
      <c r="D4325" s="2">
        <v>5510.05</v>
      </c>
      <c r="E4325" s="2">
        <v>5577.6</v>
      </c>
      <c r="F4325" s="2">
        <v>5510.05</v>
      </c>
      <c r="G4325" s="3">
        <f t="shared" si="203"/>
        <v>8.4343461796305697E-3</v>
      </c>
      <c r="H4325" s="2">
        <f t="shared" si="201"/>
        <v>67.550000000000182</v>
      </c>
      <c r="I4325" s="3">
        <f t="shared" si="202"/>
        <v>1.2259416883694373E-2</v>
      </c>
    </row>
    <row r="4326" spans="2:9" x14ac:dyDescent="0.25">
      <c r="B4326" s="1">
        <v>41498</v>
      </c>
      <c r="C4326" s="2">
        <v>5612.4</v>
      </c>
      <c r="D4326" s="2">
        <v>5606.7</v>
      </c>
      <c r="E4326" s="2">
        <v>5644.1</v>
      </c>
      <c r="F4326" s="2">
        <v>5557.1</v>
      </c>
      <c r="G4326" s="3">
        <f t="shared" si="203"/>
        <v>8.3997376766415943E-3</v>
      </c>
      <c r="H4326" s="2">
        <f t="shared" si="201"/>
        <v>87</v>
      </c>
      <c r="I4326" s="3">
        <f t="shared" si="202"/>
        <v>1.5517149125153834E-2</v>
      </c>
    </row>
    <row r="4327" spans="2:9" x14ac:dyDescent="0.25">
      <c r="B4327" s="1">
        <v>41499</v>
      </c>
      <c r="C4327" s="2">
        <v>5699.3</v>
      </c>
      <c r="D4327" s="2">
        <v>5600.25</v>
      </c>
      <c r="E4327" s="2">
        <v>5704.75</v>
      </c>
      <c r="F4327" s="2">
        <v>5578.9</v>
      </c>
      <c r="G4327" s="3">
        <f t="shared" si="203"/>
        <v>1.5483572090371434E-2</v>
      </c>
      <c r="H4327" s="2">
        <f t="shared" si="201"/>
        <v>125.85000000000036</v>
      </c>
      <c r="I4327" s="3">
        <f t="shared" si="202"/>
        <v>2.2472211062006225E-2</v>
      </c>
    </row>
    <row r="4328" spans="2:9" x14ac:dyDescent="0.25">
      <c r="B4328" s="1">
        <v>41500</v>
      </c>
      <c r="C4328" s="2">
        <v>5742.3</v>
      </c>
      <c r="D4328" s="2">
        <v>5715.4</v>
      </c>
      <c r="E4328" s="2">
        <v>5754.55</v>
      </c>
      <c r="F4328" s="2">
        <v>5690.2</v>
      </c>
      <c r="G4328" s="3">
        <f t="shared" si="203"/>
        <v>7.544786201814313E-3</v>
      </c>
      <c r="H4328" s="2">
        <f t="shared" si="201"/>
        <v>64.350000000000364</v>
      </c>
      <c r="I4328" s="3">
        <f t="shared" si="202"/>
        <v>1.1259054484375612E-2</v>
      </c>
    </row>
    <row r="4329" spans="2:9" x14ac:dyDescent="0.25">
      <c r="B4329" s="1">
        <v>41502</v>
      </c>
      <c r="C4329" s="2">
        <v>5507.85</v>
      </c>
      <c r="D4329" s="2">
        <v>5705.45</v>
      </c>
      <c r="E4329" s="2">
        <v>5716.6</v>
      </c>
      <c r="F4329" s="2">
        <v>5496.05</v>
      </c>
      <c r="G4329" s="3">
        <f t="shared" si="203"/>
        <v>-4.0828587848074749E-2</v>
      </c>
      <c r="H4329" s="2">
        <f t="shared" si="201"/>
        <v>220.55000000000018</v>
      </c>
      <c r="I4329" s="3">
        <f t="shared" si="202"/>
        <v>3.865602187382243E-2</v>
      </c>
    </row>
    <row r="4330" spans="2:9" x14ac:dyDescent="0.25">
      <c r="B4330" s="1">
        <v>41505</v>
      </c>
      <c r="C4330" s="2">
        <v>5414.75</v>
      </c>
      <c r="D4330" s="2">
        <v>5497.55</v>
      </c>
      <c r="E4330" s="2">
        <v>5499.65</v>
      </c>
      <c r="F4330" s="2">
        <v>5360.65</v>
      </c>
      <c r="G4330" s="3">
        <f t="shared" si="203"/>
        <v>-1.6903147326089218E-2</v>
      </c>
      <c r="H4330" s="2">
        <f t="shared" si="201"/>
        <v>139</v>
      </c>
      <c r="I4330" s="3">
        <f t="shared" si="202"/>
        <v>2.5283990141062838E-2</v>
      </c>
    </row>
    <row r="4331" spans="2:9" x14ac:dyDescent="0.25">
      <c r="B4331" s="1">
        <v>41506</v>
      </c>
      <c r="C4331" s="2">
        <v>5401.45</v>
      </c>
      <c r="D4331" s="2">
        <v>5353.45</v>
      </c>
      <c r="E4331" s="2">
        <v>5417.8</v>
      </c>
      <c r="F4331" s="2">
        <v>5306.35</v>
      </c>
      <c r="G4331" s="3">
        <f t="shared" si="203"/>
        <v>-2.4562537513274085E-3</v>
      </c>
      <c r="H4331" s="2">
        <f t="shared" si="201"/>
        <v>111.44999999999982</v>
      </c>
      <c r="I4331" s="3">
        <f t="shared" si="202"/>
        <v>2.0818350783139813E-2</v>
      </c>
    </row>
    <row r="4332" spans="2:9" x14ac:dyDescent="0.25">
      <c r="B4332" s="1">
        <v>41507</v>
      </c>
      <c r="C4332" s="2">
        <v>5302.55</v>
      </c>
      <c r="D4332" s="2">
        <v>5494.45</v>
      </c>
      <c r="E4332" s="2">
        <v>5504.1</v>
      </c>
      <c r="F4332" s="2">
        <v>5268.45</v>
      </c>
      <c r="G4332" s="3">
        <f t="shared" si="203"/>
        <v>-1.8309898268057623E-2</v>
      </c>
      <c r="H4332" s="2">
        <f t="shared" si="201"/>
        <v>235.65000000000055</v>
      </c>
      <c r="I4332" s="3">
        <f t="shared" si="202"/>
        <v>4.2888733176205181E-2</v>
      </c>
    </row>
    <row r="4333" spans="2:9" x14ac:dyDescent="0.25">
      <c r="B4333" s="1">
        <v>41508</v>
      </c>
      <c r="C4333" s="2">
        <v>5408.45</v>
      </c>
      <c r="D4333" s="2">
        <v>5282.8</v>
      </c>
      <c r="E4333" s="2">
        <v>5418.95</v>
      </c>
      <c r="F4333" s="2">
        <v>5254.05</v>
      </c>
      <c r="G4333" s="3">
        <f t="shared" si="203"/>
        <v>1.9971523135095204E-2</v>
      </c>
      <c r="H4333" s="2">
        <f t="shared" si="201"/>
        <v>164.89999999999964</v>
      </c>
      <c r="I4333" s="3">
        <f t="shared" si="202"/>
        <v>3.1214507458166053E-2</v>
      </c>
    </row>
    <row r="4334" spans="2:9" x14ac:dyDescent="0.25">
      <c r="B4334" s="1">
        <v>41509</v>
      </c>
      <c r="C4334" s="2">
        <v>5471.75</v>
      </c>
      <c r="D4334" s="2">
        <v>5428.75</v>
      </c>
      <c r="E4334" s="2">
        <v>5478.8</v>
      </c>
      <c r="F4334" s="2">
        <v>5377.8</v>
      </c>
      <c r="G4334" s="3">
        <f t="shared" si="203"/>
        <v>1.1703907773946254E-2</v>
      </c>
      <c r="H4334" s="2">
        <f t="shared" si="201"/>
        <v>101</v>
      </c>
      <c r="I4334" s="3">
        <f t="shared" si="202"/>
        <v>1.8604651162790697E-2</v>
      </c>
    </row>
    <row r="4335" spans="2:9" x14ac:dyDescent="0.25">
      <c r="B4335" s="1">
        <v>41512</v>
      </c>
      <c r="C4335" s="2">
        <v>5476.5</v>
      </c>
      <c r="D4335" s="2">
        <v>5499.4</v>
      </c>
      <c r="E4335" s="2">
        <v>5528.7</v>
      </c>
      <c r="F4335" s="2">
        <v>5454.45</v>
      </c>
      <c r="G4335" s="3">
        <f t="shared" si="203"/>
        <v>8.6809521633846032E-4</v>
      </c>
      <c r="H4335" s="2">
        <f t="shared" si="201"/>
        <v>74.25</v>
      </c>
      <c r="I4335" s="3">
        <f t="shared" si="202"/>
        <v>1.3501472887951414E-2</v>
      </c>
    </row>
    <row r="4336" spans="2:9" x14ac:dyDescent="0.25">
      <c r="B4336" s="1">
        <v>41513</v>
      </c>
      <c r="C4336" s="2">
        <v>5287.45</v>
      </c>
      <c r="D4336" s="2">
        <v>5426.5</v>
      </c>
      <c r="E4336" s="2">
        <v>5427.4</v>
      </c>
      <c r="F4336" s="2">
        <v>5274.25</v>
      </c>
      <c r="G4336" s="3">
        <f t="shared" si="203"/>
        <v>-3.4520222770017428E-2</v>
      </c>
      <c r="H4336" s="2">
        <f t="shared" si="201"/>
        <v>153.14999999999964</v>
      </c>
      <c r="I4336" s="3">
        <f t="shared" si="202"/>
        <v>2.8222611259559501E-2</v>
      </c>
    </row>
    <row r="4337" spans="2:9" x14ac:dyDescent="0.25">
      <c r="B4337" s="1">
        <v>41514</v>
      </c>
      <c r="C4337" s="2">
        <v>5285</v>
      </c>
      <c r="D4337" s="2">
        <v>5233.45</v>
      </c>
      <c r="E4337" s="2">
        <v>5317.7</v>
      </c>
      <c r="F4337" s="2">
        <v>5118.8500000000004</v>
      </c>
      <c r="G4337" s="3">
        <f t="shared" si="203"/>
        <v>-4.6336135566293901E-4</v>
      </c>
      <c r="H4337" s="2">
        <f t="shared" si="201"/>
        <v>198.84999999999945</v>
      </c>
      <c r="I4337" s="3">
        <f t="shared" si="202"/>
        <v>3.7995968242746078E-2</v>
      </c>
    </row>
    <row r="4338" spans="2:9" x14ac:dyDescent="0.25">
      <c r="B4338" s="1">
        <v>41515</v>
      </c>
      <c r="C4338" s="2">
        <v>5409.05</v>
      </c>
      <c r="D4338" s="2">
        <v>5316.5</v>
      </c>
      <c r="E4338" s="2">
        <v>5428.9</v>
      </c>
      <c r="F4338" s="2">
        <v>5303</v>
      </c>
      <c r="G4338" s="3">
        <f t="shared" si="203"/>
        <v>2.3472090823084324E-2</v>
      </c>
      <c r="H4338" s="2">
        <f t="shared" si="201"/>
        <v>125.89999999999964</v>
      </c>
      <c r="I4338" s="3">
        <f t="shared" si="202"/>
        <v>2.3680993134580951E-2</v>
      </c>
    </row>
    <row r="4339" spans="2:9" x14ac:dyDescent="0.25">
      <c r="B4339" s="1">
        <v>41516</v>
      </c>
      <c r="C4339" s="2">
        <v>5471.8</v>
      </c>
      <c r="D4339" s="2">
        <v>5407.45</v>
      </c>
      <c r="E4339" s="2">
        <v>5493.3</v>
      </c>
      <c r="F4339" s="2">
        <v>5360.2</v>
      </c>
      <c r="G4339" s="3">
        <f t="shared" si="203"/>
        <v>1.1600928074245953E-2</v>
      </c>
      <c r="H4339" s="2">
        <f t="shared" si="201"/>
        <v>133.10000000000036</v>
      </c>
      <c r="I4339" s="3">
        <f t="shared" si="202"/>
        <v>2.4614189682752568E-2</v>
      </c>
    </row>
    <row r="4340" spans="2:9" x14ac:dyDescent="0.25">
      <c r="B4340" s="1">
        <v>41519</v>
      </c>
      <c r="C4340" s="2">
        <v>5550.75</v>
      </c>
      <c r="D4340" s="2">
        <v>5480.25</v>
      </c>
      <c r="E4340" s="2">
        <v>5564.9</v>
      </c>
      <c r="F4340" s="2">
        <v>5478.85</v>
      </c>
      <c r="G4340" s="3">
        <f t="shared" si="203"/>
        <v>1.4428524434372481E-2</v>
      </c>
      <c r="H4340" s="2">
        <f t="shared" si="201"/>
        <v>86.049999999999272</v>
      </c>
      <c r="I4340" s="3">
        <f t="shared" si="202"/>
        <v>1.5701838419779988E-2</v>
      </c>
    </row>
    <row r="4341" spans="2:9" x14ac:dyDescent="0.25">
      <c r="B4341" s="1">
        <v>41520</v>
      </c>
      <c r="C4341" s="2">
        <v>5341.45</v>
      </c>
      <c r="D4341" s="2">
        <v>5574.7</v>
      </c>
      <c r="E4341" s="2">
        <v>5580.95</v>
      </c>
      <c r="F4341" s="2">
        <v>5323.75</v>
      </c>
      <c r="G4341" s="3">
        <f t="shared" si="203"/>
        <v>-3.7706616223032952E-2</v>
      </c>
      <c r="H4341" s="2">
        <f t="shared" si="201"/>
        <v>257.19999999999982</v>
      </c>
      <c r="I4341" s="3">
        <f t="shared" si="202"/>
        <v>4.613701185714026E-2</v>
      </c>
    </row>
    <row r="4342" spans="2:9" x14ac:dyDescent="0.25">
      <c r="B4342" s="1">
        <v>41521</v>
      </c>
      <c r="C4342" s="2">
        <v>5448.1</v>
      </c>
      <c r="D4342" s="2">
        <v>5358.65</v>
      </c>
      <c r="E4342" s="2">
        <v>5460.25</v>
      </c>
      <c r="F4342" s="2">
        <v>5318.9</v>
      </c>
      <c r="G4342" s="3">
        <f t="shared" si="203"/>
        <v>1.9966488500313684E-2</v>
      </c>
      <c r="H4342" s="2">
        <f t="shared" si="201"/>
        <v>141.35000000000036</v>
      </c>
      <c r="I4342" s="3">
        <f t="shared" si="202"/>
        <v>2.6377912347326355E-2</v>
      </c>
    </row>
    <row r="4343" spans="2:9" x14ac:dyDescent="0.25">
      <c r="B4343" s="1">
        <v>41522</v>
      </c>
      <c r="C4343" s="2">
        <v>5592.95</v>
      </c>
      <c r="D4343" s="2">
        <v>5553.75</v>
      </c>
      <c r="E4343" s="2">
        <v>5625.75</v>
      </c>
      <c r="F4343" s="2">
        <v>5552.7</v>
      </c>
      <c r="G4343" s="3">
        <f t="shared" si="203"/>
        <v>2.6587250601126877E-2</v>
      </c>
      <c r="H4343" s="2">
        <f t="shared" si="201"/>
        <v>73.050000000000182</v>
      </c>
      <c r="I4343" s="3">
        <f t="shared" si="202"/>
        <v>1.3153274814314685E-2</v>
      </c>
    </row>
    <row r="4344" spans="2:9" x14ac:dyDescent="0.25">
      <c r="B4344" s="1">
        <v>41523</v>
      </c>
      <c r="C4344" s="2">
        <v>5680.4</v>
      </c>
      <c r="D4344" s="2">
        <v>5617.45</v>
      </c>
      <c r="E4344" s="2">
        <v>5688.6</v>
      </c>
      <c r="F4344" s="2">
        <v>5566.15</v>
      </c>
      <c r="G4344" s="3">
        <f t="shared" si="203"/>
        <v>1.5635755728193423E-2</v>
      </c>
      <c r="H4344" s="2">
        <f t="shared" si="201"/>
        <v>122.45000000000073</v>
      </c>
      <c r="I4344" s="3">
        <f t="shared" si="202"/>
        <v>2.1798146845988967E-2</v>
      </c>
    </row>
    <row r="4345" spans="2:9" x14ac:dyDescent="0.25">
      <c r="B4345" s="1">
        <v>41527</v>
      </c>
      <c r="C4345" s="2">
        <v>5896.75</v>
      </c>
      <c r="D4345" s="2">
        <v>5738.5</v>
      </c>
      <c r="E4345" s="2">
        <v>5904.85</v>
      </c>
      <c r="F4345" s="2">
        <v>5738.2</v>
      </c>
      <c r="G4345" s="3">
        <f t="shared" si="203"/>
        <v>3.8087106541792926E-2</v>
      </c>
      <c r="H4345" s="2">
        <f t="shared" si="201"/>
        <v>166.65000000000055</v>
      </c>
      <c r="I4345" s="3">
        <f t="shared" si="202"/>
        <v>2.9040690075803878E-2</v>
      </c>
    </row>
    <row r="4346" spans="2:9" x14ac:dyDescent="0.25">
      <c r="B4346" s="1">
        <v>41528</v>
      </c>
      <c r="C4346" s="2">
        <v>5913.15</v>
      </c>
      <c r="D4346" s="2">
        <v>5887.25</v>
      </c>
      <c r="E4346" s="2">
        <v>5924.35</v>
      </c>
      <c r="F4346" s="2">
        <v>5832.7</v>
      </c>
      <c r="G4346" s="3">
        <f t="shared" si="203"/>
        <v>2.7811930300589705E-3</v>
      </c>
      <c r="H4346" s="2">
        <f t="shared" si="201"/>
        <v>91.650000000000546</v>
      </c>
      <c r="I4346" s="3">
        <f t="shared" si="202"/>
        <v>1.5567540022931002E-2</v>
      </c>
    </row>
    <row r="4347" spans="2:9" x14ac:dyDescent="0.25">
      <c r="B4347" s="1">
        <v>41529</v>
      </c>
      <c r="C4347" s="2">
        <v>5850.7</v>
      </c>
      <c r="D4347" s="2">
        <v>5931.15</v>
      </c>
      <c r="E4347" s="2">
        <v>5932</v>
      </c>
      <c r="F4347" s="2">
        <v>5815.8</v>
      </c>
      <c r="G4347" s="3">
        <f t="shared" si="203"/>
        <v>-1.056120680178918E-2</v>
      </c>
      <c r="H4347" s="2">
        <f t="shared" si="201"/>
        <v>116.19999999999982</v>
      </c>
      <c r="I4347" s="3">
        <f t="shared" si="202"/>
        <v>1.9591478886893745E-2</v>
      </c>
    </row>
    <row r="4348" spans="2:9" x14ac:dyDescent="0.25">
      <c r="B4348" s="1">
        <v>41530</v>
      </c>
      <c r="C4348" s="2">
        <v>5850.6</v>
      </c>
      <c r="D4348" s="2">
        <v>5828</v>
      </c>
      <c r="E4348" s="2">
        <v>5884.3</v>
      </c>
      <c r="F4348" s="2">
        <v>5822.9</v>
      </c>
      <c r="G4348" s="3">
        <f t="shared" si="203"/>
        <v>-1.7091971900695668E-5</v>
      </c>
      <c r="H4348" s="2">
        <f t="shared" si="201"/>
        <v>61.400000000000546</v>
      </c>
      <c r="I4348" s="3">
        <f t="shared" si="202"/>
        <v>1.0535346602608192E-2</v>
      </c>
    </row>
    <row r="4349" spans="2:9" x14ac:dyDescent="0.25">
      <c r="B4349" s="1">
        <v>41533</v>
      </c>
      <c r="C4349" s="2">
        <v>5840.55</v>
      </c>
      <c r="D4349" s="2">
        <v>5930.3</v>
      </c>
      <c r="E4349" s="2">
        <v>5957.25</v>
      </c>
      <c r="F4349" s="2">
        <v>5798.15</v>
      </c>
      <c r="G4349" s="3">
        <f t="shared" si="203"/>
        <v>-1.7177725361501306E-3</v>
      </c>
      <c r="H4349" s="2">
        <f t="shared" si="201"/>
        <v>159.10000000000036</v>
      </c>
      <c r="I4349" s="3">
        <f t="shared" si="202"/>
        <v>2.6828322344569475E-2</v>
      </c>
    </row>
    <row r="4350" spans="2:9" x14ac:dyDescent="0.25">
      <c r="B4350" s="1">
        <v>41534</v>
      </c>
      <c r="C4350" s="2">
        <v>5850.2</v>
      </c>
      <c r="D4350" s="2">
        <v>5824.2</v>
      </c>
      <c r="E4350" s="2">
        <v>5857.8</v>
      </c>
      <c r="F4350" s="2">
        <v>5804.9</v>
      </c>
      <c r="G4350" s="3">
        <f t="shared" si="203"/>
        <v>1.6522416553235164E-3</v>
      </c>
      <c r="H4350" s="2">
        <f t="shared" si="201"/>
        <v>52.900000000000546</v>
      </c>
      <c r="I4350" s="3">
        <f t="shared" si="202"/>
        <v>9.0827924865218481E-3</v>
      </c>
    </row>
    <row r="4351" spans="2:9" x14ac:dyDescent="0.25">
      <c r="B4351" s="1">
        <v>41535</v>
      </c>
      <c r="C4351" s="2">
        <v>5899.45</v>
      </c>
      <c r="D4351" s="2">
        <v>5872.75</v>
      </c>
      <c r="E4351" s="2">
        <v>5916.9</v>
      </c>
      <c r="F4351" s="2">
        <v>5840.2</v>
      </c>
      <c r="G4351" s="3">
        <f t="shared" si="203"/>
        <v>8.4185156063041333E-3</v>
      </c>
      <c r="H4351" s="2">
        <f t="shared" si="201"/>
        <v>76.699999999999818</v>
      </c>
      <c r="I4351" s="3">
        <f t="shared" si="202"/>
        <v>1.3060320973990007E-2</v>
      </c>
    </row>
    <row r="4352" spans="2:9" x14ac:dyDescent="0.25">
      <c r="B4352" s="1">
        <v>41536</v>
      </c>
      <c r="C4352" s="2">
        <v>6115.55</v>
      </c>
      <c r="D4352" s="2">
        <v>6044.15</v>
      </c>
      <c r="E4352" s="2">
        <v>6142.5</v>
      </c>
      <c r="F4352" s="2">
        <v>6040.15</v>
      </c>
      <c r="G4352" s="3">
        <f t="shared" si="203"/>
        <v>3.6630533354804262E-2</v>
      </c>
      <c r="H4352" s="2">
        <f t="shared" si="201"/>
        <v>102.35000000000036</v>
      </c>
      <c r="I4352" s="3">
        <f t="shared" si="202"/>
        <v>1.693372930850498E-2</v>
      </c>
    </row>
    <row r="4353" spans="2:9" x14ac:dyDescent="0.25">
      <c r="B4353" s="1">
        <v>41537</v>
      </c>
      <c r="C4353" s="2">
        <v>6012.1</v>
      </c>
      <c r="D4353" s="2">
        <v>6104.55</v>
      </c>
      <c r="E4353" s="2">
        <v>6130.95</v>
      </c>
      <c r="F4353" s="2">
        <v>5932.85</v>
      </c>
      <c r="G4353" s="3">
        <f t="shared" si="203"/>
        <v>-1.6915894727375314E-2</v>
      </c>
      <c r="H4353" s="2">
        <f t="shared" si="201"/>
        <v>198.09999999999945</v>
      </c>
      <c r="I4353" s="3">
        <f t="shared" si="202"/>
        <v>3.2451204429482836E-2</v>
      </c>
    </row>
    <row r="4354" spans="2:9" x14ac:dyDescent="0.25">
      <c r="B4354" s="1">
        <v>41540</v>
      </c>
      <c r="C4354" s="2">
        <v>5889.75</v>
      </c>
      <c r="D4354" s="2">
        <v>5945.8</v>
      </c>
      <c r="E4354" s="2">
        <v>5989.4</v>
      </c>
      <c r="F4354" s="2">
        <v>5871.4</v>
      </c>
      <c r="G4354" s="3">
        <f t="shared" si="203"/>
        <v>-2.0350626237088609E-2</v>
      </c>
      <c r="H4354" s="2">
        <f t="shared" si="201"/>
        <v>118</v>
      </c>
      <c r="I4354" s="3">
        <f t="shared" si="202"/>
        <v>1.9845941673113793E-2</v>
      </c>
    </row>
    <row r="4355" spans="2:9" x14ac:dyDescent="0.25">
      <c r="B4355" s="1">
        <v>41541</v>
      </c>
      <c r="C4355" s="2">
        <v>5892.45</v>
      </c>
      <c r="D4355" s="2">
        <v>5855</v>
      </c>
      <c r="E4355" s="2">
        <v>5938.4</v>
      </c>
      <c r="F4355" s="2">
        <v>5854.55</v>
      </c>
      <c r="G4355" s="3">
        <f t="shared" si="203"/>
        <v>4.5842353240788114E-4</v>
      </c>
      <c r="H4355" s="2">
        <f t="shared" si="201"/>
        <v>83.849999999999454</v>
      </c>
      <c r="I4355" s="3">
        <f t="shared" si="202"/>
        <v>1.4321093082835091E-2</v>
      </c>
    </row>
    <row r="4356" spans="2:9" x14ac:dyDescent="0.25">
      <c r="B4356" s="1">
        <v>41542</v>
      </c>
      <c r="C4356" s="2">
        <v>5873.85</v>
      </c>
      <c r="D4356" s="2">
        <v>5901.55</v>
      </c>
      <c r="E4356" s="2">
        <v>5910.55</v>
      </c>
      <c r="F4356" s="2">
        <v>5811.1</v>
      </c>
      <c r="G4356" s="3">
        <f t="shared" si="203"/>
        <v>-3.1565817274646912E-3</v>
      </c>
      <c r="H4356" s="2">
        <f t="shared" si="201"/>
        <v>99.449999999999818</v>
      </c>
      <c r="I4356" s="3">
        <f t="shared" si="202"/>
        <v>1.6851505113063485E-2</v>
      </c>
    </row>
    <row r="4357" spans="2:9" x14ac:dyDescent="0.25">
      <c r="B4357" s="1">
        <v>41543</v>
      </c>
      <c r="C4357" s="2">
        <v>5882.25</v>
      </c>
      <c r="D4357" s="2">
        <v>5872.8</v>
      </c>
      <c r="E4357" s="2">
        <v>5917.65</v>
      </c>
      <c r="F4357" s="2">
        <v>5864.1</v>
      </c>
      <c r="G4357" s="3">
        <f t="shared" si="203"/>
        <v>1.4300671620828265E-3</v>
      </c>
      <c r="H4357" s="2">
        <f t="shared" ref="H4357:H4420" si="204">E4357-F4357</f>
        <v>53.549999999999272</v>
      </c>
      <c r="I4357" s="3">
        <f t="shared" si="202"/>
        <v>9.1183081324069052E-3</v>
      </c>
    </row>
    <row r="4358" spans="2:9" x14ac:dyDescent="0.25">
      <c r="B4358" s="1">
        <v>41544</v>
      </c>
      <c r="C4358" s="2">
        <v>5833.2</v>
      </c>
      <c r="D4358" s="2">
        <v>5905.55</v>
      </c>
      <c r="E4358" s="2">
        <v>5909.2</v>
      </c>
      <c r="F4358" s="2">
        <v>5819.3</v>
      </c>
      <c r="G4358" s="3">
        <f t="shared" si="203"/>
        <v>-8.3386459263037338E-3</v>
      </c>
      <c r="H4358" s="2">
        <f t="shared" si="204"/>
        <v>89.899999999999636</v>
      </c>
      <c r="I4358" s="3">
        <f t="shared" ref="I4358:I4421" si="205">H4358/D4358</f>
        <v>1.5222968224805417E-2</v>
      </c>
    </row>
    <row r="4359" spans="2:9" x14ac:dyDescent="0.25">
      <c r="B4359" s="1">
        <v>41547</v>
      </c>
      <c r="C4359" s="2">
        <v>5735.3</v>
      </c>
      <c r="D4359" s="2">
        <v>5801.05</v>
      </c>
      <c r="E4359" s="2">
        <v>5810.2</v>
      </c>
      <c r="F4359" s="2">
        <v>5718.5</v>
      </c>
      <c r="G4359" s="3">
        <f t="shared" ref="G4359:G4422" si="206">C4359/C4358-1</f>
        <v>-1.6783240759788765E-2</v>
      </c>
      <c r="H4359" s="2">
        <f t="shared" si="204"/>
        <v>91.699999999999818</v>
      </c>
      <c r="I4359" s="3">
        <f t="shared" si="205"/>
        <v>1.5807483128054373E-2</v>
      </c>
    </row>
    <row r="4360" spans="2:9" x14ac:dyDescent="0.25">
      <c r="B4360" s="1">
        <v>41548</v>
      </c>
      <c r="C4360" s="2">
        <v>5780.05</v>
      </c>
      <c r="D4360" s="2">
        <v>5756.1</v>
      </c>
      <c r="E4360" s="2">
        <v>5786.45</v>
      </c>
      <c r="F4360" s="2">
        <v>5700.95</v>
      </c>
      <c r="G4360" s="3">
        <f t="shared" si="206"/>
        <v>7.8025560999424037E-3</v>
      </c>
      <c r="H4360" s="2">
        <f t="shared" si="204"/>
        <v>85.5</v>
      </c>
      <c r="I4360" s="3">
        <f t="shared" si="205"/>
        <v>1.4853807265335904E-2</v>
      </c>
    </row>
    <row r="4361" spans="2:9" x14ac:dyDescent="0.25">
      <c r="B4361" s="1">
        <v>41550</v>
      </c>
      <c r="C4361" s="2">
        <v>5909.7</v>
      </c>
      <c r="D4361" s="2">
        <v>5819.1</v>
      </c>
      <c r="E4361" s="2">
        <v>5917.6</v>
      </c>
      <c r="F4361" s="2">
        <v>5802.7</v>
      </c>
      <c r="G4361" s="3">
        <f t="shared" si="206"/>
        <v>2.2430601811402884E-2</v>
      </c>
      <c r="H4361" s="2">
        <f t="shared" si="204"/>
        <v>114.90000000000055</v>
      </c>
      <c r="I4361" s="3">
        <f t="shared" si="205"/>
        <v>1.9745321441460111E-2</v>
      </c>
    </row>
    <row r="4362" spans="2:9" x14ac:dyDescent="0.25">
      <c r="B4362" s="1">
        <v>41551</v>
      </c>
      <c r="C4362" s="2">
        <v>5907.3</v>
      </c>
      <c r="D4362" s="2">
        <v>5891.3</v>
      </c>
      <c r="E4362" s="2">
        <v>5950.45</v>
      </c>
      <c r="F4362" s="2">
        <v>5885</v>
      </c>
      <c r="G4362" s="3">
        <f t="shared" si="206"/>
        <v>-4.0611198537987558E-4</v>
      </c>
      <c r="H4362" s="2">
        <f t="shared" si="204"/>
        <v>65.449999999999818</v>
      </c>
      <c r="I4362" s="3">
        <f t="shared" si="205"/>
        <v>1.1109602294909411E-2</v>
      </c>
    </row>
    <row r="4363" spans="2:9" x14ac:dyDescent="0.25">
      <c r="B4363" s="1">
        <v>41554</v>
      </c>
      <c r="C4363" s="2">
        <v>5906.15</v>
      </c>
      <c r="D4363" s="2">
        <v>5889.05</v>
      </c>
      <c r="E4363" s="2">
        <v>5912</v>
      </c>
      <c r="F4363" s="2">
        <v>5825.85</v>
      </c>
      <c r="G4363" s="3">
        <f t="shared" si="206"/>
        <v>-1.9467438592934982E-4</v>
      </c>
      <c r="H4363" s="2">
        <f t="shared" si="204"/>
        <v>86.149999999999636</v>
      </c>
      <c r="I4363" s="3">
        <f t="shared" si="205"/>
        <v>1.4628845059899243E-2</v>
      </c>
    </row>
    <row r="4364" spans="2:9" x14ac:dyDescent="0.25">
      <c r="B4364" s="1">
        <v>41555</v>
      </c>
      <c r="C4364" s="2">
        <v>5928.4</v>
      </c>
      <c r="D4364" s="2">
        <v>5975</v>
      </c>
      <c r="E4364" s="2">
        <v>5981.7</v>
      </c>
      <c r="F4364" s="2">
        <v>5913</v>
      </c>
      <c r="G4364" s="3">
        <f t="shared" si="206"/>
        <v>3.767259551484381E-3</v>
      </c>
      <c r="H4364" s="2">
        <f t="shared" si="204"/>
        <v>68.699999999999818</v>
      </c>
      <c r="I4364" s="3">
        <f t="shared" si="205"/>
        <v>1.1497907949790765E-2</v>
      </c>
    </row>
    <row r="4365" spans="2:9" x14ac:dyDescent="0.25">
      <c r="B4365" s="1">
        <v>41556</v>
      </c>
      <c r="C4365" s="2">
        <v>6007.45</v>
      </c>
      <c r="D4365" s="2">
        <v>5893.25</v>
      </c>
      <c r="E4365" s="2">
        <v>6015.5</v>
      </c>
      <c r="F4365" s="2">
        <v>5877.1</v>
      </c>
      <c r="G4365" s="3">
        <f t="shared" si="206"/>
        <v>1.3334120504689295E-2</v>
      </c>
      <c r="H4365" s="2">
        <f t="shared" si="204"/>
        <v>138.39999999999964</v>
      </c>
      <c r="I4365" s="3">
        <f t="shared" si="205"/>
        <v>2.3484494973062341E-2</v>
      </c>
    </row>
    <row r="4366" spans="2:9" x14ac:dyDescent="0.25">
      <c r="B4366" s="1">
        <v>41557</v>
      </c>
      <c r="C4366" s="2">
        <v>6020.95</v>
      </c>
      <c r="D4366" s="2">
        <v>6001.05</v>
      </c>
      <c r="E4366" s="2">
        <v>6033.95</v>
      </c>
      <c r="F4366" s="2">
        <v>5979.8</v>
      </c>
      <c r="G4366" s="3">
        <f t="shared" si="206"/>
        <v>2.247209714604459E-3</v>
      </c>
      <c r="H4366" s="2">
        <f t="shared" si="204"/>
        <v>54.149999999999636</v>
      </c>
      <c r="I4366" s="3">
        <f t="shared" si="205"/>
        <v>9.0234209013422047E-3</v>
      </c>
    </row>
    <row r="4367" spans="2:9" x14ac:dyDescent="0.25">
      <c r="B4367" s="1">
        <v>41558</v>
      </c>
      <c r="C4367" s="2">
        <v>6096.2</v>
      </c>
      <c r="D4367" s="2">
        <v>6104.85</v>
      </c>
      <c r="E4367" s="2">
        <v>6107.6</v>
      </c>
      <c r="F4367" s="2">
        <v>6046.4</v>
      </c>
      <c r="G4367" s="3">
        <f t="shared" si="206"/>
        <v>1.2498027719878069E-2</v>
      </c>
      <c r="H4367" s="2">
        <f t="shared" si="204"/>
        <v>61.200000000000728</v>
      </c>
      <c r="I4367" s="3">
        <f t="shared" si="205"/>
        <v>1.0024816334553793E-2</v>
      </c>
    </row>
    <row r="4368" spans="2:9" x14ac:dyDescent="0.25">
      <c r="B4368" s="1">
        <v>41561</v>
      </c>
      <c r="C4368" s="2">
        <v>6112.7</v>
      </c>
      <c r="D4368" s="2">
        <v>6093</v>
      </c>
      <c r="E4368" s="2">
        <v>6124.1</v>
      </c>
      <c r="F4368" s="2">
        <v>6082.9</v>
      </c>
      <c r="G4368" s="3">
        <f t="shared" si="206"/>
        <v>2.7066041140382247E-3</v>
      </c>
      <c r="H4368" s="2">
        <f t="shared" si="204"/>
        <v>41.200000000000728</v>
      </c>
      <c r="I4368" s="3">
        <f t="shared" si="205"/>
        <v>6.7618578696866452E-3</v>
      </c>
    </row>
    <row r="4369" spans="2:9" x14ac:dyDescent="0.25">
      <c r="B4369" s="1">
        <v>41562</v>
      </c>
      <c r="C4369" s="2">
        <v>6089.05</v>
      </c>
      <c r="D4369" s="2">
        <v>6147.55</v>
      </c>
      <c r="E4369" s="2">
        <v>6156.3</v>
      </c>
      <c r="F4369" s="2">
        <v>6056.55</v>
      </c>
      <c r="G4369" s="3">
        <f t="shared" si="206"/>
        <v>-3.8689940615439511E-3</v>
      </c>
      <c r="H4369" s="2">
        <f t="shared" si="204"/>
        <v>99.75</v>
      </c>
      <c r="I4369" s="3">
        <f t="shared" si="205"/>
        <v>1.6225976201901571E-2</v>
      </c>
    </row>
    <row r="4370" spans="2:9" x14ac:dyDescent="0.25">
      <c r="B4370" s="1">
        <v>41564</v>
      </c>
      <c r="C4370" s="2">
        <v>6045.85</v>
      </c>
      <c r="D4370" s="2">
        <v>6098.5</v>
      </c>
      <c r="E4370" s="2">
        <v>6110.75</v>
      </c>
      <c r="F4370" s="2">
        <v>6032.55</v>
      </c>
      <c r="G4370" s="3">
        <f t="shared" si="206"/>
        <v>-7.0947027861488765E-3</v>
      </c>
      <c r="H4370" s="2">
        <f t="shared" si="204"/>
        <v>78.199999999999818</v>
      </c>
      <c r="I4370" s="3">
        <f t="shared" si="205"/>
        <v>1.2822825284906095E-2</v>
      </c>
    </row>
    <row r="4371" spans="2:9" x14ac:dyDescent="0.25">
      <c r="B4371" s="1">
        <v>41565</v>
      </c>
      <c r="C4371" s="2">
        <v>6189.35</v>
      </c>
      <c r="D4371" s="2">
        <v>6070.9</v>
      </c>
      <c r="E4371" s="2">
        <v>6201.45</v>
      </c>
      <c r="F4371" s="2">
        <v>6070.9</v>
      </c>
      <c r="G4371" s="3">
        <f t="shared" si="206"/>
        <v>2.3735289496100709E-2</v>
      </c>
      <c r="H4371" s="2">
        <f t="shared" si="204"/>
        <v>130.55000000000018</v>
      </c>
      <c r="I4371" s="3">
        <f t="shared" si="205"/>
        <v>2.150422507371233E-2</v>
      </c>
    </row>
    <row r="4372" spans="2:9" x14ac:dyDescent="0.25">
      <c r="B4372" s="1">
        <v>41568</v>
      </c>
      <c r="C4372" s="2">
        <v>6204.95</v>
      </c>
      <c r="D4372" s="2">
        <v>6202</v>
      </c>
      <c r="E4372" s="2">
        <v>6218.95</v>
      </c>
      <c r="F4372" s="2">
        <v>6163.3</v>
      </c>
      <c r="G4372" s="3">
        <f t="shared" si="206"/>
        <v>2.5204585295708348E-3</v>
      </c>
      <c r="H4372" s="2">
        <f t="shared" si="204"/>
        <v>55.649999999999636</v>
      </c>
      <c r="I4372" s="3">
        <f t="shared" si="205"/>
        <v>8.9729119638825607E-3</v>
      </c>
    </row>
    <row r="4373" spans="2:9" x14ac:dyDescent="0.25">
      <c r="B4373" s="1">
        <v>41569</v>
      </c>
      <c r="C4373" s="2">
        <v>6202.8</v>
      </c>
      <c r="D4373" s="2">
        <v>6192.3</v>
      </c>
      <c r="E4373" s="2">
        <v>6220.1</v>
      </c>
      <c r="F4373" s="2">
        <v>6181.8</v>
      </c>
      <c r="G4373" s="3">
        <f t="shared" si="206"/>
        <v>-3.464975543718829E-4</v>
      </c>
      <c r="H4373" s="2">
        <f t="shared" si="204"/>
        <v>38.300000000000182</v>
      </c>
      <c r="I4373" s="3">
        <f t="shared" si="205"/>
        <v>6.1851008510569868E-3</v>
      </c>
    </row>
    <row r="4374" spans="2:9" x14ac:dyDescent="0.25">
      <c r="B4374" s="1">
        <v>41570</v>
      </c>
      <c r="C4374" s="2">
        <v>6178.35</v>
      </c>
      <c r="D4374" s="2">
        <v>6209.55</v>
      </c>
      <c r="E4374" s="2">
        <v>6217.95</v>
      </c>
      <c r="F4374" s="2">
        <v>6116.6</v>
      </c>
      <c r="G4374" s="3">
        <f t="shared" si="206"/>
        <v>-3.9417682337008486E-3</v>
      </c>
      <c r="H4374" s="2">
        <f t="shared" si="204"/>
        <v>101.34999999999945</v>
      </c>
      <c r="I4374" s="3">
        <f t="shared" si="205"/>
        <v>1.6321633612741575E-2</v>
      </c>
    </row>
    <row r="4375" spans="2:9" x14ac:dyDescent="0.25">
      <c r="B4375" s="1">
        <v>41571</v>
      </c>
      <c r="C4375" s="2">
        <v>6164.35</v>
      </c>
      <c r="D4375" s="2">
        <v>6162.8</v>
      </c>
      <c r="E4375" s="2">
        <v>6252.45</v>
      </c>
      <c r="F4375" s="2">
        <v>6142.95</v>
      </c>
      <c r="G4375" s="3">
        <f t="shared" si="206"/>
        <v>-2.2659771621873492E-3</v>
      </c>
      <c r="H4375" s="2">
        <f t="shared" si="204"/>
        <v>109.5</v>
      </c>
      <c r="I4375" s="3">
        <f t="shared" si="205"/>
        <v>1.7767897708833646E-2</v>
      </c>
    </row>
    <row r="4376" spans="2:9" x14ac:dyDescent="0.25">
      <c r="B4376" s="1">
        <v>41572</v>
      </c>
      <c r="C4376" s="2">
        <v>6144.9</v>
      </c>
      <c r="D4376" s="2">
        <v>6154</v>
      </c>
      <c r="E4376" s="2">
        <v>6174.75</v>
      </c>
      <c r="F4376" s="2">
        <v>6125.95</v>
      </c>
      <c r="G4376" s="3">
        <f t="shared" si="206"/>
        <v>-3.1552394007479112E-3</v>
      </c>
      <c r="H4376" s="2">
        <f t="shared" si="204"/>
        <v>48.800000000000182</v>
      </c>
      <c r="I4376" s="3">
        <f t="shared" si="205"/>
        <v>7.9298017549561551E-3</v>
      </c>
    </row>
    <row r="4377" spans="2:9" x14ac:dyDescent="0.25">
      <c r="B4377" s="1">
        <v>41575</v>
      </c>
      <c r="C4377" s="2">
        <v>6101.1</v>
      </c>
      <c r="D4377" s="2">
        <v>6155.1</v>
      </c>
      <c r="E4377" s="2">
        <v>6168.75</v>
      </c>
      <c r="F4377" s="2">
        <v>6094.1</v>
      </c>
      <c r="G4377" s="3">
        <f t="shared" si="206"/>
        <v>-7.1278621295707278E-3</v>
      </c>
      <c r="H4377" s="2">
        <f t="shared" si="204"/>
        <v>74.649999999999636</v>
      </c>
      <c r="I4377" s="3">
        <f t="shared" si="205"/>
        <v>1.2128153888645129E-2</v>
      </c>
    </row>
    <row r="4378" spans="2:9" x14ac:dyDescent="0.25">
      <c r="B4378" s="1">
        <v>41576</v>
      </c>
      <c r="C4378" s="2">
        <v>6220.9</v>
      </c>
      <c r="D4378" s="2">
        <v>6107.55</v>
      </c>
      <c r="E4378" s="2">
        <v>6228.05</v>
      </c>
      <c r="F4378" s="2">
        <v>6079.2</v>
      </c>
      <c r="G4378" s="3">
        <f t="shared" si="206"/>
        <v>1.9635803379718375E-2</v>
      </c>
      <c r="H4378" s="2">
        <f t="shared" si="204"/>
        <v>148.85000000000036</v>
      </c>
      <c r="I4378" s="3">
        <f t="shared" si="205"/>
        <v>2.4371474650228056E-2</v>
      </c>
    </row>
    <row r="4379" spans="2:9" x14ac:dyDescent="0.25">
      <c r="B4379" s="1">
        <v>41577</v>
      </c>
      <c r="C4379" s="2">
        <v>6251.7</v>
      </c>
      <c r="D4379" s="2">
        <v>6230.8</v>
      </c>
      <c r="E4379" s="2">
        <v>6269.2</v>
      </c>
      <c r="F4379" s="2">
        <v>6222.6</v>
      </c>
      <c r="G4379" s="3">
        <f t="shared" si="206"/>
        <v>4.9510520985709405E-3</v>
      </c>
      <c r="H4379" s="2">
        <f t="shared" si="204"/>
        <v>46.599999999999454</v>
      </c>
      <c r="I4379" s="3">
        <f t="shared" si="205"/>
        <v>7.4789754124670108E-3</v>
      </c>
    </row>
    <row r="4380" spans="2:9" x14ac:dyDescent="0.25">
      <c r="B4380" s="1">
        <v>41578</v>
      </c>
      <c r="C4380" s="2">
        <v>6299.15</v>
      </c>
      <c r="D4380" s="2">
        <v>6237.15</v>
      </c>
      <c r="E4380" s="2">
        <v>6309.05</v>
      </c>
      <c r="F4380" s="2">
        <v>6235.9</v>
      </c>
      <c r="G4380" s="3">
        <f t="shared" si="206"/>
        <v>7.5899355375337318E-3</v>
      </c>
      <c r="H4380" s="2">
        <f t="shared" si="204"/>
        <v>73.150000000000546</v>
      </c>
      <c r="I4380" s="3">
        <f t="shared" si="205"/>
        <v>1.1728113000328763E-2</v>
      </c>
    </row>
    <row r="4381" spans="2:9" x14ac:dyDescent="0.25">
      <c r="B4381" s="1">
        <v>41579</v>
      </c>
      <c r="C4381" s="2">
        <v>6307.2</v>
      </c>
      <c r="D4381" s="2">
        <v>6289.75</v>
      </c>
      <c r="E4381" s="2">
        <v>6332.6</v>
      </c>
      <c r="F4381" s="2">
        <v>6286.95</v>
      </c>
      <c r="G4381" s="3">
        <f t="shared" si="206"/>
        <v>1.2779501996300624E-3</v>
      </c>
      <c r="H4381" s="2">
        <f t="shared" si="204"/>
        <v>45.650000000000546</v>
      </c>
      <c r="I4381" s="3">
        <f t="shared" si="205"/>
        <v>7.2578401367304817E-3</v>
      </c>
    </row>
    <row r="4382" spans="2:9" x14ac:dyDescent="0.25">
      <c r="B4382" s="1">
        <v>41581</v>
      </c>
      <c r="C4382" s="2">
        <v>6324.95</v>
      </c>
      <c r="D4382" s="2">
        <v>6332.05</v>
      </c>
      <c r="E4382" s="2">
        <v>6342.95</v>
      </c>
      <c r="F4382" s="2">
        <v>6319.25</v>
      </c>
      <c r="G4382" s="3">
        <f t="shared" si="206"/>
        <v>2.8142440385590106E-3</v>
      </c>
      <c r="H4382" s="2">
        <f t="shared" si="204"/>
        <v>23.699999999999818</v>
      </c>
      <c r="I4382" s="3">
        <f t="shared" si="205"/>
        <v>3.7428636855362509E-3</v>
      </c>
    </row>
    <row r="4383" spans="2:9" x14ac:dyDescent="0.25">
      <c r="B4383" s="1">
        <v>41583</v>
      </c>
      <c r="C4383" s="2">
        <v>6253.15</v>
      </c>
      <c r="D4383" s="2">
        <v>6282.15</v>
      </c>
      <c r="E4383" s="2">
        <v>6304.75</v>
      </c>
      <c r="F4383" s="2">
        <v>6244.3</v>
      </c>
      <c r="G4383" s="3">
        <f t="shared" si="206"/>
        <v>-1.1351868394216535E-2</v>
      </c>
      <c r="H4383" s="2">
        <f t="shared" si="204"/>
        <v>60.449999999999818</v>
      </c>
      <c r="I4383" s="3">
        <f t="shared" si="205"/>
        <v>9.6225018504810973E-3</v>
      </c>
    </row>
    <row r="4384" spans="2:9" x14ac:dyDescent="0.25">
      <c r="B4384" s="1">
        <v>41584</v>
      </c>
      <c r="C4384" s="2">
        <v>6215.15</v>
      </c>
      <c r="D4384" s="2">
        <v>6260.55</v>
      </c>
      <c r="E4384" s="2">
        <v>6269.7</v>
      </c>
      <c r="F4384" s="2">
        <v>6208.7</v>
      </c>
      <c r="G4384" s="3">
        <f t="shared" si="206"/>
        <v>-6.0769372236393338E-3</v>
      </c>
      <c r="H4384" s="2">
        <f t="shared" si="204"/>
        <v>61</v>
      </c>
      <c r="I4384" s="3">
        <f t="shared" si="205"/>
        <v>9.743552882733944E-3</v>
      </c>
    </row>
    <row r="4385" spans="2:9" x14ac:dyDescent="0.25">
      <c r="B4385" s="1">
        <v>41585</v>
      </c>
      <c r="C4385" s="2">
        <v>6187.25</v>
      </c>
      <c r="D4385" s="2">
        <v>6228.9</v>
      </c>
      <c r="E4385" s="2">
        <v>6288.95</v>
      </c>
      <c r="F4385" s="2">
        <v>6180.8</v>
      </c>
      <c r="G4385" s="3">
        <f t="shared" si="206"/>
        <v>-4.4890308359410991E-3</v>
      </c>
      <c r="H4385" s="2">
        <f t="shared" si="204"/>
        <v>108.14999999999964</v>
      </c>
      <c r="I4385" s="3">
        <f t="shared" si="205"/>
        <v>1.7362616192265031E-2</v>
      </c>
    </row>
    <row r="4386" spans="2:9" x14ac:dyDescent="0.25">
      <c r="B4386" s="1">
        <v>41586</v>
      </c>
      <c r="C4386" s="2">
        <v>6140.75</v>
      </c>
      <c r="D4386" s="2">
        <v>6170.15</v>
      </c>
      <c r="E4386" s="2">
        <v>6185.15</v>
      </c>
      <c r="F4386" s="2">
        <v>6120.95</v>
      </c>
      <c r="G4386" s="3">
        <f t="shared" si="206"/>
        <v>-7.5154551699058159E-3</v>
      </c>
      <c r="H4386" s="2">
        <f t="shared" si="204"/>
        <v>64.199999999999818</v>
      </c>
      <c r="I4386" s="3">
        <f t="shared" si="205"/>
        <v>1.0404933429495201E-2</v>
      </c>
    </row>
    <row r="4387" spans="2:9" x14ac:dyDescent="0.25">
      <c r="B4387" s="1">
        <v>41589</v>
      </c>
      <c r="C4387" s="2">
        <v>6078.8</v>
      </c>
      <c r="D4387" s="2">
        <v>6110.4</v>
      </c>
      <c r="E4387" s="2">
        <v>6141.65</v>
      </c>
      <c r="F4387" s="2">
        <v>6067.75</v>
      </c>
      <c r="G4387" s="3">
        <f t="shared" si="206"/>
        <v>-1.0088344257623172E-2</v>
      </c>
      <c r="H4387" s="2">
        <f t="shared" si="204"/>
        <v>73.899999999999636</v>
      </c>
      <c r="I4387" s="3">
        <f t="shared" si="205"/>
        <v>1.2094134590206801E-2</v>
      </c>
    </row>
    <row r="4388" spans="2:9" x14ac:dyDescent="0.25">
      <c r="B4388" s="1">
        <v>41590</v>
      </c>
      <c r="C4388" s="2">
        <v>6018.05</v>
      </c>
      <c r="D4388" s="2">
        <v>6087.25</v>
      </c>
      <c r="E4388" s="2">
        <v>6108.7</v>
      </c>
      <c r="F4388" s="2">
        <v>6011.75</v>
      </c>
      <c r="G4388" s="3">
        <f t="shared" si="206"/>
        <v>-9.9937487662038471E-3</v>
      </c>
      <c r="H4388" s="2">
        <f t="shared" si="204"/>
        <v>96.949999999999818</v>
      </c>
      <c r="I4388" s="3">
        <f t="shared" si="205"/>
        <v>1.5926732103987814E-2</v>
      </c>
    </row>
    <row r="4389" spans="2:9" x14ac:dyDescent="0.25">
      <c r="B4389" s="1">
        <v>41591</v>
      </c>
      <c r="C4389" s="2">
        <v>5989.6</v>
      </c>
      <c r="D4389" s="2">
        <v>5998.85</v>
      </c>
      <c r="E4389" s="2">
        <v>6042.25</v>
      </c>
      <c r="F4389" s="2">
        <v>5972.45</v>
      </c>
      <c r="G4389" s="3">
        <f t="shared" si="206"/>
        <v>-4.7274449364826943E-3</v>
      </c>
      <c r="H4389" s="2">
        <f t="shared" si="204"/>
        <v>69.800000000000182</v>
      </c>
      <c r="I4389" s="3">
        <f t="shared" si="205"/>
        <v>1.1635563483000938E-2</v>
      </c>
    </row>
    <row r="4390" spans="2:9" x14ac:dyDescent="0.25">
      <c r="B4390" s="1">
        <v>41592</v>
      </c>
      <c r="C4390" s="2">
        <v>6056.15</v>
      </c>
      <c r="D4390" s="2">
        <v>6037</v>
      </c>
      <c r="E4390" s="2">
        <v>6101.65</v>
      </c>
      <c r="F4390" s="2">
        <v>6036.65</v>
      </c>
      <c r="G4390" s="3">
        <f t="shared" si="206"/>
        <v>1.1110925604380872E-2</v>
      </c>
      <c r="H4390" s="2">
        <f t="shared" si="204"/>
        <v>65</v>
      </c>
      <c r="I4390" s="3">
        <f t="shared" si="205"/>
        <v>1.0766937220473746E-2</v>
      </c>
    </row>
    <row r="4391" spans="2:9" x14ac:dyDescent="0.25">
      <c r="B4391" s="1">
        <v>41596</v>
      </c>
      <c r="C4391" s="2">
        <v>6189</v>
      </c>
      <c r="D4391" s="2">
        <v>6111.05</v>
      </c>
      <c r="E4391" s="2">
        <v>6196.8</v>
      </c>
      <c r="F4391" s="2">
        <v>6110.4</v>
      </c>
      <c r="G4391" s="3">
        <f t="shared" si="206"/>
        <v>2.1936378722455796E-2</v>
      </c>
      <c r="H4391" s="2">
        <f t="shared" si="204"/>
        <v>86.400000000000546</v>
      </c>
      <c r="I4391" s="3">
        <f t="shared" si="205"/>
        <v>1.4138323201413922E-2</v>
      </c>
    </row>
    <row r="4392" spans="2:9" x14ac:dyDescent="0.25">
      <c r="B4392" s="1">
        <v>41597</v>
      </c>
      <c r="C4392" s="2">
        <v>6203.35</v>
      </c>
      <c r="D4392" s="2">
        <v>6197.25</v>
      </c>
      <c r="E4392" s="2">
        <v>6212.4</v>
      </c>
      <c r="F4392" s="2">
        <v>6180.2</v>
      </c>
      <c r="G4392" s="3">
        <f t="shared" si="206"/>
        <v>2.3186298271127281E-3</v>
      </c>
      <c r="H4392" s="2">
        <f t="shared" si="204"/>
        <v>32.199999999999818</v>
      </c>
      <c r="I4392" s="3">
        <f t="shared" si="205"/>
        <v>5.1958529993141826E-3</v>
      </c>
    </row>
    <row r="4393" spans="2:9" x14ac:dyDescent="0.25">
      <c r="B4393" s="1">
        <v>41598</v>
      </c>
      <c r="C4393" s="2">
        <v>6122.9</v>
      </c>
      <c r="D4393" s="2">
        <v>6186.85</v>
      </c>
      <c r="E4393" s="2">
        <v>6204.35</v>
      </c>
      <c r="F4393" s="2">
        <v>6106.95</v>
      </c>
      <c r="G4393" s="3">
        <f t="shared" si="206"/>
        <v>-1.2968799116606422E-2</v>
      </c>
      <c r="H4393" s="2">
        <f t="shared" si="204"/>
        <v>97.400000000000546</v>
      </c>
      <c r="I4393" s="3">
        <f t="shared" si="205"/>
        <v>1.5743067958654329E-2</v>
      </c>
    </row>
    <row r="4394" spans="2:9" x14ac:dyDescent="0.25">
      <c r="B4394" s="1">
        <v>41599</v>
      </c>
      <c r="C4394" s="2">
        <v>5999.05</v>
      </c>
      <c r="D4394" s="2">
        <v>6096.5</v>
      </c>
      <c r="E4394" s="2">
        <v>6097.35</v>
      </c>
      <c r="F4394" s="2">
        <v>5985.4</v>
      </c>
      <c r="G4394" s="3">
        <f t="shared" si="206"/>
        <v>-2.0227343252380292E-2</v>
      </c>
      <c r="H4394" s="2">
        <f t="shared" si="204"/>
        <v>111.95000000000073</v>
      </c>
      <c r="I4394" s="3">
        <f t="shared" si="205"/>
        <v>1.836299516115816E-2</v>
      </c>
    </row>
    <row r="4395" spans="2:9" x14ac:dyDescent="0.25">
      <c r="B4395" s="1">
        <v>41600</v>
      </c>
      <c r="C4395" s="2">
        <v>5995.45</v>
      </c>
      <c r="D4395" s="2">
        <v>6027.35</v>
      </c>
      <c r="E4395" s="2">
        <v>6049.6</v>
      </c>
      <c r="F4395" s="2">
        <v>5972.8</v>
      </c>
      <c r="G4395" s="3">
        <f t="shared" si="206"/>
        <v>-6.0009501504409979E-4</v>
      </c>
      <c r="H4395" s="2">
        <f t="shared" si="204"/>
        <v>76.800000000000182</v>
      </c>
      <c r="I4395" s="3">
        <f t="shared" si="205"/>
        <v>1.2741918090039599E-2</v>
      </c>
    </row>
    <row r="4396" spans="2:9" x14ac:dyDescent="0.25">
      <c r="B4396" s="1">
        <v>41603</v>
      </c>
      <c r="C4396" s="2">
        <v>6115.35</v>
      </c>
      <c r="D4396" s="2">
        <v>6035.95</v>
      </c>
      <c r="E4396" s="2">
        <v>6123.5</v>
      </c>
      <c r="F4396" s="2">
        <v>6035.95</v>
      </c>
      <c r="G4396" s="3">
        <f t="shared" si="206"/>
        <v>1.9998498861636849E-2</v>
      </c>
      <c r="H4396" s="2">
        <f t="shared" si="204"/>
        <v>87.550000000000182</v>
      </c>
      <c r="I4396" s="3">
        <f t="shared" si="205"/>
        <v>1.4504758985743783E-2</v>
      </c>
    </row>
    <row r="4397" spans="2:9" x14ac:dyDescent="0.25">
      <c r="B4397" s="1">
        <v>41604</v>
      </c>
      <c r="C4397" s="2">
        <v>6059.1</v>
      </c>
      <c r="D4397" s="2">
        <v>6099.25</v>
      </c>
      <c r="E4397" s="2">
        <v>6112.7</v>
      </c>
      <c r="F4397" s="2">
        <v>6047.75</v>
      </c>
      <c r="G4397" s="3">
        <f t="shared" si="206"/>
        <v>-9.1981652726336183E-3</v>
      </c>
      <c r="H4397" s="2">
        <f t="shared" si="204"/>
        <v>64.949999999999818</v>
      </c>
      <c r="I4397" s="3">
        <f t="shared" si="205"/>
        <v>1.0648850268475602E-2</v>
      </c>
    </row>
    <row r="4398" spans="2:9" x14ac:dyDescent="0.25">
      <c r="B4398" s="1">
        <v>41605</v>
      </c>
      <c r="C4398" s="2">
        <v>6057.1</v>
      </c>
      <c r="D4398" s="2">
        <v>6062.7</v>
      </c>
      <c r="E4398" s="2">
        <v>6074</v>
      </c>
      <c r="F4398" s="2">
        <v>6030.3</v>
      </c>
      <c r="G4398" s="3">
        <f t="shared" si="206"/>
        <v>-3.3008202538331588E-4</v>
      </c>
      <c r="H4398" s="2">
        <f t="shared" si="204"/>
        <v>43.699999999999818</v>
      </c>
      <c r="I4398" s="3">
        <f t="shared" si="205"/>
        <v>7.2080096326718824E-3</v>
      </c>
    </row>
    <row r="4399" spans="2:9" x14ac:dyDescent="0.25">
      <c r="B4399" s="1">
        <v>41606</v>
      </c>
      <c r="C4399" s="2">
        <v>6091.85</v>
      </c>
      <c r="D4399" s="2">
        <v>6092</v>
      </c>
      <c r="E4399" s="2">
        <v>6112.95</v>
      </c>
      <c r="F4399" s="2">
        <v>6068.3</v>
      </c>
      <c r="G4399" s="3">
        <f t="shared" si="206"/>
        <v>5.7370688943554349E-3</v>
      </c>
      <c r="H4399" s="2">
        <f t="shared" si="204"/>
        <v>44.649999999999636</v>
      </c>
      <c r="I4399" s="3">
        <f t="shared" si="205"/>
        <v>7.3292843072881872E-3</v>
      </c>
    </row>
    <row r="4400" spans="2:9" x14ac:dyDescent="0.25">
      <c r="B4400" s="1">
        <v>41607</v>
      </c>
      <c r="C4400" s="2">
        <v>6176.1</v>
      </c>
      <c r="D4400" s="2">
        <v>6103.9</v>
      </c>
      <c r="E4400" s="2">
        <v>6182.5</v>
      </c>
      <c r="F4400" s="2">
        <v>6103.8</v>
      </c>
      <c r="G4400" s="3">
        <f t="shared" si="206"/>
        <v>1.382995313410551E-2</v>
      </c>
      <c r="H4400" s="2">
        <f t="shared" si="204"/>
        <v>78.699999999999818</v>
      </c>
      <c r="I4400" s="3">
        <f t="shared" si="205"/>
        <v>1.289339602549187E-2</v>
      </c>
    </row>
    <row r="4401" spans="2:9" x14ac:dyDescent="0.25">
      <c r="B4401" s="1">
        <v>41610</v>
      </c>
      <c r="C4401" s="2">
        <v>6217.85</v>
      </c>
      <c r="D4401" s="2">
        <v>6171.15</v>
      </c>
      <c r="E4401" s="2">
        <v>6228.7</v>
      </c>
      <c r="F4401" s="2">
        <v>6171.15</v>
      </c>
      <c r="G4401" s="3">
        <f t="shared" si="206"/>
        <v>6.7599294052880232E-3</v>
      </c>
      <c r="H4401" s="2">
        <f t="shared" si="204"/>
        <v>57.550000000000182</v>
      </c>
      <c r="I4401" s="3">
        <f t="shared" si="205"/>
        <v>9.325652431070414E-3</v>
      </c>
    </row>
    <row r="4402" spans="2:9" x14ac:dyDescent="0.25">
      <c r="B4402" s="1">
        <v>41611</v>
      </c>
      <c r="C4402" s="2">
        <v>6201.85</v>
      </c>
      <c r="D4402" s="2">
        <v>6204.25</v>
      </c>
      <c r="E4402" s="2">
        <v>6225.4</v>
      </c>
      <c r="F4402" s="2">
        <v>6191.4</v>
      </c>
      <c r="G4402" s="3">
        <f t="shared" si="206"/>
        <v>-2.573236729737749E-3</v>
      </c>
      <c r="H4402" s="2">
        <f t="shared" si="204"/>
        <v>34</v>
      </c>
      <c r="I4402" s="3">
        <f t="shared" si="205"/>
        <v>5.4801144376838461E-3</v>
      </c>
    </row>
    <row r="4403" spans="2:9" x14ac:dyDescent="0.25">
      <c r="B4403" s="1">
        <v>41612</v>
      </c>
      <c r="C4403" s="2">
        <v>6160.95</v>
      </c>
      <c r="D4403" s="2">
        <v>6187.95</v>
      </c>
      <c r="E4403" s="2">
        <v>6209.15</v>
      </c>
      <c r="F4403" s="2">
        <v>6149.9</v>
      </c>
      <c r="G4403" s="3">
        <f t="shared" si="206"/>
        <v>-6.5948063884164743E-3</v>
      </c>
      <c r="H4403" s="2">
        <f t="shared" si="204"/>
        <v>59.25</v>
      </c>
      <c r="I4403" s="3">
        <f t="shared" si="205"/>
        <v>9.5750612076697453E-3</v>
      </c>
    </row>
    <row r="4404" spans="2:9" x14ac:dyDescent="0.25">
      <c r="B4404" s="1">
        <v>41613</v>
      </c>
      <c r="C4404" s="2">
        <v>6241.1</v>
      </c>
      <c r="D4404" s="2">
        <v>6262.45</v>
      </c>
      <c r="E4404" s="2">
        <v>6300.55</v>
      </c>
      <c r="F4404" s="2">
        <v>6232</v>
      </c>
      <c r="G4404" s="3">
        <f t="shared" si="206"/>
        <v>1.3009357323140236E-2</v>
      </c>
      <c r="H4404" s="2">
        <f t="shared" si="204"/>
        <v>68.550000000000182</v>
      </c>
      <c r="I4404" s="3">
        <f t="shared" si="205"/>
        <v>1.0946195179203057E-2</v>
      </c>
    </row>
    <row r="4405" spans="2:9" x14ac:dyDescent="0.25">
      <c r="B4405" s="1">
        <v>41614</v>
      </c>
      <c r="C4405" s="2">
        <v>6259.9</v>
      </c>
      <c r="D4405" s="2">
        <v>6234.4</v>
      </c>
      <c r="E4405" s="2">
        <v>6275.35</v>
      </c>
      <c r="F4405" s="2">
        <v>6230.75</v>
      </c>
      <c r="G4405" s="3">
        <f t="shared" si="206"/>
        <v>3.0122895002482331E-3</v>
      </c>
      <c r="H4405" s="2">
        <f t="shared" si="204"/>
        <v>44.600000000000364</v>
      </c>
      <c r="I4405" s="3">
        <f t="shared" si="205"/>
        <v>7.1538560246375543E-3</v>
      </c>
    </row>
    <row r="4406" spans="2:9" x14ac:dyDescent="0.25">
      <c r="B4406" s="1">
        <v>41617</v>
      </c>
      <c r="C4406" s="2">
        <v>6363.9</v>
      </c>
      <c r="D4406" s="2">
        <v>6415</v>
      </c>
      <c r="E4406" s="2">
        <v>6415.25</v>
      </c>
      <c r="F4406" s="2">
        <v>6345</v>
      </c>
      <c r="G4406" s="3">
        <f t="shared" si="206"/>
        <v>1.6613683924663336E-2</v>
      </c>
      <c r="H4406" s="2">
        <f t="shared" si="204"/>
        <v>70.25</v>
      </c>
      <c r="I4406" s="3">
        <f t="shared" si="205"/>
        <v>1.0950896336710834E-2</v>
      </c>
    </row>
    <row r="4407" spans="2:9" x14ac:dyDescent="0.25">
      <c r="B4407" s="1">
        <v>41618</v>
      </c>
      <c r="C4407" s="2">
        <v>6332.85</v>
      </c>
      <c r="D4407" s="2">
        <v>6354.7</v>
      </c>
      <c r="E4407" s="2">
        <v>6362.25</v>
      </c>
      <c r="F4407" s="2">
        <v>6307.55</v>
      </c>
      <c r="G4407" s="3">
        <f t="shared" si="206"/>
        <v>-4.8790835808230071E-3</v>
      </c>
      <c r="H4407" s="2">
        <f t="shared" si="204"/>
        <v>54.699999999999818</v>
      </c>
      <c r="I4407" s="3">
        <f t="shared" si="205"/>
        <v>8.6078020992336104E-3</v>
      </c>
    </row>
    <row r="4408" spans="2:9" x14ac:dyDescent="0.25">
      <c r="B4408" s="1">
        <v>41619</v>
      </c>
      <c r="C4408" s="2">
        <v>6307.9</v>
      </c>
      <c r="D4408" s="2">
        <v>6307.2</v>
      </c>
      <c r="E4408" s="2">
        <v>6326.6</v>
      </c>
      <c r="F4408" s="2">
        <v>6280.25</v>
      </c>
      <c r="G4408" s="3">
        <f t="shared" si="206"/>
        <v>-3.9397743512006311E-3</v>
      </c>
      <c r="H4408" s="2">
        <f t="shared" si="204"/>
        <v>46.350000000000364</v>
      </c>
      <c r="I4408" s="3">
        <f t="shared" si="205"/>
        <v>7.3487442922375006E-3</v>
      </c>
    </row>
    <row r="4409" spans="2:9" x14ac:dyDescent="0.25">
      <c r="B4409" s="1">
        <v>41620</v>
      </c>
      <c r="C4409" s="2">
        <v>6237.05</v>
      </c>
      <c r="D4409" s="2">
        <v>6276.75</v>
      </c>
      <c r="E4409" s="2">
        <v>6286.85</v>
      </c>
      <c r="F4409" s="2">
        <v>6230.55</v>
      </c>
      <c r="G4409" s="3">
        <f t="shared" si="206"/>
        <v>-1.1231947240761486E-2</v>
      </c>
      <c r="H4409" s="2">
        <f t="shared" si="204"/>
        <v>56.300000000000182</v>
      </c>
      <c r="I4409" s="3">
        <f t="shared" si="205"/>
        <v>8.9696100689051154E-3</v>
      </c>
    </row>
    <row r="4410" spans="2:9" x14ac:dyDescent="0.25">
      <c r="B4410" s="1">
        <v>41621</v>
      </c>
      <c r="C4410" s="2">
        <v>6168.4</v>
      </c>
      <c r="D4410" s="2">
        <v>6201.3</v>
      </c>
      <c r="E4410" s="2">
        <v>6208.6</v>
      </c>
      <c r="F4410" s="2">
        <v>6161.4</v>
      </c>
      <c r="G4410" s="3">
        <f t="shared" si="206"/>
        <v>-1.1006806102243916E-2</v>
      </c>
      <c r="H4410" s="2">
        <f t="shared" si="204"/>
        <v>47.200000000000728</v>
      </c>
      <c r="I4410" s="3">
        <f t="shared" si="205"/>
        <v>7.6113073065326182E-3</v>
      </c>
    </row>
    <row r="4411" spans="2:9" x14ac:dyDescent="0.25">
      <c r="B4411" s="1">
        <v>41624</v>
      </c>
      <c r="C4411" s="2">
        <v>6154.7</v>
      </c>
      <c r="D4411" s="2">
        <v>6168.35</v>
      </c>
      <c r="E4411" s="2">
        <v>6183.25</v>
      </c>
      <c r="F4411" s="2">
        <v>6146.05</v>
      </c>
      <c r="G4411" s="3">
        <f t="shared" si="206"/>
        <v>-2.2209973412877781E-3</v>
      </c>
      <c r="H4411" s="2">
        <f t="shared" si="204"/>
        <v>37.199999999999818</v>
      </c>
      <c r="I4411" s="3">
        <f t="shared" si="205"/>
        <v>6.0307861907965363E-3</v>
      </c>
    </row>
    <row r="4412" spans="2:9" x14ac:dyDescent="0.25">
      <c r="B4412" s="1">
        <v>41625</v>
      </c>
      <c r="C4412" s="2">
        <v>6139.05</v>
      </c>
      <c r="D4412" s="2">
        <v>6178.2</v>
      </c>
      <c r="E4412" s="2">
        <v>6190.55</v>
      </c>
      <c r="F4412" s="2">
        <v>6133</v>
      </c>
      <c r="G4412" s="3">
        <f t="shared" si="206"/>
        <v>-2.5427721903584777E-3</v>
      </c>
      <c r="H4412" s="2">
        <f t="shared" si="204"/>
        <v>57.550000000000182</v>
      </c>
      <c r="I4412" s="3">
        <f t="shared" si="205"/>
        <v>9.3150108445825934E-3</v>
      </c>
    </row>
    <row r="4413" spans="2:9" x14ac:dyDescent="0.25">
      <c r="B4413" s="1">
        <v>41626</v>
      </c>
      <c r="C4413" s="2">
        <v>6217.15</v>
      </c>
      <c r="D4413" s="2">
        <v>6129.95</v>
      </c>
      <c r="E4413" s="2">
        <v>6236</v>
      </c>
      <c r="F4413" s="2">
        <v>6129.95</v>
      </c>
      <c r="G4413" s="3">
        <f t="shared" si="206"/>
        <v>1.2721838069408076E-2</v>
      </c>
      <c r="H4413" s="2">
        <f t="shared" si="204"/>
        <v>106.05000000000018</v>
      </c>
      <c r="I4413" s="3">
        <f t="shared" si="205"/>
        <v>1.7300304243917191E-2</v>
      </c>
    </row>
    <row r="4414" spans="2:9" x14ac:dyDescent="0.25">
      <c r="B4414" s="1">
        <v>41627</v>
      </c>
      <c r="C4414" s="2">
        <v>6166.65</v>
      </c>
      <c r="D4414" s="2">
        <v>6253.9</v>
      </c>
      <c r="E4414" s="2">
        <v>6263.75</v>
      </c>
      <c r="F4414" s="2">
        <v>6150.7</v>
      </c>
      <c r="G4414" s="3">
        <f t="shared" si="206"/>
        <v>-8.1226928737444526E-3</v>
      </c>
      <c r="H4414" s="2">
        <f t="shared" si="204"/>
        <v>113.05000000000018</v>
      </c>
      <c r="I4414" s="3">
        <f t="shared" si="205"/>
        <v>1.8076720126641008E-2</v>
      </c>
    </row>
    <row r="4415" spans="2:9" x14ac:dyDescent="0.25">
      <c r="B4415" s="1">
        <v>41628</v>
      </c>
      <c r="C4415" s="2">
        <v>6274.25</v>
      </c>
      <c r="D4415" s="2">
        <v>6179.95</v>
      </c>
      <c r="E4415" s="2">
        <v>6284.5</v>
      </c>
      <c r="F4415" s="2">
        <v>6170.35</v>
      </c>
      <c r="G4415" s="3">
        <f t="shared" si="206"/>
        <v>1.7448695807285919E-2</v>
      </c>
      <c r="H4415" s="2">
        <f t="shared" si="204"/>
        <v>114.14999999999964</v>
      </c>
      <c r="I4415" s="3">
        <f t="shared" si="205"/>
        <v>1.8471023228343212E-2</v>
      </c>
    </row>
    <row r="4416" spans="2:9" x14ac:dyDescent="0.25">
      <c r="B4416" s="1">
        <v>41631</v>
      </c>
      <c r="C4416" s="2">
        <v>6284.5</v>
      </c>
      <c r="D4416" s="2">
        <v>6267.2</v>
      </c>
      <c r="E4416" s="2">
        <v>6317.5</v>
      </c>
      <c r="F4416" s="2">
        <v>6266.95</v>
      </c>
      <c r="G4416" s="3">
        <f t="shared" si="206"/>
        <v>1.633661393792174E-3</v>
      </c>
      <c r="H4416" s="2">
        <f t="shared" si="204"/>
        <v>50.550000000000182</v>
      </c>
      <c r="I4416" s="3">
        <f t="shared" si="205"/>
        <v>8.0658029103906348E-3</v>
      </c>
    </row>
    <row r="4417" spans="2:9" x14ac:dyDescent="0.25">
      <c r="B4417" s="1">
        <v>41632</v>
      </c>
      <c r="C4417" s="2">
        <v>6268.4</v>
      </c>
      <c r="D4417" s="2">
        <v>6296.45</v>
      </c>
      <c r="E4417" s="2">
        <v>6301.5</v>
      </c>
      <c r="F4417" s="2">
        <v>6262</v>
      </c>
      <c r="G4417" s="3">
        <f t="shared" si="206"/>
        <v>-2.5618585408545558E-3</v>
      </c>
      <c r="H4417" s="2">
        <f t="shared" si="204"/>
        <v>39.5</v>
      </c>
      <c r="I4417" s="3">
        <f t="shared" si="205"/>
        <v>6.2733762675793508E-3</v>
      </c>
    </row>
    <row r="4418" spans="2:9" x14ac:dyDescent="0.25">
      <c r="B4418" s="1">
        <v>41634</v>
      </c>
      <c r="C4418" s="2">
        <v>6278.9</v>
      </c>
      <c r="D4418" s="2">
        <v>6270.1</v>
      </c>
      <c r="E4418" s="2">
        <v>6302.75</v>
      </c>
      <c r="F4418" s="2">
        <v>6259.45</v>
      </c>
      <c r="G4418" s="3">
        <f t="shared" si="206"/>
        <v>1.6750685980473357E-3</v>
      </c>
      <c r="H4418" s="2">
        <f t="shared" si="204"/>
        <v>43.300000000000182</v>
      </c>
      <c r="I4418" s="3">
        <f t="shared" si="205"/>
        <v>6.9057909762205039E-3</v>
      </c>
    </row>
    <row r="4419" spans="2:9" x14ac:dyDescent="0.25">
      <c r="B4419" s="1">
        <v>41635</v>
      </c>
      <c r="C4419" s="2">
        <v>6313.8</v>
      </c>
      <c r="D4419" s="2">
        <v>6292.8</v>
      </c>
      <c r="E4419" s="2">
        <v>6324.9</v>
      </c>
      <c r="F4419" s="2">
        <v>6289.4</v>
      </c>
      <c r="G4419" s="3">
        <f t="shared" si="206"/>
        <v>5.5582984280686532E-3</v>
      </c>
      <c r="H4419" s="2">
        <f t="shared" si="204"/>
        <v>35.5</v>
      </c>
      <c r="I4419" s="3">
        <f t="shared" si="205"/>
        <v>5.6413679125349604E-3</v>
      </c>
    </row>
    <row r="4420" spans="2:9" x14ac:dyDescent="0.25">
      <c r="B4420" s="1">
        <v>41638</v>
      </c>
      <c r="C4420" s="2">
        <v>6291.1</v>
      </c>
      <c r="D4420" s="2">
        <v>6336.4</v>
      </c>
      <c r="E4420" s="2">
        <v>6344.05</v>
      </c>
      <c r="F4420" s="2">
        <v>6273.15</v>
      </c>
      <c r="G4420" s="3">
        <f t="shared" si="206"/>
        <v>-3.5952991859101724E-3</v>
      </c>
      <c r="H4420" s="2">
        <f t="shared" si="204"/>
        <v>70.900000000000546</v>
      </c>
      <c r="I4420" s="3">
        <f t="shared" si="205"/>
        <v>1.1189318856132906E-2</v>
      </c>
    </row>
    <row r="4421" spans="2:9" x14ac:dyDescent="0.25">
      <c r="B4421" s="1">
        <v>41639</v>
      </c>
      <c r="C4421" s="2">
        <v>6304</v>
      </c>
      <c r="D4421" s="2">
        <v>6307.35</v>
      </c>
      <c r="E4421" s="2">
        <v>6317.3</v>
      </c>
      <c r="F4421" s="2">
        <v>6287.3</v>
      </c>
      <c r="G4421" s="3">
        <f t="shared" si="206"/>
        <v>2.0505158080461605E-3</v>
      </c>
      <c r="H4421" s="2">
        <f t="shared" ref="H4421:H4484" si="207">E4421-F4421</f>
        <v>30</v>
      </c>
      <c r="I4421" s="3">
        <f t="shared" si="205"/>
        <v>4.7563556802777711E-3</v>
      </c>
    </row>
    <row r="4422" spans="2:9" x14ac:dyDescent="0.25">
      <c r="B4422" s="1">
        <v>41640</v>
      </c>
      <c r="C4422" s="2">
        <v>6301.65</v>
      </c>
      <c r="D4422" s="2">
        <v>6323.8</v>
      </c>
      <c r="E4422" s="2">
        <v>6327.2</v>
      </c>
      <c r="F4422" s="2">
        <v>6298.25</v>
      </c>
      <c r="G4422" s="3">
        <f t="shared" si="206"/>
        <v>-3.7277918781730701E-4</v>
      </c>
      <c r="H4422" s="2">
        <f t="shared" si="207"/>
        <v>28.949999999999818</v>
      </c>
      <c r="I4422" s="3">
        <f t="shared" ref="I4422:I4485" si="208">H4422/D4422</f>
        <v>4.5779436414813586E-3</v>
      </c>
    </row>
    <row r="4423" spans="2:9" x14ac:dyDescent="0.25">
      <c r="B4423" s="1">
        <v>41641</v>
      </c>
      <c r="C4423" s="2">
        <v>6221.15</v>
      </c>
      <c r="D4423" s="2">
        <v>6301.25</v>
      </c>
      <c r="E4423" s="2">
        <v>6358.3</v>
      </c>
      <c r="F4423" s="2">
        <v>6211.3</v>
      </c>
      <c r="G4423" s="3">
        <f t="shared" ref="G4423:G4486" si="209">C4423/C4422-1</f>
        <v>-1.2774432093181964E-2</v>
      </c>
      <c r="H4423" s="2">
        <f t="shared" si="207"/>
        <v>147</v>
      </c>
      <c r="I4423" s="3">
        <f t="shared" si="208"/>
        <v>2.3328704622098791E-2</v>
      </c>
    </row>
    <row r="4424" spans="2:9" x14ac:dyDescent="0.25">
      <c r="B4424" s="1">
        <v>41642</v>
      </c>
      <c r="C4424" s="2">
        <v>6211.15</v>
      </c>
      <c r="D4424" s="2">
        <v>6194.55</v>
      </c>
      <c r="E4424" s="2">
        <v>6221.7</v>
      </c>
      <c r="F4424" s="2">
        <v>6171.25</v>
      </c>
      <c r="G4424" s="3">
        <f t="shared" si="209"/>
        <v>-1.6074198500277692E-3</v>
      </c>
      <c r="H4424" s="2">
        <f t="shared" si="207"/>
        <v>50.449999999999818</v>
      </c>
      <c r="I4424" s="3">
        <f t="shared" si="208"/>
        <v>8.1442558377928694E-3</v>
      </c>
    </row>
    <row r="4425" spans="2:9" x14ac:dyDescent="0.25">
      <c r="B4425" s="1">
        <v>41645</v>
      </c>
      <c r="C4425" s="2">
        <v>6191.45</v>
      </c>
      <c r="D4425" s="2">
        <v>6220.85</v>
      </c>
      <c r="E4425" s="2">
        <v>6224.7</v>
      </c>
      <c r="F4425" s="2">
        <v>6170.25</v>
      </c>
      <c r="G4425" s="3">
        <f t="shared" si="209"/>
        <v>-3.1717153828195732E-3</v>
      </c>
      <c r="H4425" s="2">
        <f t="shared" si="207"/>
        <v>54.449999999999818</v>
      </c>
      <c r="I4425" s="3">
        <f t="shared" si="208"/>
        <v>8.7528231672520333E-3</v>
      </c>
    </row>
    <row r="4426" spans="2:9" x14ac:dyDescent="0.25">
      <c r="B4426" s="1">
        <v>41646</v>
      </c>
      <c r="C4426" s="2">
        <v>6162.25</v>
      </c>
      <c r="D4426" s="2">
        <v>6203.9</v>
      </c>
      <c r="E4426" s="2">
        <v>6221.5</v>
      </c>
      <c r="F4426" s="2">
        <v>6144.75</v>
      </c>
      <c r="G4426" s="3">
        <f t="shared" si="209"/>
        <v>-4.7161811853442259E-3</v>
      </c>
      <c r="H4426" s="2">
        <f t="shared" si="207"/>
        <v>76.75</v>
      </c>
      <c r="I4426" s="3">
        <f t="shared" si="208"/>
        <v>1.2371250342526476E-2</v>
      </c>
    </row>
    <row r="4427" spans="2:9" x14ac:dyDescent="0.25">
      <c r="B4427" s="1">
        <v>41647</v>
      </c>
      <c r="C4427" s="2">
        <v>6174.6</v>
      </c>
      <c r="D4427" s="2">
        <v>6178.05</v>
      </c>
      <c r="E4427" s="2">
        <v>6192.1</v>
      </c>
      <c r="F4427" s="2">
        <v>6160.35</v>
      </c>
      <c r="G4427" s="3">
        <f t="shared" si="209"/>
        <v>2.0041380989086477E-3</v>
      </c>
      <c r="H4427" s="2">
        <f t="shared" si="207"/>
        <v>31.75</v>
      </c>
      <c r="I4427" s="3">
        <f t="shared" si="208"/>
        <v>5.139162033327668E-3</v>
      </c>
    </row>
    <row r="4428" spans="2:9" x14ac:dyDescent="0.25">
      <c r="B4428" s="1">
        <v>41648</v>
      </c>
      <c r="C4428" s="2">
        <v>6168.35</v>
      </c>
      <c r="D4428" s="2">
        <v>6181.7</v>
      </c>
      <c r="E4428" s="2">
        <v>6188.05</v>
      </c>
      <c r="F4428" s="2">
        <v>6148.25</v>
      </c>
      <c r="G4428" s="3">
        <f t="shared" si="209"/>
        <v>-1.0122113173323122E-3</v>
      </c>
      <c r="H4428" s="2">
        <f t="shared" si="207"/>
        <v>39.800000000000182</v>
      </c>
      <c r="I4428" s="3">
        <f t="shared" si="208"/>
        <v>6.4383583803808309E-3</v>
      </c>
    </row>
    <row r="4429" spans="2:9" x14ac:dyDescent="0.25">
      <c r="B4429" s="1">
        <v>41649</v>
      </c>
      <c r="C4429" s="2">
        <v>6171.45</v>
      </c>
      <c r="D4429" s="2">
        <v>6178.85</v>
      </c>
      <c r="E4429" s="2">
        <v>6239.1</v>
      </c>
      <c r="F4429" s="2">
        <v>6139.6</v>
      </c>
      <c r="G4429" s="3">
        <f t="shared" si="209"/>
        <v>5.0256551589966669E-4</v>
      </c>
      <c r="H4429" s="2">
        <f t="shared" si="207"/>
        <v>99.5</v>
      </c>
      <c r="I4429" s="3">
        <f t="shared" si="208"/>
        <v>1.6103320197124061E-2</v>
      </c>
    </row>
    <row r="4430" spans="2:9" x14ac:dyDescent="0.25">
      <c r="B4430" s="1">
        <v>41652</v>
      </c>
      <c r="C4430" s="2">
        <v>6272.75</v>
      </c>
      <c r="D4430" s="2">
        <v>6189.55</v>
      </c>
      <c r="E4430" s="2">
        <v>6288.2</v>
      </c>
      <c r="F4430" s="2">
        <v>6189.55</v>
      </c>
      <c r="G4430" s="3">
        <f t="shared" si="209"/>
        <v>1.6414294857772571E-2</v>
      </c>
      <c r="H4430" s="2">
        <f t="shared" si="207"/>
        <v>98.649999999999636</v>
      </c>
      <c r="I4430" s="3">
        <f t="shared" si="208"/>
        <v>1.5938153823783576E-2</v>
      </c>
    </row>
    <row r="4431" spans="2:9" x14ac:dyDescent="0.25">
      <c r="B4431" s="1">
        <v>41653</v>
      </c>
      <c r="C4431" s="2">
        <v>6241.85</v>
      </c>
      <c r="D4431" s="2">
        <v>6260.25</v>
      </c>
      <c r="E4431" s="2">
        <v>6280.35</v>
      </c>
      <c r="F4431" s="2">
        <v>6234.15</v>
      </c>
      <c r="G4431" s="3">
        <f t="shared" si="209"/>
        <v>-4.9260691084451746E-3</v>
      </c>
      <c r="H4431" s="2">
        <f t="shared" si="207"/>
        <v>46.200000000000728</v>
      </c>
      <c r="I4431" s="3">
        <f t="shared" si="208"/>
        <v>7.3798969689710036E-3</v>
      </c>
    </row>
    <row r="4432" spans="2:9" x14ac:dyDescent="0.25">
      <c r="B4432" s="1">
        <v>41654</v>
      </c>
      <c r="C4432" s="2">
        <v>6320.9</v>
      </c>
      <c r="D4432" s="2">
        <v>6265.95</v>
      </c>
      <c r="E4432" s="2">
        <v>6325.2</v>
      </c>
      <c r="F4432" s="2">
        <v>6265.3</v>
      </c>
      <c r="G4432" s="3">
        <f t="shared" si="209"/>
        <v>1.266451452694306E-2</v>
      </c>
      <c r="H4432" s="2">
        <f t="shared" si="207"/>
        <v>59.899999999999636</v>
      </c>
      <c r="I4432" s="3">
        <f t="shared" si="208"/>
        <v>9.5596038908704415E-3</v>
      </c>
    </row>
    <row r="4433" spans="2:9" x14ac:dyDescent="0.25">
      <c r="B4433" s="1">
        <v>41655</v>
      </c>
      <c r="C4433" s="2">
        <v>6318.9</v>
      </c>
      <c r="D4433" s="2">
        <v>6341.35</v>
      </c>
      <c r="E4433" s="2">
        <v>6346.5</v>
      </c>
      <c r="F4433" s="2">
        <v>6299.85</v>
      </c>
      <c r="G4433" s="3">
        <f t="shared" si="209"/>
        <v>-3.1641063772569478E-4</v>
      </c>
      <c r="H4433" s="2">
        <f t="shared" si="207"/>
        <v>46.649999999999636</v>
      </c>
      <c r="I4433" s="3">
        <f t="shared" si="208"/>
        <v>7.3564777216207329E-3</v>
      </c>
    </row>
    <row r="4434" spans="2:9" x14ac:dyDescent="0.25">
      <c r="B4434" s="1">
        <v>41656</v>
      </c>
      <c r="C4434" s="2">
        <v>6261.65</v>
      </c>
      <c r="D4434" s="2">
        <v>6306.25</v>
      </c>
      <c r="E4434" s="2">
        <v>6327.1</v>
      </c>
      <c r="F4434" s="2">
        <v>6246.35</v>
      </c>
      <c r="G4434" s="3">
        <f t="shared" si="209"/>
        <v>-9.0601212236306461E-3</v>
      </c>
      <c r="H4434" s="2">
        <f t="shared" si="207"/>
        <v>80.75</v>
      </c>
      <c r="I4434" s="3">
        <f t="shared" si="208"/>
        <v>1.2804757185332012E-2</v>
      </c>
    </row>
    <row r="4435" spans="2:9" x14ac:dyDescent="0.25">
      <c r="B4435" s="1">
        <v>41659</v>
      </c>
      <c r="C4435" s="2">
        <v>6303.95</v>
      </c>
      <c r="D4435" s="2">
        <v>6261.75</v>
      </c>
      <c r="E4435" s="2">
        <v>6307.45</v>
      </c>
      <c r="F4435" s="2">
        <v>6243.35</v>
      </c>
      <c r="G4435" s="3">
        <f t="shared" si="209"/>
        <v>6.7554079196379124E-3</v>
      </c>
      <c r="H4435" s="2">
        <f t="shared" si="207"/>
        <v>64.099999999999454</v>
      </c>
      <c r="I4435" s="3">
        <f t="shared" si="208"/>
        <v>1.0236754900786434E-2</v>
      </c>
    </row>
    <row r="4436" spans="2:9" x14ac:dyDescent="0.25">
      <c r="B4436" s="1">
        <v>41660</v>
      </c>
      <c r="C4436" s="2">
        <v>6313.8</v>
      </c>
      <c r="D4436" s="2">
        <v>6320.15</v>
      </c>
      <c r="E4436" s="2">
        <v>6330.3</v>
      </c>
      <c r="F4436" s="2">
        <v>6297.9</v>
      </c>
      <c r="G4436" s="3">
        <f t="shared" si="209"/>
        <v>1.5625123930234075E-3</v>
      </c>
      <c r="H4436" s="2">
        <f t="shared" si="207"/>
        <v>32.400000000000546</v>
      </c>
      <c r="I4436" s="3">
        <f t="shared" si="208"/>
        <v>5.1264606061565861E-3</v>
      </c>
    </row>
    <row r="4437" spans="2:9" x14ac:dyDescent="0.25">
      <c r="B4437" s="1">
        <v>41661</v>
      </c>
      <c r="C4437" s="2">
        <v>6338.95</v>
      </c>
      <c r="D4437" s="2">
        <v>6309.05</v>
      </c>
      <c r="E4437" s="2">
        <v>6349.95</v>
      </c>
      <c r="F4437" s="2">
        <v>6287.45</v>
      </c>
      <c r="G4437" s="3">
        <f t="shared" si="209"/>
        <v>3.9833380848299793E-3</v>
      </c>
      <c r="H4437" s="2">
        <f t="shared" si="207"/>
        <v>62.5</v>
      </c>
      <c r="I4437" s="3">
        <f t="shared" si="208"/>
        <v>9.9064042922468523E-3</v>
      </c>
    </row>
    <row r="4438" spans="2:9" x14ac:dyDescent="0.25">
      <c r="B4438" s="1">
        <v>41662</v>
      </c>
      <c r="C4438" s="2">
        <v>6345.65</v>
      </c>
      <c r="D4438" s="2">
        <v>6325.95</v>
      </c>
      <c r="E4438" s="2">
        <v>6355.6</v>
      </c>
      <c r="F4438" s="2">
        <v>6316.4</v>
      </c>
      <c r="G4438" s="3">
        <f t="shared" si="209"/>
        <v>1.0569573825318646E-3</v>
      </c>
      <c r="H4438" s="2">
        <f t="shared" si="207"/>
        <v>39.200000000000728</v>
      </c>
      <c r="I4438" s="3">
        <f t="shared" si="208"/>
        <v>6.1966977291949398E-3</v>
      </c>
    </row>
    <row r="4439" spans="2:9" x14ac:dyDescent="0.25">
      <c r="B4439" s="1">
        <v>41663</v>
      </c>
      <c r="C4439" s="2">
        <v>6266.75</v>
      </c>
      <c r="D4439" s="2">
        <v>6301.65</v>
      </c>
      <c r="E4439" s="2">
        <v>6331.45</v>
      </c>
      <c r="F4439" s="2">
        <v>6263.9</v>
      </c>
      <c r="G4439" s="3">
        <f t="shared" si="209"/>
        <v>-1.2433714434297416E-2</v>
      </c>
      <c r="H4439" s="2">
        <f t="shared" si="207"/>
        <v>67.550000000000182</v>
      </c>
      <c r="I4439" s="3">
        <f t="shared" si="208"/>
        <v>1.0719414756452704E-2</v>
      </c>
    </row>
    <row r="4440" spans="2:9" x14ac:dyDescent="0.25">
      <c r="B4440" s="1">
        <v>41666</v>
      </c>
      <c r="C4440" s="2">
        <v>6135.85</v>
      </c>
      <c r="D4440" s="2">
        <v>6186.3</v>
      </c>
      <c r="E4440" s="2">
        <v>6188.55</v>
      </c>
      <c r="F4440" s="2">
        <v>6130.25</v>
      </c>
      <c r="G4440" s="3">
        <f t="shared" si="209"/>
        <v>-2.0888020106115568E-2</v>
      </c>
      <c r="H4440" s="2">
        <f t="shared" si="207"/>
        <v>58.300000000000182</v>
      </c>
      <c r="I4440" s="3">
        <f t="shared" si="208"/>
        <v>9.4240499167515604E-3</v>
      </c>
    </row>
    <row r="4441" spans="2:9" x14ac:dyDescent="0.25">
      <c r="B4441" s="1">
        <v>41667</v>
      </c>
      <c r="C4441" s="2">
        <v>6126.25</v>
      </c>
      <c r="D4441" s="2">
        <v>6131.85</v>
      </c>
      <c r="E4441" s="2">
        <v>6163.6</v>
      </c>
      <c r="F4441" s="2">
        <v>6085.95</v>
      </c>
      <c r="G4441" s="3">
        <f t="shared" si="209"/>
        <v>-1.5645754052006078E-3</v>
      </c>
      <c r="H4441" s="2">
        <f t="shared" si="207"/>
        <v>77.650000000000546</v>
      </c>
      <c r="I4441" s="3">
        <f t="shared" si="208"/>
        <v>1.2663388699984596E-2</v>
      </c>
    </row>
    <row r="4442" spans="2:9" x14ac:dyDescent="0.25">
      <c r="B4442" s="1">
        <v>41668</v>
      </c>
      <c r="C4442" s="2">
        <v>6120.25</v>
      </c>
      <c r="D4442" s="2">
        <v>6161</v>
      </c>
      <c r="E4442" s="2">
        <v>6170.45</v>
      </c>
      <c r="F4442" s="2">
        <v>6109.8</v>
      </c>
      <c r="G4442" s="3">
        <f t="shared" si="209"/>
        <v>-9.7939196082430513E-4</v>
      </c>
      <c r="H4442" s="2">
        <f t="shared" si="207"/>
        <v>60.649999999999636</v>
      </c>
      <c r="I4442" s="3">
        <f t="shared" si="208"/>
        <v>9.8441811394253589E-3</v>
      </c>
    </row>
    <row r="4443" spans="2:9" x14ac:dyDescent="0.25">
      <c r="B4443" s="1">
        <v>41669</v>
      </c>
      <c r="C4443" s="2">
        <v>6073.7</v>
      </c>
      <c r="D4443" s="2">
        <v>6067</v>
      </c>
      <c r="E4443" s="2">
        <v>6082.85</v>
      </c>
      <c r="F4443" s="2">
        <v>6027.25</v>
      </c>
      <c r="G4443" s="3">
        <f t="shared" si="209"/>
        <v>-7.6058984518606598E-3</v>
      </c>
      <c r="H4443" s="2">
        <f t="shared" si="207"/>
        <v>55.600000000000364</v>
      </c>
      <c r="I4443" s="3">
        <f t="shared" si="208"/>
        <v>9.1643316301302721E-3</v>
      </c>
    </row>
    <row r="4444" spans="2:9" x14ac:dyDescent="0.25">
      <c r="B4444" s="1">
        <v>41670</v>
      </c>
      <c r="C4444" s="2">
        <v>6089.5</v>
      </c>
      <c r="D4444" s="2">
        <v>6082.75</v>
      </c>
      <c r="E4444" s="2">
        <v>6097.85</v>
      </c>
      <c r="F4444" s="2">
        <v>6067.35</v>
      </c>
      <c r="G4444" s="3">
        <f t="shared" si="209"/>
        <v>2.6013797191168919E-3</v>
      </c>
      <c r="H4444" s="2">
        <f t="shared" si="207"/>
        <v>30.5</v>
      </c>
      <c r="I4444" s="3">
        <f t="shared" si="208"/>
        <v>5.0141794418642888E-3</v>
      </c>
    </row>
    <row r="4445" spans="2:9" x14ac:dyDescent="0.25">
      <c r="B4445" s="1">
        <v>41673</v>
      </c>
      <c r="C4445" s="2">
        <v>6001.8</v>
      </c>
      <c r="D4445" s="2">
        <v>6058.8</v>
      </c>
      <c r="E4445" s="2">
        <v>6074.85</v>
      </c>
      <c r="F4445" s="2">
        <v>5994.45</v>
      </c>
      <c r="G4445" s="3">
        <f t="shared" si="209"/>
        <v>-1.4401839231463986E-2</v>
      </c>
      <c r="H4445" s="2">
        <f t="shared" si="207"/>
        <v>80.400000000000546</v>
      </c>
      <c r="I4445" s="3">
        <f t="shared" si="208"/>
        <v>1.3269954446425125E-2</v>
      </c>
    </row>
    <row r="4446" spans="2:9" x14ac:dyDescent="0.25">
      <c r="B4446" s="1">
        <v>41674</v>
      </c>
      <c r="C4446" s="2">
        <v>6000.9</v>
      </c>
      <c r="D4446" s="2">
        <v>5947.6</v>
      </c>
      <c r="E4446" s="2">
        <v>6017.8</v>
      </c>
      <c r="F4446" s="2">
        <v>5933.3</v>
      </c>
      <c r="G4446" s="3">
        <f t="shared" si="209"/>
        <v>-1.4995501349601703E-4</v>
      </c>
      <c r="H4446" s="2">
        <f t="shared" si="207"/>
        <v>84.5</v>
      </c>
      <c r="I4446" s="3">
        <f t="shared" si="208"/>
        <v>1.4207411392830721E-2</v>
      </c>
    </row>
    <row r="4447" spans="2:9" x14ac:dyDescent="0.25">
      <c r="B4447" s="1">
        <v>41675</v>
      </c>
      <c r="C4447" s="2">
        <v>6022.4</v>
      </c>
      <c r="D4447" s="2">
        <v>6004.25</v>
      </c>
      <c r="E4447" s="2">
        <v>6028.05</v>
      </c>
      <c r="F4447" s="2">
        <v>5962.05</v>
      </c>
      <c r="G4447" s="3">
        <f t="shared" si="209"/>
        <v>3.5827959139462795E-3</v>
      </c>
      <c r="H4447" s="2">
        <f t="shared" si="207"/>
        <v>66</v>
      </c>
      <c r="I4447" s="3">
        <f t="shared" si="208"/>
        <v>1.0992213848523962E-2</v>
      </c>
    </row>
    <row r="4448" spans="2:9" x14ac:dyDescent="0.25">
      <c r="B4448" s="1">
        <v>41676</v>
      </c>
      <c r="C4448" s="2">
        <v>6036.3</v>
      </c>
      <c r="D4448" s="2">
        <v>6028.35</v>
      </c>
      <c r="E4448" s="2">
        <v>6048.35</v>
      </c>
      <c r="F4448" s="2">
        <v>5965.4</v>
      </c>
      <c r="G4448" s="3">
        <f t="shared" si="209"/>
        <v>2.308049946865065E-3</v>
      </c>
      <c r="H4448" s="2">
        <f t="shared" si="207"/>
        <v>82.950000000000728</v>
      </c>
      <c r="I4448" s="3">
        <f t="shared" si="208"/>
        <v>1.3759984075244589E-2</v>
      </c>
    </row>
    <row r="4449" spans="2:9" x14ac:dyDescent="0.25">
      <c r="B4449" s="1">
        <v>41677</v>
      </c>
      <c r="C4449" s="2">
        <v>6063.2</v>
      </c>
      <c r="D4449" s="2">
        <v>6077.65</v>
      </c>
      <c r="E4449" s="2">
        <v>6079.95</v>
      </c>
      <c r="F4449" s="2">
        <v>6030.9</v>
      </c>
      <c r="G4449" s="3">
        <f t="shared" si="209"/>
        <v>4.4563722810331274E-3</v>
      </c>
      <c r="H4449" s="2">
        <f t="shared" si="207"/>
        <v>49.050000000000182</v>
      </c>
      <c r="I4449" s="3">
        <f t="shared" si="208"/>
        <v>8.0705535856787063E-3</v>
      </c>
    </row>
    <row r="4450" spans="2:9" x14ac:dyDescent="0.25">
      <c r="B4450" s="1">
        <v>41680</v>
      </c>
      <c r="C4450" s="2">
        <v>6053.45</v>
      </c>
      <c r="D4450" s="2">
        <v>6072.8</v>
      </c>
      <c r="E4450" s="2">
        <v>6083.05</v>
      </c>
      <c r="F4450" s="2">
        <v>6046.4</v>
      </c>
      <c r="G4450" s="3">
        <f t="shared" si="209"/>
        <v>-1.6080617495711769E-3</v>
      </c>
      <c r="H4450" s="2">
        <f t="shared" si="207"/>
        <v>36.650000000000546</v>
      </c>
      <c r="I4450" s="3">
        <f t="shared" si="208"/>
        <v>6.0351073639837542E-3</v>
      </c>
    </row>
    <row r="4451" spans="2:9" x14ac:dyDescent="0.25">
      <c r="B4451" s="1">
        <v>41681</v>
      </c>
      <c r="C4451" s="2">
        <v>6062.7</v>
      </c>
      <c r="D4451" s="2">
        <v>6072.45</v>
      </c>
      <c r="E4451" s="2">
        <v>6081.85</v>
      </c>
      <c r="F4451" s="2">
        <v>6053.25</v>
      </c>
      <c r="G4451" s="3">
        <f t="shared" si="209"/>
        <v>1.5280542500557548E-3</v>
      </c>
      <c r="H4451" s="2">
        <f t="shared" si="207"/>
        <v>28.600000000000364</v>
      </c>
      <c r="I4451" s="3">
        <f t="shared" si="208"/>
        <v>4.7097958813988369E-3</v>
      </c>
    </row>
    <row r="4452" spans="2:9" x14ac:dyDescent="0.25">
      <c r="B4452" s="1">
        <v>41682</v>
      </c>
      <c r="C4452" s="2">
        <v>6084</v>
      </c>
      <c r="D4452" s="2">
        <v>6085.35</v>
      </c>
      <c r="E4452" s="2">
        <v>6106.6</v>
      </c>
      <c r="F4452" s="2">
        <v>6077.4</v>
      </c>
      <c r="G4452" s="3">
        <f t="shared" si="209"/>
        <v>3.5132861596318676E-3</v>
      </c>
      <c r="H4452" s="2">
        <f t="shared" si="207"/>
        <v>29.200000000000728</v>
      </c>
      <c r="I4452" s="3">
        <f t="shared" si="208"/>
        <v>4.798409294453191E-3</v>
      </c>
    </row>
    <row r="4453" spans="2:9" x14ac:dyDescent="0.25">
      <c r="B4453" s="1">
        <v>41683</v>
      </c>
      <c r="C4453" s="2">
        <v>6001.1</v>
      </c>
      <c r="D4453" s="2">
        <v>6087.55</v>
      </c>
      <c r="E4453" s="2">
        <v>6094.4</v>
      </c>
      <c r="F4453" s="2">
        <v>5991.1</v>
      </c>
      <c r="G4453" s="3">
        <f t="shared" si="209"/>
        <v>-1.362590401051933E-2</v>
      </c>
      <c r="H4453" s="2">
        <f t="shared" si="207"/>
        <v>103.29999999999927</v>
      </c>
      <c r="I4453" s="3">
        <f t="shared" si="208"/>
        <v>1.6969059802383432E-2</v>
      </c>
    </row>
    <row r="4454" spans="2:9" x14ac:dyDescent="0.25">
      <c r="B4454" s="1">
        <v>41684</v>
      </c>
      <c r="C4454" s="2">
        <v>6048.35</v>
      </c>
      <c r="D4454" s="2">
        <v>6023.75</v>
      </c>
      <c r="E4454" s="2">
        <v>6056.4</v>
      </c>
      <c r="F4454" s="2">
        <v>5984.6</v>
      </c>
      <c r="G4454" s="3">
        <f t="shared" si="209"/>
        <v>7.8735565146390574E-3</v>
      </c>
      <c r="H4454" s="2">
        <f t="shared" si="207"/>
        <v>71.799999999999272</v>
      </c>
      <c r="I4454" s="3">
        <f t="shared" si="208"/>
        <v>1.1919485370408678E-2</v>
      </c>
    </row>
    <row r="4455" spans="2:9" x14ac:dyDescent="0.25">
      <c r="B4455" s="1">
        <v>41687</v>
      </c>
      <c r="C4455" s="2">
        <v>6073.3</v>
      </c>
      <c r="D4455" s="2">
        <v>6057.1</v>
      </c>
      <c r="E4455" s="2">
        <v>6080.65</v>
      </c>
      <c r="F4455" s="2">
        <v>6038.3</v>
      </c>
      <c r="G4455" s="3">
        <f t="shared" si="209"/>
        <v>4.1250919672306541E-3</v>
      </c>
      <c r="H4455" s="2">
        <f t="shared" si="207"/>
        <v>42.349999999999454</v>
      </c>
      <c r="I4455" s="3">
        <f t="shared" si="208"/>
        <v>6.9917947532646728E-3</v>
      </c>
    </row>
    <row r="4456" spans="2:9" x14ac:dyDescent="0.25">
      <c r="B4456" s="1">
        <v>41688</v>
      </c>
      <c r="C4456" s="2">
        <v>6127.1</v>
      </c>
      <c r="D4456" s="2">
        <v>6071.3</v>
      </c>
      <c r="E4456" s="2">
        <v>6141.7</v>
      </c>
      <c r="F4456" s="2">
        <v>6066.8</v>
      </c>
      <c r="G4456" s="3">
        <f t="shared" si="209"/>
        <v>8.8584459848846109E-3</v>
      </c>
      <c r="H4456" s="2">
        <f t="shared" si="207"/>
        <v>74.899999999999636</v>
      </c>
      <c r="I4456" s="3">
        <f t="shared" si="208"/>
        <v>1.2336731836674128E-2</v>
      </c>
    </row>
    <row r="4457" spans="2:9" x14ac:dyDescent="0.25">
      <c r="B4457" s="1">
        <v>41689</v>
      </c>
      <c r="C4457" s="2">
        <v>6152.75</v>
      </c>
      <c r="D4457" s="2">
        <v>6132.05</v>
      </c>
      <c r="E4457" s="2">
        <v>6160.35</v>
      </c>
      <c r="F4457" s="2">
        <v>6125.75</v>
      </c>
      <c r="G4457" s="3">
        <f t="shared" si="209"/>
        <v>4.1863197923976969E-3</v>
      </c>
      <c r="H4457" s="2">
        <f t="shared" si="207"/>
        <v>34.600000000000364</v>
      </c>
      <c r="I4457" s="3">
        <f t="shared" si="208"/>
        <v>5.6424849764761149E-3</v>
      </c>
    </row>
    <row r="4458" spans="2:9" x14ac:dyDescent="0.25">
      <c r="B4458" s="1">
        <v>41690</v>
      </c>
      <c r="C4458" s="2">
        <v>6091.45</v>
      </c>
      <c r="D4458" s="2">
        <v>6127.15</v>
      </c>
      <c r="E4458" s="2">
        <v>6129.1</v>
      </c>
      <c r="F4458" s="2">
        <v>6086.45</v>
      </c>
      <c r="G4458" s="3">
        <f t="shared" si="209"/>
        <v>-9.9630246637683051E-3</v>
      </c>
      <c r="H4458" s="2">
        <f t="shared" si="207"/>
        <v>42.650000000000546</v>
      </c>
      <c r="I4458" s="3">
        <f t="shared" si="208"/>
        <v>6.960821915572582E-3</v>
      </c>
    </row>
    <row r="4459" spans="2:9" x14ac:dyDescent="0.25">
      <c r="B4459" s="1">
        <v>41691</v>
      </c>
      <c r="C4459" s="2">
        <v>6155.45</v>
      </c>
      <c r="D4459" s="2">
        <v>6108.3</v>
      </c>
      <c r="E4459" s="2">
        <v>6159.65</v>
      </c>
      <c r="F4459" s="2">
        <v>6108</v>
      </c>
      <c r="G4459" s="3">
        <f t="shared" si="209"/>
        <v>1.0506529644009222E-2</v>
      </c>
      <c r="H4459" s="2">
        <f t="shared" si="207"/>
        <v>51.649999999999636</v>
      </c>
      <c r="I4459" s="3">
        <f t="shared" si="208"/>
        <v>8.4557078074095297E-3</v>
      </c>
    </row>
    <row r="4460" spans="2:9" x14ac:dyDescent="0.25">
      <c r="B4460" s="1">
        <v>41694</v>
      </c>
      <c r="C4460" s="2">
        <v>6186.1</v>
      </c>
      <c r="D4460" s="2">
        <v>6140.95</v>
      </c>
      <c r="E4460" s="2">
        <v>6191.85</v>
      </c>
      <c r="F4460" s="2">
        <v>6130.8</v>
      </c>
      <c r="G4460" s="3">
        <f t="shared" si="209"/>
        <v>4.9793272628322338E-3</v>
      </c>
      <c r="H4460" s="2">
        <f t="shared" si="207"/>
        <v>61.050000000000182</v>
      </c>
      <c r="I4460" s="3">
        <f t="shared" si="208"/>
        <v>9.9414585691139298E-3</v>
      </c>
    </row>
    <row r="4461" spans="2:9" x14ac:dyDescent="0.25">
      <c r="B4461" s="1">
        <v>41695</v>
      </c>
      <c r="C4461" s="2">
        <v>6200.05</v>
      </c>
      <c r="D4461" s="2">
        <v>6205.7</v>
      </c>
      <c r="E4461" s="2">
        <v>6216.85</v>
      </c>
      <c r="F4461" s="2">
        <v>6176.6</v>
      </c>
      <c r="G4461" s="3">
        <f t="shared" si="209"/>
        <v>2.255055689368124E-3</v>
      </c>
      <c r="H4461" s="2">
        <f t="shared" si="207"/>
        <v>40.25</v>
      </c>
      <c r="I4461" s="3">
        <f t="shared" si="208"/>
        <v>6.4859725736016892E-3</v>
      </c>
    </row>
    <row r="4462" spans="2:9" x14ac:dyDescent="0.25">
      <c r="B4462" s="1">
        <v>41696</v>
      </c>
      <c r="C4462" s="2">
        <v>6238.8</v>
      </c>
      <c r="D4462" s="2">
        <v>6202.45</v>
      </c>
      <c r="E4462" s="2">
        <v>6245.95</v>
      </c>
      <c r="F4462" s="2">
        <v>6202.1</v>
      </c>
      <c r="G4462" s="3">
        <f t="shared" si="209"/>
        <v>6.2499495971806152E-3</v>
      </c>
      <c r="H4462" s="2">
        <f t="shared" si="207"/>
        <v>43.849999999999454</v>
      </c>
      <c r="I4462" s="3">
        <f t="shared" si="208"/>
        <v>7.0697869390320689E-3</v>
      </c>
    </row>
    <row r="4463" spans="2:9" x14ac:dyDescent="0.25">
      <c r="B4463" s="1">
        <v>41698</v>
      </c>
      <c r="C4463" s="2">
        <v>6276.95</v>
      </c>
      <c r="D4463" s="2">
        <v>6228.45</v>
      </c>
      <c r="E4463" s="2">
        <v>6282.7</v>
      </c>
      <c r="F4463" s="2">
        <v>6228.1</v>
      </c>
      <c r="G4463" s="3">
        <f t="shared" si="209"/>
        <v>6.1149580047443752E-3</v>
      </c>
      <c r="H4463" s="2">
        <f t="shared" si="207"/>
        <v>54.599999999999454</v>
      </c>
      <c r="I4463" s="3">
        <f t="shared" si="208"/>
        <v>8.7662259470653939E-3</v>
      </c>
    </row>
    <row r="4464" spans="2:9" x14ac:dyDescent="0.25">
      <c r="B4464" s="1">
        <v>41701</v>
      </c>
      <c r="C4464" s="2">
        <v>6221.45</v>
      </c>
      <c r="D4464" s="2">
        <v>6264.35</v>
      </c>
      <c r="E4464" s="2">
        <v>6277.75</v>
      </c>
      <c r="F4464" s="2">
        <v>6212.25</v>
      </c>
      <c r="G4464" s="3">
        <f t="shared" si="209"/>
        <v>-8.8418738400019015E-3</v>
      </c>
      <c r="H4464" s="2">
        <f t="shared" si="207"/>
        <v>65.5</v>
      </c>
      <c r="I4464" s="3">
        <f t="shared" si="208"/>
        <v>1.0455993039980205E-2</v>
      </c>
    </row>
    <row r="4465" spans="2:9" x14ac:dyDescent="0.25">
      <c r="B4465" s="1">
        <v>41702</v>
      </c>
      <c r="C4465" s="2">
        <v>6297.95</v>
      </c>
      <c r="D4465" s="2">
        <v>6216.75</v>
      </c>
      <c r="E4465" s="2">
        <v>6302.15</v>
      </c>
      <c r="F4465" s="2">
        <v>6215.7</v>
      </c>
      <c r="G4465" s="3">
        <f t="shared" si="209"/>
        <v>1.2296168899533111E-2</v>
      </c>
      <c r="H4465" s="2">
        <f t="shared" si="207"/>
        <v>86.449999999999818</v>
      </c>
      <c r="I4465" s="3">
        <f t="shared" si="208"/>
        <v>1.3905979812603018E-2</v>
      </c>
    </row>
    <row r="4466" spans="2:9" x14ac:dyDescent="0.25">
      <c r="B4466" s="1">
        <v>41703</v>
      </c>
      <c r="C4466" s="2">
        <v>6328.65</v>
      </c>
      <c r="D4466" s="2">
        <v>6328.45</v>
      </c>
      <c r="E4466" s="2">
        <v>6336.25</v>
      </c>
      <c r="F4466" s="2">
        <v>6287.8</v>
      </c>
      <c r="G4466" s="3">
        <f t="shared" si="209"/>
        <v>4.8746020530490153E-3</v>
      </c>
      <c r="H4466" s="2">
        <f t="shared" si="207"/>
        <v>48.449999999999818</v>
      </c>
      <c r="I4466" s="3">
        <f t="shared" si="208"/>
        <v>7.6559031042356058E-3</v>
      </c>
    </row>
    <row r="4467" spans="2:9" x14ac:dyDescent="0.25">
      <c r="B4467" s="1">
        <v>41704</v>
      </c>
      <c r="C4467" s="2">
        <v>6401.15</v>
      </c>
      <c r="D4467" s="2">
        <v>6344.75</v>
      </c>
      <c r="E4467" s="2">
        <v>6406.6</v>
      </c>
      <c r="F4467" s="2">
        <v>6339.7</v>
      </c>
      <c r="G4467" s="3">
        <f t="shared" si="209"/>
        <v>1.1455839713050864E-2</v>
      </c>
      <c r="H4467" s="2">
        <f t="shared" si="207"/>
        <v>66.900000000000546</v>
      </c>
      <c r="I4467" s="3">
        <f t="shared" si="208"/>
        <v>1.0544150675755632E-2</v>
      </c>
    </row>
    <row r="4468" spans="2:9" x14ac:dyDescent="0.25">
      <c r="B4468" s="1">
        <v>41705</v>
      </c>
      <c r="C4468" s="2">
        <v>6526.65</v>
      </c>
      <c r="D4468" s="2">
        <v>6413.95</v>
      </c>
      <c r="E4468" s="2">
        <v>6537.8</v>
      </c>
      <c r="F4468" s="2">
        <v>6413.55</v>
      </c>
      <c r="G4468" s="3">
        <f t="shared" si="209"/>
        <v>1.9605852073455443E-2</v>
      </c>
      <c r="H4468" s="2">
        <f t="shared" si="207"/>
        <v>124.25</v>
      </c>
      <c r="I4468" s="3">
        <f t="shared" si="208"/>
        <v>1.9371837946974953E-2</v>
      </c>
    </row>
    <row r="4469" spans="2:9" x14ac:dyDescent="0.25">
      <c r="B4469" s="1">
        <v>41708</v>
      </c>
      <c r="C4469" s="2">
        <v>6537.25</v>
      </c>
      <c r="D4469" s="2">
        <v>6491.7</v>
      </c>
      <c r="E4469" s="2">
        <v>6562.2</v>
      </c>
      <c r="F4469" s="2">
        <v>6487.35</v>
      </c>
      <c r="G4469" s="3">
        <f t="shared" si="209"/>
        <v>1.624110378218635E-3</v>
      </c>
      <c r="H4469" s="2">
        <f t="shared" si="207"/>
        <v>74.849999999999454</v>
      </c>
      <c r="I4469" s="3">
        <f t="shared" si="208"/>
        <v>1.1530107675955368E-2</v>
      </c>
    </row>
    <row r="4470" spans="2:9" x14ac:dyDescent="0.25">
      <c r="B4470" s="1">
        <v>41709</v>
      </c>
      <c r="C4470" s="2">
        <v>6511.9</v>
      </c>
      <c r="D4470" s="2">
        <v>6537.35</v>
      </c>
      <c r="E4470" s="2">
        <v>6562.85</v>
      </c>
      <c r="F4470" s="2">
        <v>6494.25</v>
      </c>
      <c r="G4470" s="3">
        <f t="shared" si="209"/>
        <v>-3.8777773528625437E-3</v>
      </c>
      <c r="H4470" s="2">
        <f t="shared" si="207"/>
        <v>68.600000000000364</v>
      </c>
      <c r="I4470" s="3">
        <f t="shared" si="208"/>
        <v>1.0493548609145963E-2</v>
      </c>
    </row>
    <row r="4471" spans="2:9" x14ac:dyDescent="0.25">
      <c r="B4471" s="1">
        <v>41710</v>
      </c>
      <c r="C4471" s="2">
        <v>6516.9</v>
      </c>
      <c r="D4471" s="2">
        <v>6497.5</v>
      </c>
      <c r="E4471" s="2">
        <v>6546.15</v>
      </c>
      <c r="F4471" s="2">
        <v>6487.3</v>
      </c>
      <c r="G4471" s="3">
        <f t="shared" si="209"/>
        <v>7.6782505873862483E-4</v>
      </c>
      <c r="H4471" s="2">
        <f t="shared" si="207"/>
        <v>58.849999999999454</v>
      </c>
      <c r="I4471" s="3">
        <f t="shared" si="208"/>
        <v>9.0573297422084573E-3</v>
      </c>
    </row>
    <row r="4472" spans="2:9" x14ac:dyDescent="0.25">
      <c r="B4472" s="1">
        <v>41711</v>
      </c>
      <c r="C4472" s="2">
        <v>6493.1</v>
      </c>
      <c r="D4472" s="2">
        <v>6491.75</v>
      </c>
      <c r="E4472" s="2">
        <v>6561.45</v>
      </c>
      <c r="F4472" s="2">
        <v>6476.65</v>
      </c>
      <c r="G4472" s="3">
        <f t="shared" si="209"/>
        <v>-3.6520431493500816E-3</v>
      </c>
      <c r="H4472" s="2">
        <f t="shared" si="207"/>
        <v>84.800000000000182</v>
      </c>
      <c r="I4472" s="3">
        <f t="shared" si="208"/>
        <v>1.3062733469403502E-2</v>
      </c>
    </row>
    <row r="4473" spans="2:9" x14ac:dyDescent="0.25">
      <c r="B4473" s="1">
        <v>41712</v>
      </c>
      <c r="C4473" s="2">
        <v>6504.2</v>
      </c>
      <c r="D4473" s="2">
        <v>6447.25</v>
      </c>
      <c r="E4473" s="2">
        <v>6518.45</v>
      </c>
      <c r="F4473" s="2">
        <v>6432.7</v>
      </c>
      <c r="G4473" s="3">
        <f t="shared" si="209"/>
        <v>1.7095070151391667E-3</v>
      </c>
      <c r="H4473" s="2">
        <f t="shared" si="207"/>
        <v>85.75</v>
      </c>
      <c r="I4473" s="3">
        <f t="shared" si="208"/>
        <v>1.3300244290201249E-2</v>
      </c>
    </row>
    <row r="4474" spans="2:9" x14ac:dyDescent="0.25">
      <c r="B4474" s="1">
        <v>41716</v>
      </c>
      <c r="C4474" s="2">
        <v>6516.65</v>
      </c>
      <c r="D4474" s="2">
        <v>6532.45</v>
      </c>
      <c r="E4474" s="2">
        <v>6574.95</v>
      </c>
      <c r="F4474" s="2">
        <v>6497.65</v>
      </c>
      <c r="G4474" s="3">
        <f t="shared" si="209"/>
        <v>1.9141477814335062E-3</v>
      </c>
      <c r="H4474" s="2">
        <f t="shared" si="207"/>
        <v>77.300000000000182</v>
      </c>
      <c r="I4474" s="3">
        <f t="shared" si="208"/>
        <v>1.1833232554401517E-2</v>
      </c>
    </row>
    <row r="4475" spans="2:9" x14ac:dyDescent="0.25">
      <c r="B4475" s="1">
        <v>41717</v>
      </c>
      <c r="C4475" s="2">
        <v>6524.05</v>
      </c>
      <c r="D4475" s="2">
        <v>6530</v>
      </c>
      <c r="E4475" s="2">
        <v>6541.2</v>
      </c>
      <c r="F4475" s="2">
        <v>6506</v>
      </c>
      <c r="G4475" s="3">
        <f t="shared" si="209"/>
        <v>1.1355527763499129E-3</v>
      </c>
      <c r="H4475" s="2">
        <f t="shared" si="207"/>
        <v>35.199999999999818</v>
      </c>
      <c r="I4475" s="3">
        <f t="shared" si="208"/>
        <v>5.3905053598774606E-3</v>
      </c>
    </row>
    <row r="4476" spans="2:9" x14ac:dyDescent="0.25">
      <c r="B4476" s="1">
        <v>41718</v>
      </c>
      <c r="C4476" s="2">
        <v>6483.1</v>
      </c>
      <c r="D4476" s="2">
        <v>6508.35</v>
      </c>
      <c r="E4476" s="2">
        <v>6523.65</v>
      </c>
      <c r="F4476" s="2">
        <v>6473.25</v>
      </c>
      <c r="G4476" s="3">
        <f t="shared" si="209"/>
        <v>-6.2767759290623948E-3</v>
      </c>
      <c r="H4476" s="2">
        <f t="shared" si="207"/>
        <v>50.399999999999636</v>
      </c>
      <c r="I4476" s="3">
        <f t="shared" si="208"/>
        <v>7.7438982230518694E-3</v>
      </c>
    </row>
    <row r="4477" spans="2:9" x14ac:dyDescent="0.25">
      <c r="B4477" s="1">
        <v>41719</v>
      </c>
      <c r="C4477" s="2">
        <v>6493.2</v>
      </c>
      <c r="D4477" s="2">
        <v>6515.2</v>
      </c>
      <c r="E4477" s="2">
        <v>6522.9</v>
      </c>
      <c r="F4477" s="2">
        <v>6485.7</v>
      </c>
      <c r="G4477" s="3">
        <f t="shared" si="209"/>
        <v>1.5578966852276555E-3</v>
      </c>
      <c r="H4477" s="2">
        <f t="shared" si="207"/>
        <v>37.199999999999818</v>
      </c>
      <c r="I4477" s="3">
        <f t="shared" si="208"/>
        <v>5.7097249508840583E-3</v>
      </c>
    </row>
    <row r="4478" spans="2:9" x14ac:dyDescent="0.25">
      <c r="B4478" s="1">
        <v>41720</v>
      </c>
      <c r="C4478" s="2">
        <v>6494.9</v>
      </c>
      <c r="D4478" s="2">
        <v>6497.8</v>
      </c>
      <c r="E4478" s="2">
        <v>6502.65</v>
      </c>
      <c r="F4478" s="2">
        <v>6481.35</v>
      </c>
      <c r="G4478" s="3">
        <f t="shared" si="209"/>
        <v>2.6181235754330068E-4</v>
      </c>
      <c r="H4478" s="2">
        <f t="shared" si="207"/>
        <v>21.299999999999272</v>
      </c>
      <c r="I4478" s="3">
        <f t="shared" si="208"/>
        <v>3.2780325648679972E-3</v>
      </c>
    </row>
    <row r="4479" spans="2:9" x14ac:dyDescent="0.25">
      <c r="B4479" s="1">
        <v>41722</v>
      </c>
      <c r="C4479" s="2">
        <v>6583.5</v>
      </c>
      <c r="D4479" s="2">
        <v>6510.5</v>
      </c>
      <c r="E4479" s="2">
        <v>6591.5</v>
      </c>
      <c r="F4479" s="2">
        <v>6510.5</v>
      </c>
      <c r="G4479" s="3">
        <f t="shared" si="209"/>
        <v>1.3641472539992927E-2</v>
      </c>
      <c r="H4479" s="2">
        <f t="shared" si="207"/>
        <v>81</v>
      </c>
      <c r="I4479" s="3">
        <f t="shared" si="208"/>
        <v>1.2441440749558406E-2</v>
      </c>
    </row>
    <row r="4480" spans="2:9" x14ac:dyDescent="0.25">
      <c r="B4480" s="1">
        <v>41723</v>
      </c>
      <c r="C4480" s="2">
        <v>6589.75</v>
      </c>
      <c r="D4480" s="2">
        <v>6550.1</v>
      </c>
      <c r="E4480" s="2">
        <v>6595.55</v>
      </c>
      <c r="F4480" s="2">
        <v>6544.85</v>
      </c>
      <c r="G4480" s="3">
        <f t="shared" si="209"/>
        <v>9.4934305460614432E-4</v>
      </c>
      <c r="H4480" s="2">
        <f t="shared" si="207"/>
        <v>50.699999999999818</v>
      </c>
      <c r="I4480" s="3">
        <f t="shared" si="208"/>
        <v>7.7403398421397865E-3</v>
      </c>
    </row>
    <row r="4481" spans="2:9" x14ac:dyDescent="0.25">
      <c r="B4481" s="1">
        <v>41724</v>
      </c>
      <c r="C4481" s="2">
        <v>6601.4</v>
      </c>
      <c r="D4481" s="2">
        <v>6615.65</v>
      </c>
      <c r="E4481" s="2">
        <v>6627.45</v>
      </c>
      <c r="F4481" s="2">
        <v>6580.6</v>
      </c>
      <c r="G4481" s="3">
        <f t="shared" si="209"/>
        <v>1.767897112940453E-3</v>
      </c>
      <c r="H4481" s="2">
        <f t="shared" si="207"/>
        <v>46.849999999999454</v>
      </c>
      <c r="I4481" s="3">
        <f t="shared" si="208"/>
        <v>7.0816926530272092E-3</v>
      </c>
    </row>
    <row r="4482" spans="2:9" x14ac:dyDescent="0.25">
      <c r="B4482" s="1">
        <v>41725</v>
      </c>
      <c r="C4482" s="2">
        <v>6641.75</v>
      </c>
      <c r="D4482" s="2">
        <v>6613.1</v>
      </c>
      <c r="E4482" s="2">
        <v>6673.95</v>
      </c>
      <c r="F4482" s="2">
        <v>6599.5</v>
      </c>
      <c r="G4482" s="3">
        <f t="shared" si="209"/>
        <v>6.1123398067077783E-3</v>
      </c>
      <c r="H4482" s="2">
        <f t="shared" si="207"/>
        <v>74.449999999999818</v>
      </c>
      <c r="I4482" s="3">
        <f t="shared" si="208"/>
        <v>1.125795769003944E-2</v>
      </c>
    </row>
    <row r="4483" spans="2:9" x14ac:dyDescent="0.25">
      <c r="B4483" s="1">
        <v>41726</v>
      </c>
      <c r="C4483" s="2">
        <v>6695.9</v>
      </c>
      <c r="D4483" s="2">
        <v>6673.05</v>
      </c>
      <c r="E4483" s="2">
        <v>6702.6</v>
      </c>
      <c r="F4483" s="2">
        <v>6643.8</v>
      </c>
      <c r="G4483" s="3">
        <f t="shared" si="209"/>
        <v>8.1529717318478134E-3</v>
      </c>
      <c r="H4483" s="2">
        <f t="shared" si="207"/>
        <v>58.800000000000182</v>
      </c>
      <c r="I4483" s="3">
        <f t="shared" si="208"/>
        <v>8.8115629284959921E-3</v>
      </c>
    </row>
    <row r="4484" spans="2:9" x14ac:dyDescent="0.25">
      <c r="B4484" s="1">
        <v>41729</v>
      </c>
      <c r="C4484" s="2">
        <v>6704.2</v>
      </c>
      <c r="D4484" s="2">
        <v>6723.15</v>
      </c>
      <c r="E4484" s="2">
        <v>6730.05</v>
      </c>
      <c r="F4484" s="2">
        <v>6662.4</v>
      </c>
      <c r="G4484" s="3">
        <f t="shared" si="209"/>
        <v>1.2395645096252572E-3</v>
      </c>
      <c r="H4484" s="2">
        <f t="shared" si="207"/>
        <v>67.650000000000546</v>
      </c>
      <c r="I4484" s="3">
        <f t="shared" si="208"/>
        <v>1.0062247607148517E-2</v>
      </c>
    </row>
    <row r="4485" spans="2:9" x14ac:dyDescent="0.25">
      <c r="B4485" s="1">
        <v>41730</v>
      </c>
      <c r="C4485" s="2">
        <v>6721.05</v>
      </c>
      <c r="D4485" s="2">
        <v>6729.5</v>
      </c>
      <c r="E4485" s="2">
        <v>6732.25</v>
      </c>
      <c r="F4485" s="2">
        <v>6675.45</v>
      </c>
      <c r="G4485" s="3">
        <f t="shared" si="209"/>
        <v>2.5133498403986376E-3</v>
      </c>
      <c r="H4485" s="2">
        <f t="shared" ref="H4485:H4548" si="210">E4485-F4485</f>
        <v>56.800000000000182</v>
      </c>
      <c r="I4485" s="3">
        <f t="shared" si="208"/>
        <v>8.4404487703395766E-3</v>
      </c>
    </row>
    <row r="4486" spans="2:9" x14ac:dyDescent="0.25">
      <c r="B4486" s="1">
        <v>41731</v>
      </c>
      <c r="C4486" s="2">
        <v>6752.55</v>
      </c>
      <c r="D4486" s="2">
        <v>6757.6</v>
      </c>
      <c r="E4486" s="2">
        <v>6763.5</v>
      </c>
      <c r="F4486" s="2">
        <v>6723.6</v>
      </c>
      <c r="G4486" s="3">
        <f t="shared" si="209"/>
        <v>4.686767692547944E-3</v>
      </c>
      <c r="H4486" s="2">
        <f t="shared" si="210"/>
        <v>39.899999999999636</v>
      </c>
      <c r="I4486" s="3">
        <f t="shared" ref="I4486:I4549" si="211">H4486/D4486</f>
        <v>5.9044631230021948E-3</v>
      </c>
    </row>
    <row r="4487" spans="2:9" x14ac:dyDescent="0.25">
      <c r="B4487" s="1">
        <v>41732</v>
      </c>
      <c r="C4487" s="2">
        <v>6736.1</v>
      </c>
      <c r="D4487" s="2">
        <v>6772.05</v>
      </c>
      <c r="E4487" s="2">
        <v>6776.75</v>
      </c>
      <c r="F4487" s="2">
        <v>6696.9</v>
      </c>
      <c r="G4487" s="3">
        <f t="shared" ref="G4487:G4550" si="212">C4487/C4486-1</f>
        <v>-2.4361167262737515E-3</v>
      </c>
      <c r="H4487" s="2">
        <f t="shared" si="210"/>
        <v>79.850000000000364</v>
      </c>
      <c r="I4487" s="3">
        <f t="shared" si="211"/>
        <v>1.1791111997105804E-2</v>
      </c>
    </row>
    <row r="4488" spans="2:9" x14ac:dyDescent="0.25">
      <c r="B4488" s="1">
        <v>41733</v>
      </c>
      <c r="C4488" s="2">
        <v>6694.35</v>
      </c>
      <c r="D4488" s="2">
        <v>6741.85</v>
      </c>
      <c r="E4488" s="2">
        <v>6741.85</v>
      </c>
      <c r="F4488" s="2">
        <v>6685.15</v>
      </c>
      <c r="G4488" s="3">
        <f t="shared" si="212"/>
        <v>-6.1979483677498948E-3</v>
      </c>
      <c r="H4488" s="2">
        <f t="shared" si="210"/>
        <v>56.700000000000728</v>
      </c>
      <c r="I4488" s="3">
        <f t="shared" si="211"/>
        <v>8.4101544828201046E-3</v>
      </c>
    </row>
    <row r="4489" spans="2:9" x14ac:dyDescent="0.25">
      <c r="B4489" s="1">
        <v>41736</v>
      </c>
      <c r="C4489" s="2">
        <v>6695.05</v>
      </c>
      <c r="D4489" s="2">
        <v>6694.25</v>
      </c>
      <c r="E4489" s="2">
        <v>6725.15</v>
      </c>
      <c r="F4489" s="2">
        <v>6650.4</v>
      </c>
      <c r="G4489" s="3">
        <f t="shared" si="212"/>
        <v>1.045657905547337E-4</v>
      </c>
      <c r="H4489" s="2">
        <f t="shared" si="210"/>
        <v>74.75</v>
      </c>
      <c r="I4489" s="3">
        <f t="shared" si="211"/>
        <v>1.1166299436083205E-2</v>
      </c>
    </row>
    <row r="4490" spans="2:9" x14ac:dyDescent="0.25">
      <c r="B4490" s="1">
        <v>41738</v>
      </c>
      <c r="C4490" s="2">
        <v>6796.2</v>
      </c>
      <c r="D4490" s="2">
        <v>6722</v>
      </c>
      <c r="E4490" s="2">
        <v>6808.7</v>
      </c>
      <c r="F4490" s="2">
        <v>6705.1</v>
      </c>
      <c r="G4490" s="3">
        <f t="shared" si="212"/>
        <v>1.5108176936692086E-2</v>
      </c>
      <c r="H4490" s="2">
        <f t="shared" si="210"/>
        <v>103.59999999999945</v>
      </c>
      <c r="I4490" s="3">
        <f t="shared" si="211"/>
        <v>1.5412079738173082E-2</v>
      </c>
    </row>
    <row r="4491" spans="2:9" x14ac:dyDescent="0.25">
      <c r="B4491" s="1">
        <v>41739</v>
      </c>
      <c r="C4491" s="2">
        <v>6796.4</v>
      </c>
      <c r="D4491" s="2">
        <v>6803.05</v>
      </c>
      <c r="E4491" s="2">
        <v>6819.05</v>
      </c>
      <c r="F4491" s="2">
        <v>6777.3</v>
      </c>
      <c r="G4491" s="3">
        <f t="shared" si="212"/>
        <v>2.942820988205419E-5</v>
      </c>
      <c r="H4491" s="2">
        <f t="shared" si="210"/>
        <v>41.75</v>
      </c>
      <c r="I4491" s="3">
        <f t="shared" si="211"/>
        <v>6.1369532783089936E-3</v>
      </c>
    </row>
    <row r="4492" spans="2:9" x14ac:dyDescent="0.25">
      <c r="B4492" s="1">
        <v>41740</v>
      </c>
      <c r="C4492" s="2">
        <v>6776.3</v>
      </c>
      <c r="D4492" s="2">
        <v>6758.35</v>
      </c>
      <c r="E4492" s="2">
        <v>6789.35</v>
      </c>
      <c r="F4492" s="2">
        <v>6743.15</v>
      </c>
      <c r="G4492" s="3">
        <f t="shared" si="212"/>
        <v>-2.9574480607379439E-3</v>
      </c>
      <c r="H4492" s="2">
        <f t="shared" si="210"/>
        <v>46.200000000000728</v>
      </c>
      <c r="I4492" s="3">
        <f t="shared" si="211"/>
        <v>6.835988074012255E-3</v>
      </c>
    </row>
    <row r="4493" spans="2:9" x14ac:dyDescent="0.25">
      <c r="B4493" s="1">
        <v>41744</v>
      </c>
      <c r="C4493" s="2">
        <v>6733.1</v>
      </c>
      <c r="D4493" s="2">
        <v>6792.7</v>
      </c>
      <c r="E4493" s="2">
        <v>6813.4</v>
      </c>
      <c r="F4493" s="2">
        <v>6711.75</v>
      </c>
      <c r="G4493" s="3">
        <f t="shared" si="212"/>
        <v>-6.3751604858107713E-3</v>
      </c>
      <c r="H4493" s="2">
        <f t="shared" si="210"/>
        <v>101.64999999999964</v>
      </c>
      <c r="I4493" s="3">
        <f t="shared" si="211"/>
        <v>1.4964594343927988E-2</v>
      </c>
    </row>
    <row r="4494" spans="2:9" x14ac:dyDescent="0.25">
      <c r="B4494" s="1">
        <v>41745</v>
      </c>
      <c r="C4494" s="2">
        <v>6675.3</v>
      </c>
      <c r="D4494" s="2">
        <v>6727.25</v>
      </c>
      <c r="E4494" s="2">
        <v>6748.65</v>
      </c>
      <c r="F4494" s="2">
        <v>6665.15</v>
      </c>
      <c r="G4494" s="3">
        <f t="shared" si="212"/>
        <v>-8.5844558969865314E-3</v>
      </c>
      <c r="H4494" s="2">
        <f t="shared" si="210"/>
        <v>83.5</v>
      </c>
      <c r="I4494" s="3">
        <f t="shared" si="211"/>
        <v>1.2412204095284105E-2</v>
      </c>
    </row>
    <row r="4495" spans="2:9" x14ac:dyDescent="0.25">
      <c r="B4495" s="1">
        <v>41746</v>
      </c>
      <c r="C4495" s="2">
        <v>6779.4</v>
      </c>
      <c r="D4495" s="2">
        <v>6695.45</v>
      </c>
      <c r="E4495" s="2">
        <v>6783.05</v>
      </c>
      <c r="F4495" s="2">
        <v>6684.4</v>
      </c>
      <c r="G4495" s="3">
        <f t="shared" si="212"/>
        <v>1.5594804727877332E-2</v>
      </c>
      <c r="H4495" s="2">
        <f t="shared" si="210"/>
        <v>98.650000000000546</v>
      </c>
      <c r="I4495" s="3">
        <f t="shared" si="211"/>
        <v>1.4733886445272617E-2</v>
      </c>
    </row>
    <row r="4496" spans="2:9" x14ac:dyDescent="0.25">
      <c r="B4496" s="1">
        <v>41750</v>
      </c>
      <c r="C4496" s="2">
        <v>6817.65</v>
      </c>
      <c r="D4496" s="2">
        <v>6789.25</v>
      </c>
      <c r="E4496" s="2">
        <v>6825.45</v>
      </c>
      <c r="F4496" s="2">
        <v>6786.9</v>
      </c>
      <c r="G4496" s="3">
        <f t="shared" si="212"/>
        <v>5.6420922205504542E-3</v>
      </c>
      <c r="H4496" s="2">
        <f t="shared" si="210"/>
        <v>38.550000000000182</v>
      </c>
      <c r="I4496" s="3">
        <f t="shared" si="211"/>
        <v>5.6780940457340917E-3</v>
      </c>
    </row>
    <row r="4497" spans="2:9" x14ac:dyDescent="0.25">
      <c r="B4497" s="1">
        <v>41751</v>
      </c>
      <c r="C4497" s="2">
        <v>6815.35</v>
      </c>
      <c r="D4497" s="2">
        <v>6822.9</v>
      </c>
      <c r="E4497" s="2">
        <v>6838</v>
      </c>
      <c r="F4497" s="2">
        <v>6806.25</v>
      </c>
      <c r="G4497" s="3">
        <f t="shared" si="212"/>
        <v>-3.3735964738568214E-4</v>
      </c>
      <c r="H4497" s="2">
        <f t="shared" si="210"/>
        <v>31.75</v>
      </c>
      <c r="I4497" s="3">
        <f t="shared" si="211"/>
        <v>4.6534464817013293E-3</v>
      </c>
    </row>
    <row r="4498" spans="2:9" x14ac:dyDescent="0.25">
      <c r="B4498" s="1">
        <v>41752</v>
      </c>
      <c r="C4498" s="2">
        <v>6840.8</v>
      </c>
      <c r="D4498" s="2">
        <v>6823.25</v>
      </c>
      <c r="E4498" s="2">
        <v>6861.6</v>
      </c>
      <c r="F4498" s="2">
        <v>6820.75</v>
      </c>
      <c r="G4498" s="3">
        <f t="shared" si="212"/>
        <v>3.7342176117147741E-3</v>
      </c>
      <c r="H4498" s="2">
        <f t="shared" si="210"/>
        <v>40.850000000000364</v>
      </c>
      <c r="I4498" s="3">
        <f t="shared" si="211"/>
        <v>5.9868830835745962E-3</v>
      </c>
    </row>
    <row r="4499" spans="2:9" x14ac:dyDescent="0.25">
      <c r="B4499" s="1">
        <v>41754</v>
      </c>
      <c r="C4499" s="2">
        <v>6782.75</v>
      </c>
      <c r="D4499" s="2">
        <v>6855.8</v>
      </c>
      <c r="E4499" s="2">
        <v>6869.85</v>
      </c>
      <c r="F4499" s="2">
        <v>6772.85</v>
      </c>
      <c r="G4499" s="3">
        <f t="shared" si="212"/>
        <v>-8.4858496082329538E-3</v>
      </c>
      <c r="H4499" s="2">
        <f t="shared" si="210"/>
        <v>97</v>
      </c>
      <c r="I4499" s="3">
        <f t="shared" si="211"/>
        <v>1.4148604101636569E-2</v>
      </c>
    </row>
    <row r="4500" spans="2:9" x14ac:dyDescent="0.25">
      <c r="B4500" s="1">
        <v>41757</v>
      </c>
      <c r="C4500" s="2">
        <v>6761.25</v>
      </c>
      <c r="D4500" s="2">
        <v>6778.55</v>
      </c>
      <c r="E4500" s="2">
        <v>6786.25</v>
      </c>
      <c r="F4500" s="2">
        <v>6750.3</v>
      </c>
      <c r="G4500" s="3">
        <f t="shared" si="212"/>
        <v>-3.1698057572518978E-3</v>
      </c>
      <c r="H4500" s="2">
        <f t="shared" si="210"/>
        <v>35.949999999999818</v>
      </c>
      <c r="I4500" s="3">
        <f t="shared" si="211"/>
        <v>5.3034941100972652E-3</v>
      </c>
    </row>
    <row r="4501" spans="2:9" x14ac:dyDescent="0.25">
      <c r="B4501" s="1">
        <v>41758</v>
      </c>
      <c r="C4501" s="2">
        <v>6715.25</v>
      </c>
      <c r="D4501" s="2">
        <v>6769</v>
      </c>
      <c r="E4501" s="2">
        <v>6779.7</v>
      </c>
      <c r="F4501" s="2">
        <v>6708.65</v>
      </c>
      <c r="G4501" s="3">
        <f t="shared" si="212"/>
        <v>-6.8034756886670156E-3</v>
      </c>
      <c r="H4501" s="2">
        <f t="shared" si="210"/>
        <v>71.050000000000182</v>
      </c>
      <c r="I4501" s="3">
        <f t="shared" si="211"/>
        <v>1.0496380558428156E-2</v>
      </c>
    </row>
    <row r="4502" spans="2:9" x14ac:dyDescent="0.25">
      <c r="B4502" s="1">
        <v>41759</v>
      </c>
      <c r="C4502" s="2">
        <v>6696.4</v>
      </c>
      <c r="D4502" s="2">
        <v>6724.95</v>
      </c>
      <c r="E4502" s="2">
        <v>6780.15</v>
      </c>
      <c r="F4502" s="2">
        <v>6656.8</v>
      </c>
      <c r="G4502" s="3">
        <f t="shared" si="212"/>
        <v>-2.8070436692603229E-3</v>
      </c>
      <c r="H4502" s="2">
        <f t="shared" si="210"/>
        <v>123.34999999999945</v>
      </c>
      <c r="I4502" s="3">
        <f t="shared" si="211"/>
        <v>1.8342143807760572E-2</v>
      </c>
    </row>
    <row r="4503" spans="2:9" x14ac:dyDescent="0.25">
      <c r="B4503" s="1">
        <v>41761</v>
      </c>
      <c r="C4503" s="2">
        <v>6694.8</v>
      </c>
      <c r="D4503" s="2">
        <v>6709.95</v>
      </c>
      <c r="E4503" s="2">
        <v>6737.65</v>
      </c>
      <c r="F4503" s="2">
        <v>6689.5</v>
      </c>
      <c r="G4503" s="3">
        <f t="shared" si="212"/>
        <v>-2.3893435278643516E-4</v>
      </c>
      <c r="H4503" s="2">
        <f t="shared" si="210"/>
        <v>48.149999999999636</v>
      </c>
      <c r="I4503" s="3">
        <f t="shared" si="211"/>
        <v>7.1759104017167993E-3</v>
      </c>
    </row>
    <row r="4504" spans="2:9" x14ac:dyDescent="0.25">
      <c r="B4504" s="1">
        <v>41764</v>
      </c>
      <c r="C4504" s="2">
        <v>6699.35</v>
      </c>
      <c r="D4504" s="2">
        <v>6681.65</v>
      </c>
      <c r="E4504" s="2">
        <v>6741.05</v>
      </c>
      <c r="F4504" s="2">
        <v>6680.45</v>
      </c>
      <c r="G4504" s="3">
        <f t="shared" si="212"/>
        <v>6.7963195315767777E-4</v>
      </c>
      <c r="H4504" s="2">
        <f t="shared" si="210"/>
        <v>60.600000000000364</v>
      </c>
      <c r="I4504" s="3">
        <f t="shared" si="211"/>
        <v>9.0696160379547513E-3</v>
      </c>
    </row>
    <row r="4505" spans="2:9" x14ac:dyDescent="0.25">
      <c r="B4505" s="1">
        <v>41765</v>
      </c>
      <c r="C4505" s="2">
        <v>6715.3</v>
      </c>
      <c r="D4505" s="2">
        <v>6719.25</v>
      </c>
      <c r="E4505" s="2">
        <v>6743.45</v>
      </c>
      <c r="F4505" s="2">
        <v>6701.9</v>
      </c>
      <c r="G4505" s="3">
        <f t="shared" si="212"/>
        <v>2.3808279907751029E-3</v>
      </c>
      <c r="H4505" s="2">
        <f t="shared" si="210"/>
        <v>41.550000000000182</v>
      </c>
      <c r="I4505" s="3">
        <f t="shared" si="211"/>
        <v>6.1837258622614404E-3</v>
      </c>
    </row>
    <row r="4506" spans="2:9" x14ac:dyDescent="0.25">
      <c r="B4506" s="1">
        <v>41766</v>
      </c>
      <c r="C4506" s="2">
        <v>6652.55</v>
      </c>
      <c r="D4506" s="2">
        <v>6708.6</v>
      </c>
      <c r="E4506" s="2">
        <v>6718.75</v>
      </c>
      <c r="F4506" s="2">
        <v>6642.9</v>
      </c>
      <c r="G4506" s="3">
        <f t="shared" si="212"/>
        <v>-9.344333090107626E-3</v>
      </c>
      <c r="H4506" s="2">
        <f t="shared" si="210"/>
        <v>75.850000000000364</v>
      </c>
      <c r="I4506" s="3">
        <f t="shared" si="211"/>
        <v>1.1306382851861843E-2</v>
      </c>
    </row>
    <row r="4507" spans="2:9" x14ac:dyDescent="0.25">
      <c r="B4507" s="1">
        <v>41767</v>
      </c>
      <c r="C4507" s="2">
        <v>6659.85</v>
      </c>
      <c r="D4507" s="2">
        <v>6669.9</v>
      </c>
      <c r="E4507" s="2">
        <v>6688.4</v>
      </c>
      <c r="F4507" s="2">
        <v>6638.55</v>
      </c>
      <c r="G4507" s="3">
        <f t="shared" si="212"/>
        <v>1.097323582686327E-3</v>
      </c>
      <c r="H4507" s="2">
        <f t="shared" si="210"/>
        <v>49.849999999999454</v>
      </c>
      <c r="I4507" s="3">
        <f t="shared" si="211"/>
        <v>7.4738751705422058E-3</v>
      </c>
    </row>
    <row r="4508" spans="2:9" x14ac:dyDescent="0.25">
      <c r="B4508" s="1">
        <v>41768</v>
      </c>
      <c r="C4508" s="2">
        <v>6858.8</v>
      </c>
      <c r="D4508" s="2">
        <v>6654.15</v>
      </c>
      <c r="E4508" s="2">
        <v>6871.35</v>
      </c>
      <c r="F4508" s="2">
        <v>6652.15</v>
      </c>
      <c r="G4508" s="3">
        <f t="shared" si="212"/>
        <v>2.9873045188705483E-2</v>
      </c>
      <c r="H4508" s="2">
        <f t="shared" si="210"/>
        <v>219.20000000000073</v>
      </c>
      <c r="I4508" s="3">
        <f t="shared" si="211"/>
        <v>3.2941848320221324E-2</v>
      </c>
    </row>
    <row r="4509" spans="2:9" x14ac:dyDescent="0.25">
      <c r="B4509" s="1">
        <v>41771</v>
      </c>
      <c r="C4509" s="2">
        <v>7014.25</v>
      </c>
      <c r="D4509" s="2">
        <v>6863.4</v>
      </c>
      <c r="E4509" s="2">
        <v>7020.05</v>
      </c>
      <c r="F4509" s="2">
        <v>6862.9</v>
      </c>
      <c r="G4509" s="3">
        <f t="shared" si="212"/>
        <v>2.2664314457339518E-2</v>
      </c>
      <c r="H4509" s="2">
        <f t="shared" si="210"/>
        <v>157.15000000000055</v>
      </c>
      <c r="I4509" s="3">
        <f t="shared" si="211"/>
        <v>2.2896814989655352E-2</v>
      </c>
    </row>
    <row r="4510" spans="2:9" x14ac:dyDescent="0.25">
      <c r="B4510" s="1">
        <v>41772</v>
      </c>
      <c r="C4510" s="2">
        <v>7108.75</v>
      </c>
      <c r="D4510" s="2">
        <v>7080</v>
      </c>
      <c r="E4510" s="2">
        <v>7172.35</v>
      </c>
      <c r="F4510" s="2">
        <v>7067.15</v>
      </c>
      <c r="G4510" s="3">
        <f t="shared" si="212"/>
        <v>1.3472573689275347E-2</v>
      </c>
      <c r="H4510" s="2">
        <f t="shared" si="210"/>
        <v>105.20000000000073</v>
      </c>
      <c r="I4510" s="3">
        <f t="shared" si="211"/>
        <v>1.4858757062146996E-2</v>
      </c>
    </row>
    <row r="4511" spans="2:9" x14ac:dyDescent="0.25">
      <c r="B4511" s="1">
        <v>41773</v>
      </c>
      <c r="C4511" s="2">
        <v>7108.75</v>
      </c>
      <c r="D4511" s="2">
        <v>7112</v>
      </c>
      <c r="E4511" s="2">
        <v>7142.25</v>
      </c>
      <c r="F4511" s="2">
        <v>7080.9</v>
      </c>
      <c r="G4511" s="3">
        <f t="shared" si="212"/>
        <v>0</v>
      </c>
      <c r="H4511" s="2">
        <f t="shared" si="210"/>
        <v>61.350000000000364</v>
      </c>
      <c r="I4511" s="3">
        <f t="shared" si="211"/>
        <v>8.6262654668166992E-3</v>
      </c>
    </row>
    <row r="4512" spans="2:9" x14ac:dyDescent="0.25">
      <c r="B4512" s="1">
        <v>41774</v>
      </c>
      <c r="C4512" s="2">
        <v>7123.15</v>
      </c>
      <c r="D4512" s="2">
        <v>7111.3</v>
      </c>
      <c r="E4512" s="2">
        <v>7152.55</v>
      </c>
      <c r="F4512" s="2">
        <v>7082.55</v>
      </c>
      <c r="G4512" s="3">
        <f t="shared" si="212"/>
        <v>2.0256725866010239E-3</v>
      </c>
      <c r="H4512" s="2">
        <f t="shared" si="210"/>
        <v>70</v>
      </c>
      <c r="I4512" s="3">
        <f t="shared" si="211"/>
        <v>9.8434885323358604E-3</v>
      </c>
    </row>
    <row r="4513" spans="2:9" x14ac:dyDescent="0.25">
      <c r="B4513" s="1">
        <v>41775</v>
      </c>
      <c r="C4513" s="2">
        <v>7203</v>
      </c>
      <c r="D4513" s="2">
        <v>7270.2</v>
      </c>
      <c r="E4513" s="2">
        <v>7563.5</v>
      </c>
      <c r="F4513" s="2">
        <v>7130.65</v>
      </c>
      <c r="G4513" s="3">
        <f t="shared" si="212"/>
        <v>1.120992819188138E-2</v>
      </c>
      <c r="H4513" s="2">
        <f t="shared" si="210"/>
        <v>432.85000000000036</v>
      </c>
      <c r="I4513" s="3">
        <f t="shared" si="211"/>
        <v>5.9537564303595553E-2</v>
      </c>
    </row>
    <row r="4514" spans="2:9" x14ac:dyDescent="0.25">
      <c r="B4514" s="1">
        <v>41778</v>
      </c>
      <c r="C4514" s="2">
        <v>7263.55</v>
      </c>
      <c r="D4514" s="2">
        <v>7276.85</v>
      </c>
      <c r="E4514" s="2">
        <v>7291.1</v>
      </c>
      <c r="F4514" s="2">
        <v>7193.55</v>
      </c>
      <c r="G4514" s="3">
        <f t="shared" si="212"/>
        <v>8.4062196307095327E-3</v>
      </c>
      <c r="H4514" s="2">
        <f t="shared" si="210"/>
        <v>97.550000000000182</v>
      </c>
      <c r="I4514" s="3">
        <f t="shared" si="211"/>
        <v>1.340552574259469E-2</v>
      </c>
    </row>
    <row r="4515" spans="2:9" x14ac:dyDescent="0.25">
      <c r="B4515" s="1">
        <v>41779</v>
      </c>
      <c r="C4515" s="2">
        <v>7275.5</v>
      </c>
      <c r="D4515" s="2">
        <v>7309.95</v>
      </c>
      <c r="E4515" s="2">
        <v>7353.65</v>
      </c>
      <c r="F4515" s="2">
        <v>7247.7</v>
      </c>
      <c r="G4515" s="3">
        <f t="shared" si="212"/>
        <v>1.6452010380598736E-3</v>
      </c>
      <c r="H4515" s="2">
        <f t="shared" si="210"/>
        <v>105.94999999999982</v>
      </c>
      <c r="I4515" s="3">
        <f t="shared" si="211"/>
        <v>1.4493943187025878E-2</v>
      </c>
    </row>
    <row r="4516" spans="2:9" x14ac:dyDescent="0.25">
      <c r="B4516" s="1">
        <v>41780</v>
      </c>
      <c r="C4516" s="2">
        <v>7252.9</v>
      </c>
      <c r="D4516" s="2">
        <v>7274.85</v>
      </c>
      <c r="E4516" s="2">
        <v>7287.15</v>
      </c>
      <c r="F4516" s="2">
        <v>7206.7</v>
      </c>
      <c r="G4516" s="3">
        <f t="shared" si="212"/>
        <v>-3.1063157171329348E-3</v>
      </c>
      <c r="H4516" s="2">
        <f t="shared" si="210"/>
        <v>80.449999999999818</v>
      </c>
      <c r="I4516" s="3">
        <f t="shared" si="211"/>
        <v>1.1058647257331741E-2</v>
      </c>
    </row>
    <row r="4517" spans="2:9" x14ac:dyDescent="0.25">
      <c r="B4517" s="1">
        <v>41781</v>
      </c>
      <c r="C4517" s="2">
        <v>7276.4</v>
      </c>
      <c r="D4517" s="2">
        <v>7289.95</v>
      </c>
      <c r="E4517" s="2">
        <v>7319.55</v>
      </c>
      <c r="F4517" s="2">
        <v>7258.15</v>
      </c>
      <c r="G4517" s="3">
        <f t="shared" si="212"/>
        <v>3.2400832770340671E-3</v>
      </c>
      <c r="H4517" s="2">
        <f t="shared" si="210"/>
        <v>61.400000000000546</v>
      </c>
      <c r="I4517" s="3">
        <f t="shared" si="211"/>
        <v>8.4225543385071985E-3</v>
      </c>
    </row>
    <row r="4518" spans="2:9" x14ac:dyDescent="0.25">
      <c r="B4518" s="1">
        <v>41782</v>
      </c>
      <c r="C4518" s="2">
        <v>7367.1</v>
      </c>
      <c r="D4518" s="2">
        <v>7306.5</v>
      </c>
      <c r="E4518" s="2">
        <v>7381</v>
      </c>
      <c r="F4518" s="2">
        <v>7293.9</v>
      </c>
      <c r="G4518" s="3">
        <f t="shared" si="212"/>
        <v>1.2464955197625249E-2</v>
      </c>
      <c r="H4518" s="2">
        <f t="shared" si="210"/>
        <v>87.100000000000364</v>
      </c>
      <c r="I4518" s="3">
        <f t="shared" si="211"/>
        <v>1.1920892356121312E-2</v>
      </c>
    </row>
    <row r="4519" spans="2:9" x14ac:dyDescent="0.25">
      <c r="B4519" s="1">
        <v>41785</v>
      </c>
      <c r="C4519" s="2">
        <v>7359.05</v>
      </c>
      <c r="D4519" s="2">
        <v>7428.75</v>
      </c>
      <c r="E4519" s="2">
        <v>7504</v>
      </c>
      <c r="F4519" s="2">
        <v>7269.05</v>
      </c>
      <c r="G4519" s="3">
        <f t="shared" si="212"/>
        <v>-1.0926959047657947E-3</v>
      </c>
      <c r="H4519" s="2">
        <f t="shared" si="210"/>
        <v>234.94999999999982</v>
      </c>
      <c r="I4519" s="3">
        <f t="shared" si="211"/>
        <v>3.162712434797238E-2</v>
      </c>
    </row>
    <row r="4520" spans="2:9" x14ac:dyDescent="0.25">
      <c r="B4520" s="1">
        <v>41786</v>
      </c>
      <c r="C4520" s="2">
        <v>7318</v>
      </c>
      <c r="D4520" s="2">
        <v>7363.1</v>
      </c>
      <c r="E4520" s="2">
        <v>7372.95</v>
      </c>
      <c r="F4520" s="2">
        <v>7274.75</v>
      </c>
      <c r="G4520" s="3">
        <f t="shared" si="212"/>
        <v>-5.5781656599697138E-3</v>
      </c>
      <c r="H4520" s="2">
        <f t="shared" si="210"/>
        <v>98.199999999999818</v>
      </c>
      <c r="I4520" s="3">
        <f t="shared" si="211"/>
        <v>1.3336773913161551E-2</v>
      </c>
    </row>
    <row r="4521" spans="2:9" x14ac:dyDescent="0.25">
      <c r="B4521" s="1">
        <v>41787</v>
      </c>
      <c r="C4521" s="2">
        <v>7329.65</v>
      </c>
      <c r="D4521" s="2">
        <v>7324.95</v>
      </c>
      <c r="E4521" s="2">
        <v>7344.75</v>
      </c>
      <c r="F4521" s="2">
        <v>7302.6</v>
      </c>
      <c r="G4521" s="3">
        <f t="shared" si="212"/>
        <v>1.591965017764263E-3</v>
      </c>
      <c r="H4521" s="2">
        <f t="shared" si="210"/>
        <v>42.149999999999636</v>
      </c>
      <c r="I4521" s="3">
        <f t="shared" si="211"/>
        <v>5.7543054901398145E-3</v>
      </c>
    </row>
    <row r="4522" spans="2:9" x14ac:dyDescent="0.25">
      <c r="B4522" s="1">
        <v>41788</v>
      </c>
      <c r="C4522" s="2">
        <v>7235.65</v>
      </c>
      <c r="D4522" s="2">
        <v>7316.6</v>
      </c>
      <c r="E4522" s="2">
        <v>7325.4</v>
      </c>
      <c r="F4522" s="2">
        <v>7224.4</v>
      </c>
      <c r="G4522" s="3">
        <f t="shared" si="212"/>
        <v>-1.2824623276691205E-2</v>
      </c>
      <c r="H4522" s="2">
        <f t="shared" si="210"/>
        <v>101</v>
      </c>
      <c r="I4522" s="3">
        <f t="shared" si="211"/>
        <v>1.3804226006615093E-2</v>
      </c>
    </row>
    <row r="4523" spans="2:9" x14ac:dyDescent="0.25">
      <c r="B4523" s="1">
        <v>41789</v>
      </c>
      <c r="C4523" s="2">
        <v>7229.95</v>
      </c>
      <c r="D4523" s="2">
        <v>7254.85</v>
      </c>
      <c r="E4523" s="2">
        <v>7272.5</v>
      </c>
      <c r="F4523" s="2">
        <v>7118.45</v>
      </c>
      <c r="G4523" s="3">
        <f t="shared" si="212"/>
        <v>-7.8776613020248298E-4</v>
      </c>
      <c r="H4523" s="2">
        <f t="shared" si="210"/>
        <v>154.05000000000018</v>
      </c>
      <c r="I4523" s="3">
        <f t="shared" si="211"/>
        <v>2.1234071000778815E-2</v>
      </c>
    </row>
    <row r="4524" spans="2:9" x14ac:dyDescent="0.25">
      <c r="B4524" s="1">
        <v>41792</v>
      </c>
      <c r="C4524" s="2">
        <v>7362.5</v>
      </c>
      <c r="D4524" s="2">
        <v>7264.05</v>
      </c>
      <c r="E4524" s="2">
        <v>7368.6</v>
      </c>
      <c r="F4524" s="2">
        <v>7239.5</v>
      </c>
      <c r="G4524" s="3">
        <f t="shared" si="212"/>
        <v>1.8333460120747658E-2</v>
      </c>
      <c r="H4524" s="2">
        <f t="shared" si="210"/>
        <v>129.10000000000036</v>
      </c>
      <c r="I4524" s="3">
        <f t="shared" si="211"/>
        <v>1.7772454760085678E-2</v>
      </c>
    </row>
    <row r="4525" spans="2:9" x14ac:dyDescent="0.25">
      <c r="B4525" s="1">
        <v>41793</v>
      </c>
      <c r="C4525" s="2">
        <v>7415.85</v>
      </c>
      <c r="D4525" s="2">
        <v>7375.35</v>
      </c>
      <c r="E4525" s="2">
        <v>7424.95</v>
      </c>
      <c r="F4525" s="2">
        <v>7342.15</v>
      </c>
      <c r="G4525" s="3">
        <f t="shared" si="212"/>
        <v>7.2461799660441528E-3</v>
      </c>
      <c r="H4525" s="2">
        <f t="shared" si="210"/>
        <v>82.800000000000182</v>
      </c>
      <c r="I4525" s="3">
        <f t="shared" si="211"/>
        <v>1.1226585856942407E-2</v>
      </c>
    </row>
    <row r="4526" spans="2:9" x14ac:dyDescent="0.25">
      <c r="B4526" s="1">
        <v>41794</v>
      </c>
      <c r="C4526" s="2">
        <v>7402.25</v>
      </c>
      <c r="D4526" s="2">
        <v>7417.55</v>
      </c>
      <c r="E4526" s="2">
        <v>7433.3</v>
      </c>
      <c r="F4526" s="2">
        <v>7391.35</v>
      </c>
      <c r="G4526" s="3">
        <f t="shared" si="212"/>
        <v>-1.8339098013040456E-3</v>
      </c>
      <c r="H4526" s="2">
        <f t="shared" si="210"/>
        <v>41.949999999999818</v>
      </c>
      <c r="I4526" s="3">
        <f t="shared" si="211"/>
        <v>5.6555061981381745E-3</v>
      </c>
    </row>
    <row r="4527" spans="2:9" x14ac:dyDescent="0.25">
      <c r="B4527" s="1">
        <v>41795</v>
      </c>
      <c r="C4527" s="2">
        <v>7474.1</v>
      </c>
      <c r="D4527" s="2">
        <v>7399.75</v>
      </c>
      <c r="E4527" s="2">
        <v>7484.7</v>
      </c>
      <c r="F4527" s="2">
        <v>7360.5</v>
      </c>
      <c r="G4527" s="3">
        <f t="shared" si="212"/>
        <v>9.7065081563039168E-3</v>
      </c>
      <c r="H4527" s="2">
        <f t="shared" si="210"/>
        <v>124.19999999999982</v>
      </c>
      <c r="I4527" s="3">
        <f t="shared" si="211"/>
        <v>1.6784350822662903E-2</v>
      </c>
    </row>
    <row r="4528" spans="2:9" x14ac:dyDescent="0.25">
      <c r="B4528" s="1">
        <v>41796</v>
      </c>
      <c r="C4528" s="2">
        <v>7583.4</v>
      </c>
      <c r="D4528" s="2">
        <v>7521.5</v>
      </c>
      <c r="E4528" s="2">
        <v>7592.7</v>
      </c>
      <c r="F4528" s="2">
        <v>7497.65</v>
      </c>
      <c r="G4528" s="3">
        <f t="shared" si="212"/>
        <v>1.4623834307809558E-2</v>
      </c>
      <c r="H4528" s="2">
        <f t="shared" si="210"/>
        <v>95.050000000000182</v>
      </c>
      <c r="I4528" s="3">
        <f t="shared" si="211"/>
        <v>1.2637106960047887E-2</v>
      </c>
    </row>
    <row r="4529" spans="2:9" x14ac:dyDescent="0.25">
      <c r="B4529" s="1">
        <v>41799</v>
      </c>
      <c r="C4529" s="2">
        <v>7654.6</v>
      </c>
      <c r="D4529" s="2">
        <v>7621.65</v>
      </c>
      <c r="E4529" s="2">
        <v>7673.7</v>
      </c>
      <c r="F4529" s="2">
        <v>7580.25</v>
      </c>
      <c r="G4529" s="3">
        <f t="shared" si="212"/>
        <v>9.3889284489807601E-3</v>
      </c>
      <c r="H4529" s="2">
        <f t="shared" si="210"/>
        <v>93.449999999999818</v>
      </c>
      <c r="I4529" s="3">
        <f t="shared" si="211"/>
        <v>1.2261124559642574E-2</v>
      </c>
    </row>
    <row r="4530" spans="2:9" x14ac:dyDescent="0.25">
      <c r="B4530" s="1">
        <v>41800</v>
      </c>
      <c r="C4530" s="2">
        <v>7656.4</v>
      </c>
      <c r="D4530" s="2">
        <v>7679.05</v>
      </c>
      <c r="E4530" s="2">
        <v>7683.2</v>
      </c>
      <c r="F4530" s="2">
        <v>7579.3</v>
      </c>
      <c r="G4530" s="3">
        <f t="shared" si="212"/>
        <v>2.3515271862661891E-4</v>
      </c>
      <c r="H4530" s="2">
        <f t="shared" si="210"/>
        <v>103.89999999999964</v>
      </c>
      <c r="I4530" s="3">
        <f t="shared" si="211"/>
        <v>1.3530319505667972E-2</v>
      </c>
    </row>
    <row r="4531" spans="2:9" x14ac:dyDescent="0.25">
      <c r="B4531" s="1">
        <v>41801</v>
      </c>
      <c r="C4531" s="2">
        <v>7626.85</v>
      </c>
      <c r="D4531" s="2">
        <v>7672.4</v>
      </c>
      <c r="E4531" s="2">
        <v>7700.05</v>
      </c>
      <c r="F4531" s="2">
        <v>7589.05</v>
      </c>
      <c r="G4531" s="3">
        <f t="shared" si="212"/>
        <v>-3.8595162217228696E-3</v>
      </c>
      <c r="H4531" s="2">
        <f t="shared" si="210"/>
        <v>111</v>
      </c>
      <c r="I4531" s="3">
        <f t="shared" si="211"/>
        <v>1.4467441739221105E-2</v>
      </c>
    </row>
    <row r="4532" spans="2:9" x14ac:dyDescent="0.25">
      <c r="B4532" s="1">
        <v>41802</v>
      </c>
      <c r="C4532" s="2">
        <v>7649.9</v>
      </c>
      <c r="D4532" s="2">
        <v>7641.3</v>
      </c>
      <c r="E4532" s="2">
        <v>7658</v>
      </c>
      <c r="F4532" s="2">
        <v>7593.8</v>
      </c>
      <c r="G4532" s="3">
        <f t="shared" si="212"/>
        <v>3.0222175603296098E-3</v>
      </c>
      <c r="H4532" s="2">
        <f t="shared" si="210"/>
        <v>64.199999999999818</v>
      </c>
      <c r="I4532" s="3">
        <f t="shared" si="211"/>
        <v>8.4017117506183271E-3</v>
      </c>
    </row>
    <row r="4533" spans="2:9" x14ac:dyDescent="0.25">
      <c r="B4533" s="1">
        <v>41803</v>
      </c>
      <c r="C4533" s="2">
        <v>7542.1</v>
      </c>
      <c r="D4533" s="2">
        <v>7668.2</v>
      </c>
      <c r="E4533" s="2">
        <v>7678.5</v>
      </c>
      <c r="F4533" s="2">
        <v>7525.35</v>
      </c>
      <c r="G4533" s="3">
        <f t="shared" si="212"/>
        <v>-1.4091687473038794E-2</v>
      </c>
      <c r="H4533" s="2">
        <f t="shared" si="210"/>
        <v>153.14999999999964</v>
      </c>
      <c r="I4533" s="3">
        <f t="shared" si="211"/>
        <v>1.9972092538014088E-2</v>
      </c>
    </row>
    <row r="4534" spans="2:9" x14ac:dyDescent="0.25">
      <c r="B4534" s="1">
        <v>41806</v>
      </c>
      <c r="C4534" s="2">
        <v>7533.55</v>
      </c>
      <c r="D4534" s="2">
        <v>7534.8</v>
      </c>
      <c r="E4534" s="2">
        <v>7548.6</v>
      </c>
      <c r="F4534" s="2">
        <v>7487.55</v>
      </c>
      <c r="G4534" s="3">
        <f t="shared" si="212"/>
        <v>-1.1336365203326038E-3</v>
      </c>
      <c r="H4534" s="2">
        <f t="shared" si="210"/>
        <v>61.050000000000182</v>
      </c>
      <c r="I4534" s="3">
        <f t="shared" si="211"/>
        <v>8.1024048415353003E-3</v>
      </c>
    </row>
    <row r="4535" spans="2:9" x14ac:dyDescent="0.25">
      <c r="B4535" s="1">
        <v>41807</v>
      </c>
      <c r="C4535" s="2">
        <v>7631.7</v>
      </c>
      <c r="D4535" s="2">
        <v>7525.05</v>
      </c>
      <c r="E4535" s="2">
        <v>7637.6</v>
      </c>
      <c r="F4535" s="2">
        <v>7509.25</v>
      </c>
      <c r="G4535" s="3">
        <f t="shared" si="212"/>
        <v>1.3028386351719989E-2</v>
      </c>
      <c r="H4535" s="2">
        <f t="shared" si="210"/>
        <v>128.35000000000036</v>
      </c>
      <c r="I4535" s="3">
        <f t="shared" si="211"/>
        <v>1.7056365073986269E-2</v>
      </c>
    </row>
    <row r="4536" spans="2:9" x14ac:dyDescent="0.25">
      <c r="B4536" s="1">
        <v>41808</v>
      </c>
      <c r="C4536" s="2">
        <v>7558.2</v>
      </c>
      <c r="D4536" s="2">
        <v>7636.05</v>
      </c>
      <c r="E4536" s="2">
        <v>7663</v>
      </c>
      <c r="F4536" s="2">
        <v>7515.5</v>
      </c>
      <c r="G4536" s="3">
        <f t="shared" si="212"/>
        <v>-9.6308817170486227E-3</v>
      </c>
      <c r="H4536" s="2">
        <f t="shared" si="210"/>
        <v>147.5</v>
      </c>
      <c r="I4536" s="3">
        <f t="shared" si="211"/>
        <v>1.9316269537260757E-2</v>
      </c>
    </row>
    <row r="4537" spans="2:9" x14ac:dyDescent="0.25">
      <c r="B4537" s="1">
        <v>41809</v>
      </c>
      <c r="C4537" s="2">
        <v>7540.7</v>
      </c>
      <c r="D4537" s="2">
        <v>7580.05</v>
      </c>
      <c r="E4537" s="2">
        <v>7606.45</v>
      </c>
      <c r="F4537" s="2">
        <v>7502.55</v>
      </c>
      <c r="G4537" s="3">
        <f t="shared" si="212"/>
        <v>-2.3153660924558617E-3</v>
      </c>
      <c r="H4537" s="2">
        <f t="shared" si="210"/>
        <v>103.89999999999964</v>
      </c>
      <c r="I4537" s="3">
        <f t="shared" si="211"/>
        <v>1.3707033594765158E-2</v>
      </c>
    </row>
    <row r="4538" spans="2:9" x14ac:dyDescent="0.25">
      <c r="B4538" s="1">
        <v>41810</v>
      </c>
      <c r="C4538" s="2">
        <v>7511.45</v>
      </c>
      <c r="D4538" s="2">
        <v>7543.3</v>
      </c>
      <c r="E4538" s="2">
        <v>7560.55</v>
      </c>
      <c r="F4538" s="2">
        <v>7497.3</v>
      </c>
      <c r="G4538" s="3">
        <f t="shared" si="212"/>
        <v>-3.8789502300847767E-3</v>
      </c>
      <c r="H4538" s="2">
        <f t="shared" si="210"/>
        <v>63.25</v>
      </c>
      <c r="I4538" s="3">
        <f t="shared" si="211"/>
        <v>8.3849243699707018E-3</v>
      </c>
    </row>
    <row r="4539" spans="2:9" x14ac:dyDescent="0.25">
      <c r="B4539" s="1">
        <v>41813</v>
      </c>
      <c r="C4539" s="2">
        <v>7493.35</v>
      </c>
      <c r="D4539" s="2">
        <v>7514</v>
      </c>
      <c r="E4539" s="2">
        <v>7534.8</v>
      </c>
      <c r="F4539" s="2">
        <v>7441.6</v>
      </c>
      <c r="G4539" s="3">
        <f t="shared" si="212"/>
        <v>-2.4096545939864544E-3</v>
      </c>
      <c r="H4539" s="2">
        <f t="shared" si="210"/>
        <v>93.199999999999818</v>
      </c>
      <c r="I4539" s="3">
        <f t="shared" si="211"/>
        <v>1.2403513441575701E-2</v>
      </c>
    </row>
    <row r="4540" spans="2:9" x14ac:dyDescent="0.25">
      <c r="B4540" s="1">
        <v>41814</v>
      </c>
      <c r="C4540" s="2">
        <v>7580.2</v>
      </c>
      <c r="D4540" s="2">
        <v>7515.2</v>
      </c>
      <c r="E4540" s="2">
        <v>7593.35</v>
      </c>
      <c r="F4540" s="2">
        <v>7515.2</v>
      </c>
      <c r="G4540" s="3">
        <f t="shared" si="212"/>
        <v>1.1590276712017955E-2</v>
      </c>
      <c r="H4540" s="2">
        <f t="shared" si="210"/>
        <v>78.150000000000546</v>
      </c>
      <c r="I4540" s="3">
        <f t="shared" si="211"/>
        <v>1.039892484564623E-2</v>
      </c>
    </row>
    <row r="4541" spans="2:9" x14ac:dyDescent="0.25">
      <c r="B4541" s="1">
        <v>41815</v>
      </c>
      <c r="C4541" s="2">
        <v>7569.25</v>
      </c>
      <c r="D4541" s="2">
        <v>7588.55</v>
      </c>
      <c r="E4541" s="2">
        <v>7589.25</v>
      </c>
      <c r="F4541" s="2">
        <v>7557.05</v>
      </c>
      <c r="G4541" s="3">
        <f t="shared" si="212"/>
        <v>-1.4445529141711155E-3</v>
      </c>
      <c r="H4541" s="2">
        <f t="shared" si="210"/>
        <v>32.199999999999818</v>
      </c>
      <c r="I4541" s="3">
        <f t="shared" si="211"/>
        <v>4.2432348735924278E-3</v>
      </c>
    </row>
    <row r="4542" spans="2:9" x14ac:dyDescent="0.25">
      <c r="B4542" s="1">
        <v>41816</v>
      </c>
      <c r="C4542" s="2">
        <v>7493.2</v>
      </c>
      <c r="D4542" s="2">
        <v>7554.1</v>
      </c>
      <c r="E4542" s="2">
        <v>7570.2</v>
      </c>
      <c r="F4542" s="2">
        <v>7481.3</v>
      </c>
      <c r="G4542" s="3">
        <f t="shared" si="212"/>
        <v>-1.0047230571060606E-2</v>
      </c>
      <c r="H4542" s="2">
        <f t="shared" si="210"/>
        <v>88.899999999999636</v>
      </c>
      <c r="I4542" s="3">
        <f t="shared" si="211"/>
        <v>1.1768443626639789E-2</v>
      </c>
    </row>
    <row r="4543" spans="2:9" x14ac:dyDescent="0.25">
      <c r="B4543" s="1">
        <v>41817</v>
      </c>
      <c r="C4543" s="2">
        <v>7508.8</v>
      </c>
      <c r="D4543" s="2">
        <v>7514.2</v>
      </c>
      <c r="E4543" s="2">
        <v>7538.75</v>
      </c>
      <c r="F4543" s="2">
        <v>7482.3</v>
      </c>
      <c r="G4543" s="3">
        <f t="shared" si="212"/>
        <v>2.0818875780708179E-3</v>
      </c>
      <c r="H4543" s="2">
        <f t="shared" si="210"/>
        <v>56.449999999999818</v>
      </c>
      <c r="I4543" s="3">
        <f t="shared" si="211"/>
        <v>7.5124431077160337E-3</v>
      </c>
    </row>
    <row r="4544" spans="2:9" x14ac:dyDescent="0.25">
      <c r="B4544" s="1">
        <v>41820</v>
      </c>
      <c r="C4544" s="2">
        <v>7611.35</v>
      </c>
      <c r="D4544" s="2">
        <v>7534.05</v>
      </c>
      <c r="E4544" s="2">
        <v>7623.65</v>
      </c>
      <c r="F4544" s="2">
        <v>7531.6</v>
      </c>
      <c r="G4544" s="3">
        <f t="shared" si="212"/>
        <v>1.3657308757724307E-2</v>
      </c>
      <c r="H4544" s="2">
        <f t="shared" si="210"/>
        <v>92.049999999999272</v>
      </c>
      <c r="I4544" s="3">
        <f t="shared" si="211"/>
        <v>1.2217864229730261E-2</v>
      </c>
    </row>
    <row r="4545" spans="2:9" x14ac:dyDescent="0.25">
      <c r="B4545" s="1">
        <v>41821</v>
      </c>
      <c r="C4545" s="2">
        <v>7634.7</v>
      </c>
      <c r="D4545" s="2">
        <v>7629</v>
      </c>
      <c r="E4545" s="2">
        <v>7649.5</v>
      </c>
      <c r="F4545" s="2">
        <v>7618.15</v>
      </c>
      <c r="G4545" s="3">
        <f t="shared" si="212"/>
        <v>3.0677869234760902E-3</v>
      </c>
      <c r="H4545" s="2">
        <f t="shared" si="210"/>
        <v>31.350000000000364</v>
      </c>
      <c r="I4545" s="3">
        <f t="shared" si="211"/>
        <v>4.1093197011404332E-3</v>
      </c>
    </row>
    <row r="4546" spans="2:9" x14ac:dyDescent="0.25">
      <c r="B4546" s="1">
        <v>41822</v>
      </c>
      <c r="C4546" s="2">
        <v>7725.15</v>
      </c>
      <c r="D4546" s="2">
        <v>7683.05</v>
      </c>
      <c r="E4546" s="2">
        <v>7732.4</v>
      </c>
      <c r="F4546" s="2">
        <v>7677.3</v>
      </c>
      <c r="G4546" s="3">
        <f t="shared" si="212"/>
        <v>1.1847223859483558E-2</v>
      </c>
      <c r="H4546" s="2">
        <f t="shared" si="210"/>
        <v>55.099999999999454</v>
      </c>
      <c r="I4546" s="3">
        <f t="shared" si="211"/>
        <v>7.1716310579782059E-3</v>
      </c>
    </row>
    <row r="4547" spans="2:9" x14ac:dyDescent="0.25">
      <c r="B4547" s="1">
        <v>41823</v>
      </c>
      <c r="C4547" s="2">
        <v>7714.8</v>
      </c>
      <c r="D4547" s="2">
        <v>7734.35</v>
      </c>
      <c r="E4547" s="2">
        <v>7754.65</v>
      </c>
      <c r="F4547" s="2">
        <v>7706.8</v>
      </c>
      <c r="G4547" s="3">
        <f t="shared" si="212"/>
        <v>-1.3397798101006941E-3</v>
      </c>
      <c r="H4547" s="2">
        <f t="shared" si="210"/>
        <v>47.849999999999454</v>
      </c>
      <c r="I4547" s="3">
        <f t="shared" si="211"/>
        <v>6.1866866640376307E-3</v>
      </c>
    </row>
    <row r="4548" spans="2:9" x14ac:dyDescent="0.25">
      <c r="B4548" s="1">
        <v>41824</v>
      </c>
      <c r="C4548" s="2">
        <v>7751.6</v>
      </c>
      <c r="D4548" s="2">
        <v>7718.1</v>
      </c>
      <c r="E4548" s="2">
        <v>7758</v>
      </c>
      <c r="F4548" s="2">
        <v>7661.3</v>
      </c>
      <c r="G4548" s="3">
        <f t="shared" si="212"/>
        <v>4.7700523668792183E-3</v>
      </c>
      <c r="H4548" s="2">
        <f t="shared" si="210"/>
        <v>96.699999999999818</v>
      </c>
      <c r="I4548" s="3">
        <f t="shared" si="211"/>
        <v>1.2528990295539033E-2</v>
      </c>
    </row>
    <row r="4549" spans="2:9" x14ac:dyDescent="0.25">
      <c r="B4549" s="1">
        <v>41827</v>
      </c>
      <c r="C4549" s="2">
        <v>7787.15</v>
      </c>
      <c r="D4549" s="2">
        <v>7780.4</v>
      </c>
      <c r="E4549" s="2">
        <v>7792</v>
      </c>
      <c r="F4549" s="2">
        <v>7755.1</v>
      </c>
      <c r="G4549" s="3">
        <f t="shared" si="212"/>
        <v>4.5861499561379304E-3</v>
      </c>
      <c r="H4549" s="2">
        <f t="shared" ref="H4549:H4612" si="213">E4549-F4549</f>
        <v>36.899999999999636</v>
      </c>
      <c r="I4549" s="3">
        <f t="shared" si="211"/>
        <v>4.7426867513237925E-3</v>
      </c>
    </row>
    <row r="4550" spans="2:9" x14ac:dyDescent="0.25">
      <c r="B4550" s="1">
        <v>41828</v>
      </c>
      <c r="C4550" s="2">
        <v>7623.2</v>
      </c>
      <c r="D4550" s="2">
        <v>7804.05</v>
      </c>
      <c r="E4550" s="2">
        <v>7808.85</v>
      </c>
      <c r="F4550" s="2">
        <v>7595.9</v>
      </c>
      <c r="G4550" s="3">
        <f t="shared" si="212"/>
        <v>-2.1053915745811946E-2</v>
      </c>
      <c r="H4550" s="2">
        <f t="shared" si="213"/>
        <v>212.95000000000073</v>
      </c>
      <c r="I4550" s="3">
        <f t="shared" ref="I4550:I4613" si="214">H4550/D4550</f>
        <v>2.728711374222368E-2</v>
      </c>
    </row>
    <row r="4551" spans="2:9" x14ac:dyDescent="0.25">
      <c r="B4551" s="1">
        <v>41829</v>
      </c>
      <c r="C4551" s="2">
        <v>7585</v>
      </c>
      <c r="D4551" s="2">
        <v>7637.95</v>
      </c>
      <c r="E4551" s="2">
        <v>7650.1</v>
      </c>
      <c r="F4551" s="2">
        <v>7551.65</v>
      </c>
      <c r="G4551" s="3">
        <f t="shared" ref="G4551:G4614" si="215">C4551/C4550-1</f>
        <v>-5.0110189946478423E-3</v>
      </c>
      <c r="H4551" s="2">
        <f t="shared" si="213"/>
        <v>98.450000000000728</v>
      </c>
      <c r="I4551" s="3">
        <f t="shared" si="214"/>
        <v>1.28895842470821E-2</v>
      </c>
    </row>
    <row r="4552" spans="2:9" x14ac:dyDescent="0.25">
      <c r="B4552" s="1">
        <v>41830</v>
      </c>
      <c r="C4552" s="2">
        <v>7567.75</v>
      </c>
      <c r="D4552" s="2">
        <v>7589.5</v>
      </c>
      <c r="E4552" s="2">
        <v>7731.05</v>
      </c>
      <c r="F4552" s="2">
        <v>7479.05</v>
      </c>
      <c r="G4552" s="3">
        <f t="shared" si="215"/>
        <v>-2.2742254449571453E-3</v>
      </c>
      <c r="H4552" s="2">
        <f t="shared" si="213"/>
        <v>252</v>
      </c>
      <c r="I4552" s="3">
        <f t="shared" si="214"/>
        <v>3.3203768364187362E-2</v>
      </c>
    </row>
    <row r="4553" spans="2:9" x14ac:dyDescent="0.25">
      <c r="B4553" s="1">
        <v>41831</v>
      </c>
      <c r="C4553" s="2">
        <v>7459.6</v>
      </c>
      <c r="D4553" s="2">
        <v>7584.1</v>
      </c>
      <c r="E4553" s="2">
        <v>7625.85</v>
      </c>
      <c r="F4553" s="2">
        <v>7447.2</v>
      </c>
      <c r="G4553" s="3">
        <f t="shared" si="215"/>
        <v>-1.429090548709977E-2</v>
      </c>
      <c r="H4553" s="2">
        <f t="shared" si="213"/>
        <v>178.65000000000055</v>
      </c>
      <c r="I4553" s="3">
        <f t="shared" si="214"/>
        <v>2.3555860286652408E-2</v>
      </c>
    </row>
    <row r="4554" spans="2:9" x14ac:dyDescent="0.25">
      <c r="B4554" s="1">
        <v>41834</v>
      </c>
      <c r="C4554" s="2">
        <v>7454.15</v>
      </c>
      <c r="D4554" s="2">
        <v>7469</v>
      </c>
      <c r="E4554" s="2">
        <v>7478.45</v>
      </c>
      <c r="F4554" s="2">
        <v>7422.15</v>
      </c>
      <c r="G4554" s="3">
        <f t="shared" si="215"/>
        <v>-7.3060217706055752E-4</v>
      </c>
      <c r="H4554" s="2">
        <f t="shared" si="213"/>
        <v>56.300000000000182</v>
      </c>
      <c r="I4554" s="3">
        <f t="shared" si="214"/>
        <v>7.5378230017405521E-3</v>
      </c>
    </row>
    <row r="4555" spans="2:9" x14ac:dyDescent="0.25">
      <c r="B4555" s="1">
        <v>41835</v>
      </c>
      <c r="C4555" s="2">
        <v>7526.65</v>
      </c>
      <c r="D4555" s="2">
        <v>7491.3</v>
      </c>
      <c r="E4555" s="2">
        <v>7534.9</v>
      </c>
      <c r="F4555" s="2">
        <v>7459.15</v>
      </c>
      <c r="G4555" s="3">
        <f t="shared" si="215"/>
        <v>9.7261257152057023E-3</v>
      </c>
      <c r="H4555" s="2">
        <f t="shared" si="213"/>
        <v>75.75</v>
      </c>
      <c r="I4555" s="3">
        <f t="shared" si="214"/>
        <v>1.0111729606343357E-2</v>
      </c>
    </row>
    <row r="4556" spans="2:9" x14ac:dyDescent="0.25">
      <c r="B4556" s="1">
        <v>41836</v>
      </c>
      <c r="C4556" s="2">
        <v>7624.4</v>
      </c>
      <c r="D4556" s="2">
        <v>7564.15</v>
      </c>
      <c r="E4556" s="2">
        <v>7640.1</v>
      </c>
      <c r="F4556" s="2">
        <v>7532.45</v>
      </c>
      <c r="G4556" s="3">
        <f t="shared" si="215"/>
        <v>1.2987185534068857E-2</v>
      </c>
      <c r="H4556" s="2">
        <f t="shared" si="213"/>
        <v>107.65000000000055</v>
      </c>
      <c r="I4556" s="3">
        <f t="shared" si="214"/>
        <v>1.4231605666201828E-2</v>
      </c>
    </row>
    <row r="4557" spans="2:9" x14ac:dyDescent="0.25">
      <c r="B4557" s="1">
        <v>41837</v>
      </c>
      <c r="C4557" s="2">
        <v>7640.45</v>
      </c>
      <c r="D4557" s="2">
        <v>7612.7</v>
      </c>
      <c r="E4557" s="2">
        <v>7655.65</v>
      </c>
      <c r="F4557" s="2">
        <v>7612.7</v>
      </c>
      <c r="G4557" s="3">
        <f t="shared" si="215"/>
        <v>2.1050836787157579E-3</v>
      </c>
      <c r="H4557" s="2">
        <f t="shared" si="213"/>
        <v>42.949999999999818</v>
      </c>
      <c r="I4557" s="3">
        <f t="shared" si="214"/>
        <v>5.6418878978548763E-3</v>
      </c>
    </row>
    <row r="4558" spans="2:9" x14ac:dyDescent="0.25">
      <c r="B4558" s="1">
        <v>41838</v>
      </c>
      <c r="C4558" s="2">
        <v>7663.9</v>
      </c>
      <c r="D4558" s="2">
        <v>7630.25</v>
      </c>
      <c r="E4558" s="2">
        <v>7685</v>
      </c>
      <c r="F4558" s="2">
        <v>7595.5</v>
      </c>
      <c r="G4558" s="3">
        <f t="shared" si="215"/>
        <v>3.0691909507947202E-3</v>
      </c>
      <c r="H4558" s="2">
        <f t="shared" si="213"/>
        <v>89.5</v>
      </c>
      <c r="I4558" s="3">
        <f t="shared" si="214"/>
        <v>1.1729628780184135E-2</v>
      </c>
    </row>
    <row r="4559" spans="2:9" x14ac:dyDescent="0.25">
      <c r="B4559" s="1">
        <v>41841</v>
      </c>
      <c r="C4559" s="2">
        <v>7684.2</v>
      </c>
      <c r="D4559" s="2">
        <v>7701.65</v>
      </c>
      <c r="E4559" s="2">
        <v>7722.1</v>
      </c>
      <c r="F4559" s="2">
        <v>7674</v>
      </c>
      <c r="G4559" s="3">
        <f t="shared" si="215"/>
        <v>2.6487819517477806E-3</v>
      </c>
      <c r="H4559" s="2">
        <f t="shared" si="213"/>
        <v>48.100000000000364</v>
      </c>
      <c r="I4559" s="3">
        <f t="shared" si="214"/>
        <v>6.2454149435511048E-3</v>
      </c>
    </row>
    <row r="4560" spans="2:9" x14ac:dyDescent="0.25">
      <c r="B4560" s="1">
        <v>41842</v>
      </c>
      <c r="C4560" s="2">
        <v>7767.85</v>
      </c>
      <c r="D4560" s="2">
        <v>7708.2</v>
      </c>
      <c r="E4560" s="2">
        <v>7773.85</v>
      </c>
      <c r="F4560" s="2">
        <v>7704.8</v>
      </c>
      <c r="G4560" s="3">
        <f t="shared" si="215"/>
        <v>1.0885973816402661E-2</v>
      </c>
      <c r="H4560" s="2">
        <f t="shared" si="213"/>
        <v>69.050000000000182</v>
      </c>
      <c r="I4560" s="3">
        <f t="shared" si="214"/>
        <v>8.9579927869022843E-3</v>
      </c>
    </row>
    <row r="4561" spans="2:9" x14ac:dyDescent="0.25">
      <c r="B4561" s="1">
        <v>41843</v>
      </c>
      <c r="C4561" s="2">
        <v>7795.75</v>
      </c>
      <c r="D4561" s="2">
        <v>7794.9</v>
      </c>
      <c r="E4561" s="2">
        <v>7809.2</v>
      </c>
      <c r="F4561" s="2">
        <v>7752.9</v>
      </c>
      <c r="G4561" s="3">
        <f t="shared" si="215"/>
        <v>3.5917274406689348E-3</v>
      </c>
      <c r="H4561" s="2">
        <f t="shared" si="213"/>
        <v>56.300000000000182</v>
      </c>
      <c r="I4561" s="3">
        <f t="shared" si="214"/>
        <v>7.2226712337554282E-3</v>
      </c>
    </row>
    <row r="4562" spans="2:9" x14ac:dyDescent="0.25">
      <c r="B4562" s="1">
        <v>41844</v>
      </c>
      <c r="C4562" s="2">
        <v>7830.6</v>
      </c>
      <c r="D4562" s="2">
        <v>7796.25</v>
      </c>
      <c r="E4562" s="2">
        <v>7835.65</v>
      </c>
      <c r="F4562" s="2">
        <v>7771.65</v>
      </c>
      <c r="G4562" s="3">
        <f t="shared" si="215"/>
        <v>4.4703845043774226E-3</v>
      </c>
      <c r="H4562" s="2">
        <f t="shared" si="213"/>
        <v>64</v>
      </c>
      <c r="I4562" s="3">
        <f t="shared" si="214"/>
        <v>8.209074875741542E-3</v>
      </c>
    </row>
    <row r="4563" spans="2:9" x14ac:dyDescent="0.25">
      <c r="B4563" s="1">
        <v>41845</v>
      </c>
      <c r="C4563" s="2">
        <v>7790.45</v>
      </c>
      <c r="D4563" s="2">
        <v>7828.2</v>
      </c>
      <c r="E4563" s="2">
        <v>7840.95</v>
      </c>
      <c r="F4563" s="2">
        <v>7748.6</v>
      </c>
      <c r="G4563" s="3">
        <f t="shared" si="215"/>
        <v>-5.127321022654785E-3</v>
      </c>
      <c r="H4563" s="2">
        <f t="shared" si="213"/>
        <v>92.349999999999454</v>
      </c>
      <c r="I4563" s="3">
        <f t="shared" si="214"/>
        <v>1.1797092562785756E-2</v>
      </c>
    </row>
    <row r="4564" spans="2:9" x14ac:dyDescent="0.25">
      <c r="B4564" s="1">
        <v>41848</v>
      </c>
      <c r="C4564" s="2">
        <v>7748.7</v>
      </c>
      <c r="D4564" s="2">
        <v>7792.9</v>
      </c>
      <c r="E4564" s="2">
        <v>7799.9</v>
      </c>
      <c r="F4564" s="2">
        <v>7722.65</v>
      </c>
      <c r="G4564" s="3">
        <f t="shared" si="215"/>
        <v>-5.3591255960824258E-3</v>
      </c>
      <c r="H4564" s="2">
        <f t="shared" si="213"/>
        <v>77.25</v>
      </c>
      <c r="I4564" s="3">
        <f t="shared" si="214"/>
        <v>9.9128694067676989E-3</v>
      </c>
    </row>
    <row r="4565" spans="2:9" x14ac:dyDescent="0.25">
      <c r="B4565" s="1">
        <v>41850</v>
      </c>
      <c r="C4565" s="2">
        <v>7791.4</v>
      </c>
      <c r="D4565" s="2">
        <v>7746.2</v>
      </c>
      <c r="E4565" s="2">
        <v>7798.7</v>
      </c>
      <c r="F4565" s="2">
        <v>7707.6</v>
      </c>
      <c r="G4565" s="3">
        <f t="shared" si="215"/>
        <v>5.5106017783628225E-3</v>
      </c>
      <c r="H4565" s="2">
        <f t="shared" si="213"/>
        <v>91.099999999999454</v>
      </c>
      <c r="I4565" s="3">
        <f t="shared" si="214"/>
        <v>1.1760605199968946E-2</v>
      </c>
    </row>
    <row r="4566" spans="2:9" x14ac:dyDescent="0.25">
      <c r="B4566" s="1">
        <v>41851</v>
      </c>
      <c r="C4566" s="2">
        <v>7721.3</v>
      </c>
      <c r="D4566" s="2">
        <v>7784.65</v>
      </c>
      <c r="E4566" s="2">
        <v>7791.85</v>
      </c>
      <c r="F4566" s="2">
        <v>7711.15</v>
      </c>
      <c r="G4566" s="3">
        <f t="shared" si="215"/>
        <v>-8.9970993659674869E-3</v>
      </c>
      <c r="H4566" s="2">
        <f t="shared" si="213"/>
        <v>80.700000000000728</v>
      </c>
      <c r="I4566" s="3">
        <f t="shared" si="214"/>
        <v>1.0366554694173885E-2</v>
      </c>
    </row>
    <row r="4567" spans="2:9" x14ac:dyDescent="0.25">
      <c r="B4567" s="1">
        <v>41852</v>
      </c>
      <c r="C4567" s="2">
        <v>7602.6</v>
      </c>
      <c r="D4567" s="2">
        <v>7662.5</v>
      </c>
      <c r="E4567" s="2">
        <v>7716.7</v>
      </c>
      <c r="F4567" s="2">
        <v>7593.9</v>
      </c>
      <c r="G4567" s="3">
        <f t="shared" si="215"/>
        <v>-1.5373058940851947E-2</v>
      </c>
      <c r="H4567" s="2">
        <f t="shared" si="213"/>
        <v>122.80000000000018</v>
      </c>
      <c r="I4567" s="3">
        <f t="shared" si="214"/>
        <v>1.6026101141924983E-2</v>
      </c>
    </row>
    <row r="4568" spans="2:9" x14ac:dyDescent="0.25">
      <c r="B4568" s="1">
        <v>41855</v>
      </c>
      <c r="C4568" s="2">
        <v>7683.65</v>
      </c>
      <c r="D4568" s="2">
        <v>7639.55</v>
      </c>
      <c r="E4568" s="2">
        <v>7694.8</v>
      </c>
      <c r="F4568" s="2">
        <v>7622.05</v>
      </c>
      <c r="G4568" s="3">
        <f t="shared" si="215"/>
        <v>1.0660826559334868E-2</v>
      </c>
      <c r="H4568" s="2">
        <f t="shared" si="213"/>
        <v>72.75</v>
      </c>
      <c r="I4568" s="3">
        <f t="shared" si="214"/>
        <v>9.5228122075253115E-3</v>
      </c>
    </row>
    <row r="4569" spans="2:9" x14ac:dyDescent="0.25">
      <c r="B4569" s="1">
        <v>41856</v>
      </c>
      <c r="C4569" s="2">
        <v>7746.55</v>
      </c>
      <c r="D4569" s="2">
        <v>7706.65</v>
      </c>
      <c r="E4569" s="2">
        <v>7752.45</v>
      </c>
      <c r="F4569" s="2">
        <v>7638.05</v>
      </c>
      <c r="G4569" s="3">
        <f t="shared" si="215"/>
        <v>8.1862135833881133E-3</v>
      </c>
      <c r="H4569" s="2">
        <f t="shared" si="213"/>
        <v>114.39999999999964</v>
      </c>
      <c r="I4569" s="3">
        <f t="shared" si="214"/>
        <v>1.4844322760213535E-2</v>
      </c>
    </row>
    <row r="4570" spans="2:9" x14ac:dyDescent="0.25">
      <c r="B4570" s="1">
        <v>41857</v>
      </c>
      <c r="C4570" s="2">
        <v>7672.05</v>
      </c>
      <c r="D4570" s="2">
        <v>7726.15</v>
      </c>
      <c r="E4570" s="2">
        <v>7740.95</v>
      </c>
      <c r="F4570" s="2">
        <v>7658.95</v>
      </c>
      <c r="G4570" s="3">
        <f t="shared" si="215"/>
        <v>-9.6171844240339199E-3</v>
      </c>
      <c r="H4570" s="2">
        <f t="shared" si="213"/>
        <v>82</v>
      </c>
      <c r="I4570" s="3">
        <f t="shared" si="214"/>
        <v>1.0613306756922918E-2</v>
      </c>
    </row>
    <row r="4571" spans="2:9" x14ac:dyDescent="0.25">
      <c r="B4571" s="1">
        <v>41858</v>
      </c>
      <c r="C4571" s="2">
        <v>7649.25</v>
      </c>
      <c r="D4571" s="2">
        <v>7651.15</v>
      </c>
      <c r="E4571" s="2">
        <v>7708.95</v>
      </c>
      <c r="F4571" s="2">
        <v>7630.4</v>
      </c>
      <c r="G4571" s="3">
        <f t="shared" si="215"/>
        <v>-2.9718263045731552E-3</v>
      </c>
      <c r="H4571" s="2">
        <f t="shared" si="213"/>
        <v>78.550000000000182</v>
      </c>
      <c r="I4571" s="3">
        <f t="shared" si="214"/>
        <v>1.0266430536586027E-2</v>
      </c>
    </row>
    <row r="4572" spans="2:9" x14ac:dyDescent="0.25">
      <c r="B4572" s="1">
        <v>41859</v>
      </c>
      <c r="C4572" s="2">
        <v>7568.55</v>
      </c>
      <c r="D4572" s="2">
        <v>7588.7</v>
      </c>
      <c r="E4572" s="2">
        <v>7592.45</v>
      </c>
      <c r="F4572" s="2">
        <v>7540.1</v>
      </c>
      <c r="G4572" s="3">
        <f t="shared" si="215"/>
        <v>-1.0550053926855596E-2</v>
      </c>
      <c r="H4572" s="2">
        <f t="shared" si="213"/>
        <v>52.349999999999454</v>
      </c>
      <c r="I4572" s="3">
        <f t="shared" si="214"/>
        <v>6.8984147482440278E-3</v>
      </c>
    </row>
    <row r="4573" spans="2:9" x14ac:dyDescent="0.25">
      <c r="B4573" s="1">
        <v>41862</v>
      </c>
      <c r="C4573" s="2">
        <v>7625.95</v>
      </c>
      <c r="D4573" s="2">
        <v>7619.85</v>
      </c>
      <c r="E4573" s="2">
        <v>7635.55</v>
      </c>
      <c r="F4573" s="2">
        <v>7598.6</v>
      </c>
      <c r="G4573" s="3">
        <f t="shared" si="215"/>
        <v>7.584015432282154E-3</v>
      </c>
      <c r="H4573" s="2">
        <f t="shared" si="213"/>
        <v>36.949999999999818</v>
      </c>
      <c r="I4573" s="3">
        <f t="shared" si="214"/>
        <v>4.849176821066007E-3</v>
      </c>
    </row>
    <row r="4574" spans="2:9" x14ac:dyDescent="0.25">
      <c r="B4574" s="1">
        <v>41863</v>
      </c>
      <c r="C4574" s="2">
        <v>7727.05</v>
      </c>
      <c r="D4574" s="2">
        <v>7688.8</v>
      </c>
      <c r="E4574" s="2">
        <v>7735.75</v>
      </c>
      <c r="F4574" s="2">
        <v>7654.8</v>
      </c>
      <c r="G4574" s="3">
        <f t="shared" si="215"/>
        <v>1.325736465620686E-2</v>
      </c>
      <c r="H4574" s="2">
        <f t="shared" si="213"/>
        <v>80.949999999999818</v>
      </c>
      <c r="I4574" s="3">
        <f t="shared" si="214"/>
        <v>1.0528300905212753E-2</v>
      </c>
    </row>
    <row r="4575" spans="2:9" x14ac:dyDescent="0.25">
      <c r="B4575" s="1">
        <v>41864</v>
      </c>
      <c r="C4575" s="2">
        <v>7739.55</v>
      </c>
      <c r="D4575" s="2">
        <v>7717.3</v>
      </c>
      <c r="E4575" s="2">
        <v>7757.1</v>
      </c>
      <c r="F4575" s="2">
        <v>7695.7</v>
      </c>
      <c r="G4575" s="3">
        <f t="shared" si="215"/>
        <v>1.6176936864651381E-3</v>
      </c>
      <c r="H4575" s="2">
        <f t="shared" si="213"/>
        <v>61.400000000000546</v>
      </c>
      <c r="I4575" s="3">
        <f t="shared" si="214"/>
        <v>7.9561504671323575E-3</v>
      </c>
    </row>
    <row r="4576" spans="2:9" x14ac:dyDescent="0.25">
      <c r="B4576" s="1">
        <v>41865</v>
      </c>
      <c r="C4576" s="2">
        <v>7791.7</v>
      </c>
      <c r="D4576" s="2">
        <v>7756.15</v>
      </c>
      <c r="E4576" s="2">
        <v>7796.7</v>
      </c>
      <c r="F4576" s="2">
        <v>7739.1</v>
      </c>
      <c r="G4576" s="3">
        <f t="shared" si="215"/>
        <v>6.7381178492289528E-3</v>
      </c>
      <c r="H4576" s="2">
        <f t="shared" si="213"/>
        <v>57.599999999999454</v>
      </c>
      <c r="I4576" s="3">
        <f t="shared" si="214"/>
        <v>7.4263648846398609E-3</v>
      </c>
    </row>
    <row r="4577" spans="2:9" x14ac:dyDescent="0.25">
      <c r="B4577" s="1">
        <v>41869</v>
      </c>
      <c r="C4577" s="2">
        <v>7874.25</v>
      </c>
      <c r="D4577" s="2">
        <v>7785.25</v>
      </c>
      <c r="E4577" s="2">
        <v>7880.5</v>
      </c>
      <c r="F4577" s="2">
        <v>7779.2</v>
      </c>
      <c r="G4577" s="3">
        <f t="shared" si="215"/>
        <v>1.0594607081894969E-2</v>
      </c>
      <c r="H4577" s="2">
        <f t="shared" si="213"/>
        <v>101.30000000000018</v>
      </c>
      <c r="I4577" s="3">
        <f t="shared" si="214"/>
        <v>1.3011785106451325E-2</v>
      </c>
    </row>
    <row r="4578" spans="2:9" x14ac:dyDescent="0.25">
      <c r="B4578" s="1">
        <v>41870</v>
      </c>
      <c r="C4578" s="2">
        <v>7897.5</v>
      </c>
      <c r="D4578" s="2">
        <v>7901</v>
      </c>
      <c r="E4578" s="2">
        <v>7918.55</v>
      </c>
      <c r="F4578" s="2">
        <v>7881.15</v>
      </c>
      <c r="G4578" s="3">
        <f t="shared" si="215"/>
        <v>2.9526621583007007E-3</v>
      </c>
      <c r="H4578" s="2">
        <f t="shared" si="213"/>
        <v>37.400000000000546</v>
      </c>
      <c r="I4578" s="3">
        <f t="shared" si="214"/>
        <v>4.733578028097778E-3</v>
      </c>
    </row>
    <row r="4579" spans="2:9" x14ac:dyDescent="0.25">
      <c r="B4579" s="1">
        <v>41871</v>
      </c>
      <c r="C4579" s="2">
        <v>7875.3</v>
      </c>
      <c r="D4579" s="2">
        <v>7915.8</v>
      </c>
      <c r="E4579" s="2">
        <v>7922.7</v>
      </c>
      <c r="F4579" s="2">
        <v>7864.05</v>
      </c>
      <c r="G4579" s="3">
        <f t="shared" si="215"/>
        <v>-2.8110161443494208E-3</v>
      </c>
      <c r="H4579" s="2">
        <f t="shared" si="213"/>
        <v>58.649999999999636</v>
      </c>
      <c r="I4579" s="3">
        <f t="shared" si="214"/>
        <v>7.409232168574198E-3</v>
      </c>
    </row>
    <row r="4580" spans="2:9" x14ac:dyDescent="0.25">
      <c r="B4580" s="1">
        <v>41872</v>
      </c>
      <c r="C4580" s="2">
        <v>7891.1</v>
      </c>
      <c r="D4580" s="2">
        <v>7875.35</v>
      </c>
      <c r="E4580" s="2">
        <v>7919.65</v>
      </c>
      <c r="F4580" s="2">
        <v>7855.95</v>
      </c>
      <c r="G4580" s="3">
        <f t="shared" si="215"/>
        <v>2.006272776910123E-3</v>
      </c>
      <c r="H4580" s="2">
        <f t="shared" si="213"/>
        <v>63.699999999999818</v>
      </c>
      <c r="I4580" s="3">
        <f t="shared" si="214"/>
        <v>8.0885293986933671E-3</v>
      </c>
    </row>
    <row r="4581" spans="2:9" x14ac:dyDescent="0.25">
      <c r="B4581" s="1">
        <v>41873</v>
      </c>
      <c r="C4581" s="2">
        <v>7913.2</v>
      </c>
      <c r="D4581" s="2">
        <v>7904.55</v>
      </c>
      <c r="E4581" s="2">
        <v>7929.05</v>
      </c>
      <c r="F4581" s="2">
        <v>7900.05</v>
      </c>
      <c r="G4581" s="3">
        <f t="shared" si="215"/>
        <v>2.8006234872197666E-3</v>
      </c>
      <c r="H4581" s="2">
        <f t="shared" si="213"/>
        <v>29</v>
      </c>
      <c r="I4581" s="3">
        <f t="shared" si="214"/>
        <v>3.6687730484341297E-3</v>
      </c>
    </row>
    <row r="4582" spans="2:9" x14ac:dyDescent="0.25">
      <c r="B4582" s="1">
        <v>41876</v>
      </c>
      <c r="C4582" s="2">
        <v>7906.3</v>
      </c>
      <c r="D4582" s="2">
        <v>7931.75</v>
      </c>
      <c r="E4582" s="2">
        <v>7968.25</v>
      </c>
      <c r="F4582" s="2">
        <v>7897.95</v>
      </c>
      <c r="G4582" s="3">
        <f t="shared" si="215"/>
        <v>-8.7196077440221398E-4</v>
      </c>
      <c r="H4582" s="2">
        <f t="shared" si="213"/>
        <v>70.300000000000182</v>
      </c>
      <c r="I4582" s="3">
        <f t="shared" si="214"/>
        <v>8.8631134365052076E-3</v>
      </c>
    </row>
    <row r="4583" spans="2:9" x14ac:dyDescent="0.25">
      <c r="B4583" s="1">
        <v>41877</v>
      </c>
      <c r="C4583" s="2">
        <v>7904.75</v>
      </c>
      <c r="D4583" s="2">
        <v>7874.5</v>
      </c>
      <c r="E4583" s="2">
        <v>7915.45</v>
      </c>
      <c r="F4583" s="2">
        <v>7862.45</v>
      </c>
      <c r="G4583" s="3">
        <f t="shared" si="215"/>
        <v>-1.9604619101221132E-4</v>
      </c>
      <c r="H4583" s="2">
        <f t="shared" si="213"/>
        <v>53</v>
      </c>
      <c r="I4583" s="3">
        <f t="shared" si="214"/>
        <v>6.7305860689567589E-3</v>
      </c>
    </row>
    <row r="4584" spans="2:9" x14ac:dyDescent="0.25">
      <c r="B4584" s="1">
        <v>41878</v>
      </c>
      <c r="C4584" s="2">
        <v>7936.05</v>
      </c>
      <c r="D4584" s="2">
        <v>7933.9</v>
      </c>
      <c r="E4584" s="2">
        <v>7946.85</v>
      </c>
      <c r="F4584" s="2">
        <v>7916.55</v>
      </c>
      <c r="G4584" s="3">
        <f t="shared" si="215"/>
        <v>3.9596445175369421E-3</v>
      </c>
      <c r="H4584" s="2">
        <f t="shared" si="213"/>
        <v>30.300000000000182</v>
      </c>
      <c r="I4584" s="3">
        <f t="shared" si="214"/>
        <v>3.8190549414537848E-3</v>
      </c>
    </row>
    <row r="4585" spans="2:9" x14ac:dyDescent="0.25">
      <c r="B4585" s="1">
        <v>41879</v>
      </c>
      <c r="C4585" s="2">
        <v>7954.35</v>
      </c>
      <c r="D4585" s="2">
        <v>7942.25</v>
      </c>
      <c r="E4585" s="2">
        <v>7967.8</v>
      </c>
      <c r="F4585" s="2">
        <v>7939.2</v>
      </c>
      <c r="G4585" s="3">
        <f t="shared" si="215"/>
        <v>2.3059330523371724E-3</v>
      </c>
      <c r="H4585" s="2">
        <f t="shared" si="213"/>
        <v>28.600000000000364</v>
      </c>
      <c r="I4585" s="3">
        <f t="shared" si="214"/>
        <v>3.6009946803488135E-3</v>
      </c>
    </row>
    <row r="4586" spans="2:9" x14ac:dyDescent="0.25">
      <c r="B4586" s="1">
        <v>41883</v>
      </c>
      <c r="C4586" s="2">
        <v>8027.7</v>
      </c>
      <c r="D4586" s="2">
        <v>7990.35</v>
      </c>
      <c r="E4586" s="2">
        <v>8035</v>
      </c>
      <c r="F4586" s="2">
        <v>7984</v>
      </c>
      <c r="G4586" s="3">
        <f t="shared" si="215"/>
        <v>9.2213694393632473E-3</v>
      </c>
      <c r="H4586" s="2">
        <f t="shared" si="213"/>
        <v>51</v>
      </c>
      <c r="I4586" s="3">
        <f t="shared" si="214"/>
        <v>6.3826991308265591E-3</v>
      </c>
    </row>
    <row r="4587" spans="2:9" x14ac:dyDescent="0.25">
      <c r="B4587" s="1">
        <v>41884</v>
      </c>
      <c r="C4587" s="2">
        <v>8083.05</v>
      </c>
      <c r="D4587" s="2">
        <v>8038.6</v>
      </c>
      <c r="E4587" s="2">
        <v>8101.95</v>
      </c>
      <c r="F4587" s="2">
        <v>8036.55</v>
      </c>
      <c r="G4587" s="3">
        <f t="shared" si="215"/>
        <v>6.894876490152857E-3</v>
      </c>
      <c r="H4587" s="2">
        <f t="shared" si="213"/>
        <v>65.399999999999636</v>
      </c>
      <c r="I4587" s="3">
        <f t="shared" si="214"/>
        <v>8.1357450302290985E-3</v>
      </c>
    </row>
    <row r="4588" spans="2:9" x14ac:dyDescent="0.25">
      <c r="B4588" s="1">
        <v>41885</v>
      </c>
      <c r="C4588" s="2">
        <v>8114.6</v>
      </c>
      <c r="D4588" s="2">
        <v>8110.85</v>
      </c>
      <c r="E4588" s="2">
        <v>8141.9</v>
      </c>
      <c r="F4588" s="2">
        <v>8092.25</v>
      </c>
      <c r="G4588" s="3">
        <f t="shared" si="215"/>
        <v>3.9032295977385889E-3</v>
      </c>
      <c r="H4588" s="2">
        <f t="shared" si="213"/>
        <v>49.649999999999636</v>
      </c>
      <c r="I4588" s="3">
        <f t="shared" si="214"/>
        <v>6.1214299364431143E-3</v>
      </c>
    </row>
    <row r="4589" spans="2:9" x14ac:dyDescent="0.25">
      <c r="B4589" s="1">
        <v>41886</v>
      </c>
      <c r="C4589" s="2">
        <v>8095.95</v>
      </c>
      <c r="D4589" s="2">
        <v>8114.2</v>
      </c>
      <c r="E4589" s="2">
        <v>8114.8</v>
      </c>
      <c r="F4589" s="2">
        <v>8060.9</v>
      </c>
      <c r="G4589" s="3">
        <f t="shared" si="215"/>
        <v>-2.29832647327044E-3</v>
      </c>
      <c r="H4589" s="2">
        <f t="shared" si="213"/>
        <v>53.900000000000546</v>
      </c>
      <c r="I4589" s="3">
        <f t="shared" si="214"/>
        <v>6.6426758029134786E-3</v>
      </c>
    </row>
    <row r="4590" spans="2:9" x14ac:dyDescent="0.25">
      <c r="B4590" s="1">
        <v>41887</v>
      </c>
      <c r="C4590" s="2">
        <v>8086.85</v>
      </c>
      <c r="D4590" s="2">
        <v>8099.9</v>
      </c>
      <c r="E4590" s="2">
        <v>8122.7</v>
      </c>
      <c r="F4590" s="2">
        <v>8049.85</v>
      </c>
      <c r="G4590" s="3">
        <f t="shared" si="215"/>
        <v>-1.1240187995231743E-3</v>
      </c>
      <c r="H4590" s="2">
        <f t="shared" si="213"/>
        <v>72.849999999999454</v>
      </c>
      <c r="I4590" s="3">
        <f t="shared" si="214"/>
        <v>8.9939381967677947E-3</v>
      </c>
    </row>
    <row r="4591" spans="2:9" x14ac:dyDescent="0.25">
      <c r="B4591" s="1">
        <v>41890</v>
      </c>
      <c r="C4591" s="2">
        <v>8173.9</v>
      </c>
      <c r="D4591" s="2">
        <v>8132.95</v>
      </c>
      <c r="E4591" s="2">
        <v>8180.2</v>
      </c>
      <c r="F4591" s="2">
        <v>8126.15</v>
      </c>
      <c r="G4591" s="3">
        <f t="shared" si="215"/>
        <v>1.0764389100824001E-2</v>
      </c>
      <c r="H4591" s="2">
        <f t="shared" si="213"/>
        <v>54.050000000000182</v>
      </c>
      <c r="I4591" s="3">
        <f t="shared" si="214"/>
        <v>6.6458050276960003E-3</v>
      </c>
    </row>
    <row r="4592" spans="2:9" x14ac:dyDescent="0.25">
      <c r="B4592" s="1">
        <v>41891</v>
      </c>
      <c r="C4592" s="2">
        <v>8152.95</v>
      </c>
      <c r="D4592" s="2">
        <v>8161.9</v>
      </c>
      <c r="E4592" s="2">
        <v>8174.55</v>
      </c>
      <c r="F4592" s="2">
        <v>8126.5</v>
      </c>
      <c r="G4592" s="3">
        <f t="shared" si="215"/>
        <v>-2.5630360048446432E-3</v>
      </c>
      <c r="H4592" s="2">
        <f t="shared" si="213"/>
        <v>48.050000000000182</v>
      </c>
      <c r="I4592" s="3">
        <f t="shared" si="214"/>
        <v>5.8871096190838143E-3</v>
      </c>
    </row>
    <row r="4593" spans="2:9" x14ac:dyDescent="0.25">
      <c r="B4593" s="1">
        <v>41892</v>
      </c>
      <c r="C4593" s="2">
        <v>8094.1</v>
      </c>
      <c r="D4593" s="2">
        <v>8135.55</v>
      </c>
      <c r="E4593" s="2">
        <v>8135.75</v>
      </c>
      <c r="F4593" s="2">
        <v>8082.1</v>
      </c>
      <c r="G4593" s="3">
        <f t="shared" si="215"/>
        <v>-7.2182461562991795E-3</v>
      </c>
      <c r="H4593" s="2">
        <f t="shared" si="213"/>
        <v>53.649999999999636</v>
      </c>
      <c r="I4593" s="3">
        <f t="shared" si="214"/>
        <v>6.5945142000233097E-3</v>
      </c>
    </row>
    <row r="4594" spans="2:9" x14ac:dyDescent="0.25">
      <c r="B4594" s="1">
        <v>41893</v>
      </c>
      <c r="C4594" s="2">
        <v>8085.7</v>
      </c>
      <c r="D4594" s="2">
        <v>8115.15</v>
      </c>
      <c r="E4594" s="2">
        <v>8127.95</v>
      </c>
      <c r="F4594" s="2">
        <v>8057.3</v>
      </c>
      <c r="G4594" s="3">
        <f t="shared" si="215"/>
        <v>-1.0377929603044844E-3</v>
      </c>
      <c r="H4594" s="2">
        <f t="shared" si="213"/>
        <v>70.649999999999636</v>
      </c>
      <c r="I4594" s="3">
        <f t="shared" si="214"/>
        <v>8.7059388920721903E-3</v>
      </c>
    </row>
    <row r="4595" spans="2:9" x14ac:dyDescent="0.25">
      <c r="B4595" s="1">
        <v>41894</v>
      </c>
      <c r="C4595" s="2">
        <v>8105.5</v>
      </c>
      <c r="D4595" s="2">
        <v>8087.05</v>
      </c>
      <c r="E4595" s="2">
        <v>8114.3</v>
      </c>
      <c r="F4595" s="2">
        <v>8071.6</v>
      </c>
      <c r="G4595" s="3">
        <f t="shared" si="215"/>
        <v>2.448767577327926E-3</v>
      </c>
      <c r="H4595" s="2">
        <f t="shared" si="213"/>
        <v>42.699999999999818</v>
      </c>
      <c r="I4595" s="3">
        <f t="shared" si="214"/>
        <v>5.2800464940862017E-3</v>
      </c>
    </row>
    <row r="4596" spans="2:9" x14ac:dyDescent="0.25">
      <c r="B4596" s="1">
        <v>41897</v>
      </c>
      <c r="C4596" s="2">
        <v>8042</v>
      </c>
      <c r="D4596" s="2">
        <v>8070.35</v>
      </c>
      <c r="E4596" s="2">
        <v>8077.3</v>
      </c>
      <c r="F4596" s="2">
        <v>8030</v>
      </c>
      <c r="G4596" s="3">
        <f t="shared" si="215"/>
        <v>-7.8341866633767632E-3</v>
      </c>
      <c r="H4596" s="2">
        <f t="shared" si="213"/>
        <v>47.300000000000182</v>
      </c>
      <c r="I4596" s="3">
        <f t="shared" si="214"/>
        <v>5.8609601814047941E-3</v>
      </c>
    </row>
    <row r="4597" spans="2:9" x14ac:dyDescent="0.25">
      <c r="B4597" s="1">
        <v>41898</v>
      </c>
      <c r="C4597" s="2">
        <v>7932.9</v>
      </c>
      <c r="D4597" s="2">
        <v>8036.6</v>
      </c>
      <c r="E4597" s="2">
        <v>8044.9</v>
      </c>
      <c r="F4597" s="2">
        <v>7925.15</v>
      </c>
      <c r="G4597" s="3">
        <f t="shared" si="215"/>
        <v>-1.3566277045511166E-2</v>
      </c>
      <c r="H4597" s="2">
        <f t="shared" si="213"/>
        <v>119.75</v>
      </c>
      <c r="I4597" s="3">
        <f t="shared" si="214"/>
        <v>1.4900579847199063E-2</v>
      </c>
    </row>
    <row r="4598" spans="2:9" x14ac:dyDescent="0.25">
      <c r="B4598" s="1">
        <v>41899</v>
      </c>
      <c r="C4598" s="2">
        <v>7975.5</v>
      </c>
      <c r="D4598" s="2">
        <v>7971.5</v>
      </c>
      <c r="E4598" s="2">
        <v>7990.65</v>
      </c>
      <c r="F4598" s="2">
        <v>7936.95</v>
      </c>
      <c r="G4598" s="3">
        <f t="shared" si="215"/>
        <v>5.3700412207389192E-3</v>
      </c>
      <c r="H4598" s="2">
        <f t="shared" si="213"/>
        <v>53.699999999999818</v>
      </c>
      <c r="I4598" s="3">
        <f t="shared" si="214"/>
        <v>6.7364987768926575E-3</v>
      </c>
    </row>
    <row r="4599" spans="2:9" x14ac:dyDescent="0.25">
      <c r="B4599" s="1">
        <v>41900</v>
      </c>
      <c r="C4599" s="2">
        <v>8114.75</v>
      </c>
      <c r="D4599" s="2">
        <v>7950.65</v>
      </c>
      <c r="E4599" s="2">
        <v>8120.85</v>
      </c>
      <c r="F4599" s="2">
        <v>7939.7</v>
      </c>
      <c r="G4599" s="3">
        <f t="shared" si="215"/>
        <v>1.7459720393705691E-2</v>
      </c>
      <c r="H4599" s="2">
        <f t="shared" si="213"/>
        <v>181.15000000000055</v>
      </c>
      <c r="I4599" s="3">
        <f t="shared" si="214"/>
        <v>2.2784300654663525E-2</v>
      </c>
    </row>
    <row r="4600" spans="2:9" x14ac:dyDescent="0.25">
      <c r="B4600" s="1">
        <v>41901</v>
      </c>
      <c r="C4600" s="2">
        <v>8121.45</v>
      </c>
      <c r="D4600" s="2">
        <v>8129.4</v>
      </c>
      <c r="E4600" s="2">
        <v>8160.9</v>
      </c>
      <c r="F4600" s="2">
        <v>8105.35</v>
      </c>
      <c r="G4600" s="3">
        <f t="shared" si="215"/>
        <v>8.2565698265502085E-4</v>
      </c>
      <c r="H4600" s="2">
        <f t="shared" si="213"/>
        <v>55.549999999999272</v>
      </c>
      <c r="I4600" s="3">
        <f t="shared" si="214"/>
        <v>6.8332226240558069E-3</v>
      </c>
    </row>
    <row r="4601" spans="2:9" x14ac:dyDescent="0.25">
      <c r="B4601" s="1">
        <v>41904</v>
      </c>
      <c r="C4601" s="2">
        <v>8146.3</v>
      </c>
      <c r="D4601" s="2">
        <v>8084.45</v>
      </c>
      <c r="E4601" s="2">
        <v>8159.9</v>
      </c>
      <c r="F4601" s="2">
        <v>8064.8</v>
      </c>
      <c r="G4601" s="3">
        <f t="shared" si="215"/>
        <v>3.0597984350084761E-3</v>
      </c>
      <c r="H4601" s="2">
        <f t="shared" si="213"/>
        <v>95.099999999999454</v>
      </c>
      <c r="I4601" s="3">
        <f t="shared" si="214"/>
        <v>1.1763323417177354E-2</v>
      </c>
    </row>
    <row r="4602" spans="2:9" x14ac:dyDescent="0.25">
      <c r="B4602" s="1">
        <v>41905</v>
      </c>
      <c r="C4602" s="2">
        <v>8017.55</v>
      </c>
      <c r="D4602" s="2">
        <v>8144.4</v>
      </c>
      <c r="E4602" s="2">
        <v>8159.75</v>
      </c>
      <c r="F4602" s="2">
        <v>8008.1</v>
      </c>
      <c r="G4602" s="3">
        <f t="shared" si="215"/>
        <v>-1.5804721161754465E-2</v>
      </c>
      <c r="H4602" s="2">
        <f t="shared" si="213"/>
        <v>151.64999999999964</v>
      </c>
      <c r="I4602" s="3">
        <f t="shared" si="214"/>
        <v>1.8620156180934096E-2</v>
      </c>
    </row>
    <row r="4603" spans="2:9" x14ac:dyDescent="0.25">
      <c r="B4603" s="1">
        <v>41906</v>
      </c>
      <c r="C4603" s="2">
        <v>8002.4</v>
      </c>
      <c r="D4603" s="2">
        <v>8015.55</v>
      </c>
      <c r="E4603" s="2">
        <v>8042.05</v>
      </c>
      <c r="F4603" s="2">
        <v>7950.05</v>
      </c>
      <c r="G4603" s="3">
        <f t="shared" si="215"/>
        <v>-1.8896046797338695E-3</v>
      </c>
      <c r="H4603" s="2">
        <f t="shared" si="213"/>
        <v>92</v>
      </c>
      <c r="I4603" s="3">
        <f t="shared" si="214"/>
        <v>1.1477690239596784E-2</v>
      </c>
    </row>
    <row r="4604" spans="2:9" x14ac:dyDescent="0.25">
      <c r="B4604" s="1">
        <v>41907</v>
      </c>
      <c r="C4604" s="2">
        <v>7911.85</v>
      </c>
      <c r="D4604" s="2">
        <v>8003.3</v>
      </c>
      <c r="E4604" s="2">
        <v>8019.3</v>
      </c>
      <c r="F4604" s="2">
        <v>7877.35</v>
      </c>
      <c r="G4604" s="3">
        <f t="shared" si="215"/>
        <v>-1.131535539338191E-2</v>
      </c>
      <c r="H4604" s="2">
        <f t="shared" si="213"/>
        <v>141.94999999999982</v>
      </c>
      <c r="I4604" s="3">
        <f t="shared" si="214"/>
        <v>1.7736433721090027E-2</v>
      </c>
    </row>
    <row r="4605" spans="2:9" x14ac:dyDescent="0.25">
      <c r="B4605" s="1">
        <v>41908</v>
      </c>
      <c r="C4605" s="2">
        <v>7968.85</v>
      </c>
      <c r="D4605" s="2">
        <v>7885.85</v>
      </c>
      <c r="E4605" s="2">
        <v>7993.3</v>
      </c>
      <c r="F4605" s="2">
        <v>7841.8</v>
      </c>
      <c r="G4605" s="3">
        <f t="shared" si="215"/>
        <v>7.2043832984700629E-3</v>
      </c>
      <c r="H4605" s="2">
        <f t="shared" si="213"/>
        <v>151.5</v>
      </c>
      <c r="I4605" s="3">
        <f t="shared" si="214"/>
        <v>1.9211625886873324E-2</v>
      </c>
    </row>
    <row r="4606" spans="2:9" x14ac:dyDescent="0.25">
      <c r="B4606" s="1">
        <v>41911</v>
      </c>
      <c r="C4606" s="2">
        <v>7958.9</v>
      </c>
      <c r="D4606" s="2">
        <v>7978.45</v>
      </c>
      <c r="E4606" s="2">
        <v>7991.75</v>
      </c>
      <c r="F4606" s="2">
        <v>7934.7</v>
      </c>
      <c r="G4606" s="3">
        <f t="shared" si="215"/>
        <v>-1.2486117821267628E-3</v>
      </c>
      <c r="H4606" s="2">
        <f t="shared" si="213"/>
        <v>57.050000000000182</v>
      </c>
      <c r="I4606" s="3">
        <f t="shared" si="214"/>
        <v>7.1505116908672966E-3</v>
      </c>
    </row>
    <row r="4607" spans="2:9" x14ac:dyDescent="0.25">
      <c r="B4607" s="1">
        <v>41912</v>
      </c>
      <c r="C4607" s="2">
        <v>7964.8</v>
      </c>
      <c r="D4607" s="2">
        <v>7948.8</v>
      </c>
      <c r="E4607" s="2">
        <v>8030.9</v>
      </c>
      <c r="F4607" s="2">
        <v>7923.85</v>
      </c>
      <c r="G4607" s="3">
        <f t="shared" si="215"/>
        <v>7.4130847227649177E-4</v>
      </c>
      <c r="H4607" s="2">
        <f t="shared" si="213"/>
        <v>107.04999999999927</v>
      </c>
      <c r="I4607" s="3">
        <f t="shared" si="214"/>
        <v>1.3467441626408927E-2</v>
      </c>
    </row>
    <row r="4608" spans="2:9" x14ac:dyDescent="0.25">
      <c r="B4608" s="1">
        <v>41913</v>
      </c>
      <c r="C4608" s="2">
        <v>7945.55</v>
      </c>
      <c r="D4608" s="2">
        <v>7960.5</v>
      </c>
      <c r="E4608" s="2">
        <v>7977.5</v>
      </c>
      <c r="F4608" s="2">
        <v>7936.7</v>
      </c>
      <c r="G4608" s="3">
        <f t="shared" si="215"/>
        <v>-2.4168842908798283E-3</v>
      </c>
      <c r="H4608" s="2">
        <f t="shared" si="213"/>
        <v>40.800000000000182</v>
      </c>
      <c r="I4608" s="3">
        <f t="shared" si="214"/>
        <v>5.1253061993593594E-3</v>
      </c>
    </row>
    <row r="4609" spans="2:9" x14ac:dyDescent="0.25">
      <c r="B4609" s="1">
        <v>41919</v>
      </c>
      <c r="C4609" s="2">
        <v>7852.4</v>
      </c>
      <c r="D4609" s="2">
        <v>7897.4</v>
      </c>
      <c r="E4609" s="2">
        <v>7943.05</v>
      </c>
      <c r="F4609" s="2">
        <v>7842.7</v>
      </c>
      <c r="G4609" s="3">
        <f t="shared" si="215"/>
        <v>-1.1723543367041955E-2</v>
      </c>
      <c r="H4609" s="2">
        <f t="shared" si="213"/>
        <v>100.35000000000036</v>
      </c>
      <c r="I4609" s="3">
        <f t="shared" si="214"/>
        <v>1.270671360194499E-2</v>
      </c>
    </row>
    <row r="4610" spans="2:9" x14ac:dyDescent="0.25">
      <c r="B4610" s="1">
        <v>41920</v>
      </c>
      <c r="C4610" s="2">
        <v>7842.7</v>
      </c>
      <c r="D4610" s="2">
        <v>7828.75</v>
      </c>
      <c r="E4610" s="2">
        <v>7869.9</v>
      </c>
      <c r="F4610" s="2">
        <v>7815.75</v>
      </c>
      <c r="G4610" s="3">
        <f t="shared" si="215"/>
        <v>-1.2352911211858109E-3</v>
      </c>
      <c r="H4610" s="2">
        <f t="shared" si="213"/>
        <v>54.149999999999636</v>
      </c>
      <c r="I4610" s="3">
        <f t="shared" si="214"/>
        <v>6.9168130288998417E-3</v>
      </c>
    </row>
    <row r="4611" spans="2:9" x14ac:dyDescent="0.25">
      <c r="B4611" s="1">
        <v>41921</v>
      </c>
      <c r="C4611" s="2">
        <v>7960.55</v>
      </c>
      <c r="D4611" s="2">
        <v>7886.5</v>
      </c>
      <c r="E4611" s="2">
        <v>7972.35</v>
      </c>
      <c r="F4611" s="2">
        <v>7886.5</v>
      </c>
      <c r="G4611" s="3">
        <f t="shared" si="215"/>
        <v>1.5026712739235171E-2</v>
      </c>
      <c r="H4611" s="2">
        <f t="shared" si="213"/>
        <v>85.850000000000364</v>
      </c>
      <c r="I4611" s="3">
        <f t="shared" si="214"/>
        <v>1.0885690737335999E-2</v>
      </c>
    </row>
    <row r="4612" spans="2:9" x14ac:dyDescent="0.25">
      <c r="B4612" s="1">
        <v>41922</v>
      </c>
      <c r="C4612" s="2">
        <v>7859.95</v>
      </c>
      <c r="D4612" s="2">
        <v>7911</v>
      </c>
      <c r="E4612" s="2">
        <v>7924.05</v>
      </c>
      <c r="F4612" s="2">
        <v>7848.45</v>
      </c>
      <c r="G4612" s="3">
        <f t="shared" si="215"/>
        <v>-1.2637317773269485E-2</v>
      </c>
      <c r="H4612" s="2">
        <f t="shared" si="213"/>
        <v>75.600000000000364</v>
      </c>
      <c r="I4612" s="3">
        <f t="shared" si="214"/>
        <v>9.5563139931741075E-3</v>
      </c>
    </row>
    <row r="4613" spans="2:9" x14ac:dyDescent="0.25">
      <c r="B4613" s="1">
        <v>41925</v>
      </c>
      <c r="C4613" s="2">
        <v>7884.25</v>
      </c>
      <c r="D4613" s="2">
        <v>7831</v>
      </c>
      <c r="E4613" s="2">
        <v>7901.15</v>
      </c>
      <c r="F4613" s="2">
        <v>7796</v>
      </c>
      <c r="G4613" s="3">
        <f t="shared" si="215"/>
        <v>3.0916227202464341E-3</v>
      </c>
      <c r="H4613" s="2">
        <f t="shared" ref="H4613:H4676" si="216">E4613-F4613</f>
        <v>105.14999999999964</v>
      </c>
      <c r="I4613" s="3">
        <f t="shared" si="214"/>
        <v>1.3427403907546882E-2</v>
      </c>
    </row>
    <row r="4614" spans="2:9" x14ac:dyDescent="0.25">
      <c r="B4614" s="1">
        <v>41926</v>
      </c>
      <c r="C4614" s="2">
        <v>7864</v>
      </c>
      <c r="D4614" s="2">
        <v>7923.25</v>
      </c>
      <c r="E4614" s="2">
        <v>7928</v>
      </c>
      <c r="F4614" s="2">
        <v>7825.45</v>
      </c>
      <c r="G4614" s="3">
        <f t="shared" si="215"/>
        <v>-2.5684117068839329E-3</v>
      </c>
      <c r="H4614" s="2">
        <f t="shared" si="216"/>
        <v>102.55000000000018</v>
      </c>
      <c r="I4614" s="3">
        <f t="shared" ref="I4614:I4677" si="217">H4614/D4614</f>
        <v>1.2942921149780731E-2</v>
      </c>
    </row>
    <row r="4615" spans="2:9" x14ac:dyDescent="0.25">
      <c r="B4615" s="1">
        <v>41928</v>
      </c>
      <c r="C4615" s="2">
        <v>7748.2</v>
      </c>
      <c r="D4615" s="2">
        <v>7837.3</v>
      </c>
      <c r="E4615" s="2">
        <v>7893.9</v>
      </c>
      <c r="F4615" s="2">
        <v>7729.65</v>
      </c>
      <c r="G4615" s="3">
        <f t="shared" ref="G4615:G4678" si="218">C4615/C4614-1</f>
        <v>-1.4725330620549371E-2</v>
      </c>
      <c r="H4615" s="2">
        <f t="shared" si="216"/>
        <v>164.25</v>
      </c>
      <c r="I4615" s="3">
        <f t="shared" si="217"/>
        <v>2.0957472598981793E-2</v>
      </c>
    </row>
    <row r="4616" spans="2:9" x14ac:dyDescent="0.25">
      <c r="B4616" s="1">
        <v>41929</v>
      </c>
      <c r="C4616" s="2">
        <v>7779.7</v>
      </c>
      <c r="D4616" s="2">
        <v>7733.75</v>
      </c>
      <c r="E4616" s="2">
        <v>7819.2</v>
      </c>
      <c r="F4616" s="2">
        <v>7723.85</v>
      </c>
      <c r="G4616" s="3">
        <f t="shared" si="218"/>
        <v>4.065460364987894E-3</v>
      </c>
      <c r="H4616" s="2">
        <f t="shared" si="216"/>
        <v>95.349999999999454</v>
      </c>
      <c r="I4616" s="3">
        <f t="shared" si="217"/>
        <v>1.2329077097139093E-2</v>
      </c>
    </row>
    <row r="4617" spans="2:9" x14ac:dyDescent="0.25">
      <c r="B4617" s="1">
        <v>41932</v>
      </c>
      <c r="C4617" s="2">
        <v>7879.4</v>
      </c>
      <c r="D4617" s="2">
        <v>7896.95</v>
      </c>
      <c r="E4617" s="2">
        <v>7905.95</v>
      </c>
      <c r="F4617" s="2">
        <v>7856.95</v>
      </c>
      <c r="G4617" s="3">
        <f t="shared" si="218"/>
        <v>1.2815404192963786E-2</v>
      </c>
      <c r="H4617" s="2">
        <f t="shared" si="216"/>
        <v>49</v>
      </c>
      <c r="I4617" s="3">
        <f t="shared" si="217"/>
        <v>6.2049272187363474E-3</v>
      </c>
    </row>
    <row r="4618" spans="2:9" x14ac:dyDescent="0.25">
      <c r="B4618" s="1">
        <v>41933</v>
      </c>
      <c r="C4618" s="2">
        <v>7927.75</v>
      </c>
      <c r="D4618" s="2">
        <v>7906.15</v>
      </c>
      <c r="E4618" s="2">
        <v>7936.6</v>
      </c>
      <c r="F4618" s="2">
        <v>7874.35</v>
      </c>
      <c r="G4618" s="3">
        <f t="shared" si="218"/>
        <v>6.1362540294946921E-3</v>
      </c>
      <c r="H4618" s="2">
        <f t="shared" si="216"/>
        <v>62.25</v>
      </c>
      <c r="I4618" s="3">
        <f t="shared" si="217"/>
        <v>7.8736173738165865E-3</v>
      </c>
    </row>
    <row r="4619" spans="2:9" x14ac:dyDescent="0.25">
      <c r="B4619" s="1">
        <v>41934</v>
      </c>
      <c r="C4619" s="2">
        <v>7995.9</v>
      </c>
      <c r="D4619" s="2">
        <v>7997.8</v>
      </c>
      <c r="E4619" s="2">
        <v>8005</v>
      </c>
      <c r="F4619" s="2">
        <v>7974.55</v>
      </c>
      <c r="G4619" s="3">
        <f t="shared" si="218"/>
        <v>8.5963861120745833E-3</v>
      </c>
      <c r="H4619" s="2">
        <f t="shared" si="216"/>
        <v>30.449999999999818</v>
      </c>
      <c r="I4619" s="3">
        <f t="shared" si="217"/>
        <v>3.8072970066768135E-3</v>
      </c>
    </row>
    <row r="4620" spans="2:9" x14ac:dyDescent="0.25">
      <c r="B4620" s="1">
        <v>41935</v>
      </c>
      <c r="C4620" s="2">
        <v>8014.55</v>
      </c>
      <c r="D4620" s="2">
        <v>8027.7</v>
      </c>
      <c r="E4620" s="2">
        <v>8031.75</v>
      </c>
      <c r="F4620" s="2">
        <v>8008.85</v>
      </c>
      <c r="G4620" s="3">
        <f t="shared" si="218"/>
        <v>2.332445378256498E-3</v>
      </c>
      <c r="H4620" s="2">
        <f t="shared" si="216"/>
        <v>22.899999999999636</v>
      </c>
      <c r="I4620" s="3">
        <f t="shared" si="217"/>
        <v>2.8526227935771935E-3</v>
      </c>
    </row>
    <row r="4621" spans="2:9" x14ac:dyDescent="0.25">
      <c r="B4621" s="1">
        <v>41939</v>
      </c>
      <c r="C4621" s="2">
        <v>7991.7</v>
      </c>
      <c r="D4621" s="2">
        <v>8064.35</v>
      </c>
      <c r="E4621" s="2">
        <v>8064.4</v>
      </c>
      <c r="F4621" s="2">
        <v>7985.65</v>
      </c>
      <c r="G4621" s="3">
        <f t="shared" si="218"/>
        <v>-2.8510646262110972E-3</v>
      </c>
      <c r="H4621" s="2">
        <f t="shared" si="216"/>
        <v>78.75</v>
      </c>
      <c r="I4621" s="3">
        <f t="shared" si="217"/>
        <v>9.7652011631439595E-3</v>
      </c>
    </row>
    <row r="4622" spans="2:9" x14ac:dyDescent="0.25">
      <c r="B4622" s="1">
        <v>41940</v>
      </c>
      <c r="C4622" s="2">
        <v>8027.6</v>
      </c>
      <c r="D4622" s="2">
        <v>8002.4</v>
      </c>
      <c r="E4622" s="2">
        <v>8037.8</v>
      </c>
      <c r="F4622" s="2">
        <v>7995.05</v>
      </c>
      <c r="G4622" s="3">
        <f t="shared" si="218"/>
        <v>4.4921606166399286E-3</v>
      </c>
      <c r="H4622" s="2">
        <f t="shared" si="216"/>
        <v>42.75</v>
      </c>
      <c r="I4622" s="3">
        <f t="shared" si="217"/>
        <v>5.3421473557932623E-3</v>
      </c>
    </row>
    <row r="4623" spans="2:9" x14ac:dyDescent="0.25">
      <c r="B4623" s="1">
        <v>41941</v>
      </c>
      <c r="C4623" s="2">
        <v>8090.45</v>
      </c>
      <c r="D4623" s="2">
        <v>8077.05</v>
      </c>
      <c r="E4623" s="2">
        <v>8097.95</v>
      </c>
      <c r="F4623" s="2">
        <v>8052.25</v>
      </c>
      <c r="G4623" s="3">
        <f t="shared" si="218"/>
        <v>7.8292391250185389E-3</v>
      </c>
      <c r="H4623" s="2">
        <f t="shared" si="216"/>
        <v>45.699999999999818</v>
      </c>
      <c r="I4623" s="3">
        <f t="shared" si="217"/>
        <v>5.6580063265672265E-3</v>
      </c>
    </row>
    <row r="4624" spans="2:9" x14ac:dyDescent="0.25">
      <c r="B4624" s="1">
        <v>41942</v>
      </c>
      <c r="C4624" s="2">
        <v>8169.2</v>
      </c>
      <c r="D4624" s="2">
        <v>8085.2</v>
      </c>
      <c r="E4624" s="2">
        <v>8181.55</v>
      </c>
      <c r="F4624" s="2">
        <v>8085.2</v>
      </c>
      <c r="G4624" s="3">
        <f t="shared" si="218"/>
        <v>9.7336983727729365E-3</v>
      </c>
      <c r="H4624" s="2">
        <f t="shared" si="216"/>
        <v>96.350000000000364</v>
      </c>
      <c r="I4624" s="3">
        <f t="shared" si="217"/>
        <v>1.1916835699797205E-2</v>
      </c>
    </row>
    <row r="4625" spans="2:9" x14ac:dyDescent="0.25">
      <c r="B4625" s="1">
        <v>41943</v>
      </c>
      <c r="C4625" s="2">
        <v>8322.2000000000007</v>
      </c>
      <c r="D4625" s="2">
        <v>8200.7999999999993</v>
      </c>
      <c r="E4625" s="2">
        <v>8330.75</v>
      </c>
      <c r="F4625" s="2">
        <v>8198.0499999999993</v>
      </c>
      <c r="G4625" s="3">
        <f t="shared" si="218"/>
        <v>1.8728884101258503E-2</v>
      </c>
      <c r="H4625" s="2">
        <f t="shared" si="216"/>
        <v>132.70000000000073</v>
      </c>
      <c r="I4625" s="3">
        <f t="shared" si="217"/>
        <v>1.6181348161155098E-2</v>
      </c>
    </row>
    <row r="4626" spans="2:9" x14ac:dyDescent="0.25">
      <c r="B4626" s="1">
        <v>41946</v>
      </c>
      <c r="C4626" s="2">
        <v>8324.15</v>
      </c>
      <c r="D4626" s="2">
        <v>8348.15</v>
      </c>
      <c r="E4626" s="2">
        <v>8350.6</v>
      </c>
      <c r="F4626" s="2">
        <v>8297.65</v>
      </c>
      <c r="G4626" s="3">
        <f t="shared" si="218"/>
        <v>2.3431304222421012E-4</v>
      </c>
      <c r="H4626" s="2">
        <f t="shared" si="216"/>
        <v>52.950000000000728</v>
      </c>
      <c r="I4626" s="3">
        <f t="shared" si="217"/>
        <v>6.342722639147683E-3</v>
      </c>
    </row>
    <row r="4627" spans="2:9" x14ac:dyDescent="0.25">
      <c r="B4627" s="1">
        <v>41948</v>
      </c>
      <c r="C4627" s="2">
        <v>8338.2999999999993</v>
      </c>
      <c r="D4627" s="2">
        <v>8351.25</v>
      </c>
      <c r="E4627" s="2">
        <v>8365.5499999999993</v>
      </c>
      <c r="F4627" s="2">
        <v>8323.5</v>
      </c>
      <c r="G4627" s="3">
        <f t="shared" si="218"/>
        <v>1.6998732603328293E-3</v>
      </c>
      <c r="H4627" s="2">
        <f t="shared" si="216"/>
        <v>42.049999999999272</v>
      </c>
      <c r="I4627" s="3">
        <f t="shared" si="217"/>
        <v>5.0351743750934614E-3</v>
      </c>
    </row>
    <row r="4628" spans="2:9" x14ac:dyDescent="0.25">
      <c r="B4628" s="1">
        <v>41950</v>
      </c>
      <c r="C4628" s="2">
        <v>8337</v>
      </c>
      <c r="D4628" s="2">
        <v>8331.85</v>
      </c>
      <c r="E4628" s="2">
        <v>8360.35</v>
      </c>
      <c r="F4628" s="2">
        <v>8290.25</v>
      </c>
      <c r="G4628" s="3">
        <f t="shared" si="218"/>
        <v>-1.5590707938062387E-4</v>
      </c>
      <c r="H4628" s="2">
        <f t="shared" si="216"/>
        <v>70.100000000000364</v>
      </c>
      <c r="I4628" s="3">
        <f t="shared" si="217"/>
        <v>8.413497602573301E-3</v>
      </c>
    </row>
    <row r="4629" spans="2:9" x14ac:dyDescent="0.25">
      <c r="B4629" s="1">
        <v>41953</v>
      </c>
      <c r="C4629" s="2">
        <v>8344.25</v>
      </c>
      <c r="D4629" s="2">
        <v>8337.7999999999993</v>
      </c>
      <c r="E4629" s="2">
        <v>8383.0499999999993</v>
      </c>
      <c r="F4629" s="2">
        <v>8304.4500000000007</v>
      </c>
      <c r="G4629" s="3">
        <f t="shared" si="218"/>
        <v>8.6961736835799996E-4</v>
      </c>
      <c r="H4629" s="2">
        <f t="shared" si="216"/>
        <v>78.599999999998545</v>
      </c>
      <c r="I4629" s="3">
        <f t="shared" si="217"/>
        <v>9.4269471563240368E-3</v>
      </c>
    </row>
    <row r="4630" spans="2:9" x14ac:dyDescent="0.25">
      <c r="B4630" s="1">
        <v>41954</v>
      </c>
      <c r="C4630" s="2">
        <v>8362.65</v>
      </c>
      <c r="D4630" s="2">
        <v>8354.1</v>
      </c>
      <c r="E4630" s="2">
        <v>8378.7000000000007</v>
      </c>
      <c r="F4630" s="2">
        <v>8321.85</v>
      </c>
      <c r="G4630" s="3">
        <f t="shared" si="218"/>
        <v>2.2051113041914316E-3</v>
      </c>
      <c r="H4630" s="2">
        <f t="shared" si="216"/>
        <v>56.850000000000364</v>
      </c>
      <c r="I4630" s="3">
        <f t="shared" si="217"/>
        <v>6.8050418357453657E-3</v>
      </c>
    </row>
    <row r="4631" spans="2:9" x14ac:dyDescent="0.25">
      <c r="B4631" s="1">
        <v>41955</v>
      </c>
      <c r="C4631" s="2">
        <v>8383.2999999999993</v>
      </c>
      <c r="D4631" s="2">
        <v>8378.9</v>
      </c>
      <c r="E4631" s="2">
        <v>8415.0499999999993</v>
      </c>
      <c r="F4631" s="2">
        <v>8370.5</v>
      </c>
      <c r="G4631" s="3">
        <f t="shared" si="218"/>
        <v>2.4693129570172445E-3</v>
      </c>
      <c r="H4631" s="2">
        <f t="shared" si="216"/>
        <v>44.549999999999272</v>
      </c>
      <c r="I4631" s="3">
        <f t="shared" si="217"/>
        <v>5.3169270429291758E-3</v>
      </c>
    </row>
    <row r="4632" spans="2:9" x14ac:dyDescent="0.25">
      <c r="B4632" s="1">
        <v>41956</v>
      </c>
      <c r="C4632" s="2">
        <v>8357.85</v>
      </c>
      <c r="D4632" s="2">
        <v>8405.25</v>
      </c>
      <c r="E4632" s="2">
        <v>8408</v>
      </c>
      <c r="F4632" s="2">
        <v>8320.35</v>
      </c>
      <c r="G4632" s="3">
        <f t="shared" si="218"/>
        <v>-3.0357973590351417E-3</v>
      </c>
      <c r="H4632" s="2">
        <f t="shared" si="216"/>
        <v>87.649999999999636</v>
      </c>
      <c r="I4632" s="3">
        <f t="shared" si="217"/>
        <v>1.0428006305582776E-2</v>
      </c>
    </row>
    <row r="4633" spans="2:9" x14ac:dyDescent="0.25">
      <c r="B4633" s="1">
        <v>41957</v>
      </c>
      <c r="C4633" s="2">
        <v>8389.9</v>
      </c>
      <c r="D4633" s="2">
        <v>8360.7000000000007</v>
      </c>
      <c r="E4633" s="2">
        <v>8400.65</v>
      </c>
      <c r="F4633" s="2">
        <v>8346.7999999999993</v>
      </c>
      <c r="G4633" s="3">
        <f t="shared" si="218"/>
        <v>3.8347182588822637E-3</v>
      </c>
      <c r="H4633" s="2">
        <f t="shared" si="216"/>
        <v>53.850000000000364</v>
      </c>
      <c r="I4633" s="3">
        <f t="shared" si="217"/>
        <v>6.4408482543328142E-3</v>
      </c>
    </row>
    <row r="4634" spans="2:9" x14ac:dyDescent="0.25">
      <c r="B4634" s="1">
        <v>41960</v>
      </c>
      <c r="C4634" s="2">
        <v>8430.75</v>
      </c>
      <c r="D4634" s="2">
        <v>8378.4</v>
      </c>
      <c r="E4634" s="2">
        <v>8438.1</v>
      </c>
      <c r="F4634" s="2">
        <v>8349.1</v>
      </c>
      <c r="G4634" s="3">
        <f t="shared" si="218"/>
        <v>4.8689495703166941E-3</v>
      </c>
      <c r="H4634" s="2">
        <f t="shared" si="216"/>
        <v>89</v>
      </c>
      <c r="I4634" s="3">
        <f t="shared" si="217"/>
        <v>1.0622553232120692E-2</v>
      </c>
    </row>
    <row r="4635" spans="2:9" x14ac:dyDescent="0.25">
      <c r="B4635" s="1">
        <v>41961</v>
      </c>
      <c r="C4635" s="2">
        <v>8425.9</v>
      </c>
      <c r="D4635" s="2">
        <v>8441.25</v>
      </c>
      <c r="E4635" s="2">
        <v>8454.5</v>
      </c>
      <c r="F4635" s="2">
        <v>8407.25</v>
      </c>
      <c r="G4635" s="3">
        <f t="shared" si="218"/>
        <v>-5.7527503484278153E-4</v>
      </c>
      <c r="H4635" s="2">
        <f t="shared" si="216"/>
        <v>47.25</v>
      </c>
      <c r="I4635" s="3">
        <f t="shared" si="217"/>
        <v>5.5975122167925368E-3</v>
      </c>
    </row>
    <row r="4636" spans="2:9" x14ac:dyDescent="0.25">
      <c r="B4636" s="1">
        <v>41962</v>
      </c>
      <c r="C4636" s="2">
        <v>8382.2999999999993</v>
      </c>
      <c r="D4636" s="2">
        <v>8440.65</v>
      </c>
      <c r="E4636" s="2">
        <v>8455.65</v>
      </c>
      <c r="F4636" s="2">
        <v>8360.5</v>
      </c>
      <c r="G4636" s="3">
        <f t="shared" si="218"/>
        <v>-5.1745214161098563E-3</v>
      </c>
      <c r="H4636" s="2">
        <f t="shared" si="216"/>
        <v>95.149999999999636</v>
      </c>
      <c r="I4636" s="3">
        <f t="shared" si="217"/>
        <v>1.1272828514391622E-2</v>
      </c>
    </row>
    <row r="4637" spans="2:9" x14ac:dyDescent="0.25">
      <c r="B4637" s="1">
        <v>41963</v>
      </c>
      <c r="C4637" s="2">
        <v>8401.9</v>
      </c>
      <c r="D4637" s="2">
        <v>8406.5</v>
      </c>
      <c r="E4637" s="2">
        <v>8410.85</v>
      </c>
      <c r="F4637" s="2">
        <v>8353.15</v>
      </c>
      <c r="G4637" s="3">
        <f t="shared" si="218"/>
        <v>2.3382603819954717E-3</v>
      </c>
      <c r="H4637" s="2">
        <f t="shared" si="216"/>
        <v>57.700000000000728</v>
      </c>
      <c r="I4637" s="3">
        <f t="shared" si="217"/>
        <v>6.8637363944567568E-3</v>
      </c>
    </row>
    <row r="4638" spans="2:9" x14ac:dyDescent="0.25">
      <c r="B4638" s="1">
        <v>41964</v>
      </c>
      <c r="C4638" s="2">
        <v>8477.35</v>
      </c>
      <c r="D4638" s="2">
        <v>8408.2000000000007</v>
      </c>
      <c r="E4638" s="2">
        <v>8489.7999999999993</v>
      </c>
      <c r="F4638" s="2">
        <v>8398.6</v>
      </c>
      <c r="G4638" s="3">
        <f t="shared" si="218"/>
        <v>8.9801116414145454E-3</v>
      </c>
      <c r="H4638" s="2">
        <f t="shared" si="216"/>
        <v>91.199999999998909</v>
      </c>
      <c r="I4638" s="3">
        <f t="shared" si="217"/>
        <v>1.0846554553887741E-2</v>
      </c>
    </row>
    <row r="4639" spans="2:9" x14ac:dyDescent="0.25">
      <c r="B4639" s="1">
        <v>41967</v>
      </c>
      <c r="C4639" s="2">
        <v>8530.15</v>
      </c>
      <c r="D4639" s="2">
        <v>8490.9500000000007</v>
      </c>
      <c r="E4639" s="2">
        <v>8534.65</v>
      </c>
      <c r="F4639" s="2">
        <v>8490.7999999999993</v>
      </c>
      <c r="G4639" s="3">
        <f t="shared" si="218"/>
        <v>6.2283614572948842E-3</v>
      </c>
      <c r="H4639" s="2">
        <f t="shared" si="216"/>
        <v>43.850000000000364</v>
      </c>
      <c r="I4639" s="3">
        <f t="shared" si="217"/>
        <v>5.1643220134378791E-3</v>
      </c>
    </row>
    <row r="4640" spans="2:9" x14ac:dyDescent="0.25">
      <c r="B4640" s="1">
        <v>41968</v>
      </c>
      <c r="C4640" s="2">
        <v>8463.1</v>
      </c>
      <c r="D4640" s="2">
        <v>8530.7999999999993</v>
      </c>
      <c r="E4640" s="2">
        <v>8535.35</v>
      </c>
      <c r="F4640" s="2">
        <v>8429.4500000000007</v>
      </c>
      <c r="G4640" s="3">
        <f t="shared" si="218"/>
        <v>-7.8603541555540835E-3</v>
      </c>
      <c r="H4640" s="2">
        <f t="shared" si="216"/>
        <v>105.89999999999964</v>
      </c>
      <c r="I4640" s="3">
        <f t="shared" si="217"/>
        <v>1.2413841609227698E-2</v>
      </c>
    </row>
    <row r="4641" spans="2:9" x14ac:dyDescent="0.25">
      <c r="B4641" s="1">
        <v>41969</v>
      </c>
      <c r="C4641" s="2">
        <v>8475.75</v>
      </c>
      <c r="D4641" s="2">
        <v>8450.2999999999993</v>
      </c>
      <c r="E4641" s="2">
        <v>8500.2999999999993</v>
      </c>
      <c r="F4641" s="2">
        <v>8438.65</v>
      </c>
      <c r="G4641" s="3">
        <f t="shared" si="218"/>
        <v>1.4947241554512658E-3</v>
      </c>
      <c r="H4641" s="2">
        <f t="shared" si="216"/>
        <v>61.649999999999636</v>
      </c>
      <c r="I4641" s="3">
        <f t="shared" si="217"/>
        <v>7.295598972817491E-3</v>
      </c>
    </row>
    <row r="4642" spans="2:9" x14ac:dyDescent="0.25">
      <c r="B4642" s="1">
        <v>41970</v>
      </c>
      <c r="C4642" s="2">
        <v>8494.2000000000007</v>
      </c>
      <c r="D4642" s="2">
        <v>8477.7999999999993</v>
      </c>
      <c r="E4642" s="2">
        <v>8506.75</v>
      </c>
      <c r="F4642" s="2">
        <v>8456.35</v>
      </c>
      <c r="G4642" s="3">
        <f t="shared" si="218"/>
        <v>2.1767985134060197E-3</v>
      </c>
      <c r="H4642" s="2">
        <f t="shared" si="216"/>
        <v>50.399999999999636</v>
      </c>
      <c r="I4642" s="3">
        <f t="shared" si="217"/>
        <v>5.9449385453772957E-3</v>
      </c>
    </row>
    <row r="4643" spans="2:9" x14ac:dyDescent="0.25">
      <c r="B4643" s="1">
        <v>41971</v>
      </c>
      <c r="C4643" s="2">
        <v>8588.25</v>
      </c>
      <c r="D4643" s="2">
        <v>8516.7999999999993</v>
      </c>
      <c r="E4643" s="2">
        <v>8617</v>
      </c>
      <c r="F4643" s="2">
        <v>8516.25</v>
      </c>
      <c r="G4643" s="3">
        <f t="shared" si="218"/>
        <v>1.1072261072260892E-2</v>
      </c>
      <c r="H4643" s="2">
        <f t="shared" si="216"/>
        <v>100.75</v>
      </c>
      <c r="I4643" s="3">
        <f t="shared" si="217"/>
        <v>1.1829560398271653E-2</v>
      </c>
    </row>
    <row r="4644" spans="2:9" x14ac:dyDescent="0.25">
      <c r="B4644" s="1">
        <v>41974</v>
      </c>
      <c r="C4644" s="2">
        <v>8555.9</v>
      </c>
      <c r="D4644" s="2">
        <v>8605.1</v>
      </c>
      <c r="E4644" s="2">
        <v>8623</v>
      </c>
      <c r="F4644" s="2">
        <v>8545.15</v>
      </c>
      <c r="G4644" s="3">
        <f t="shared" si="218"/>
        <v>-3.7667743719617119E-3</v>
      </c>
      <c r="H4644" s="2">
        <f t="shared" si="216"/>
        <v>77.850000000000364</v>
      </c>
      <c r="I4644" s="3">
        <f t="shared" si="217"/>
        <v>9.0469605234105768E-3</v>
      </c>
    </row>
    <row r="4645" spans="2:9" x14ac:dyDescent="0.25">
      <c r="B4645" s="1">
        <v>41975</v>
      </c>
      <c r="C4645" s="2">
        <v>8524.7000000000007</v>
      </c>
      <c r="D4645" s="2">
        <v>8535.4500000000007</v>
      </c>
      <c r="E4645" s="2">
        <v>8560.2000000000007</v>
      </c>
      <c r="F4645" s="2">
        <v>8504.65</v>
      </c>
      <c r="G4645" s="3">
        <f t="shared" si="218"/>
        <v>-3.646606435325217E-3</v>
      </c>
      <c r="H4645" s="2">
        <f t="shared" si="216"/>
        <v>55.550000000001091</v>
      </c>
      <c r="I4645" s="3">
        <f t="shared" si="217"/>
        <v>6.5081512984085299E-3</v>
      </c>
    </row>
    <row r="4646" spans="2:9" x14ac:dyDescent="0.25">
      <c r="B4646" s="1">
        <v>41976</v>
      </c>
      <c r="C4646" s="2">
        <v>8537.65</v>
      </c>
      <c r="D4646" s="2">
        <v>8528.7000000000007</v>
      </c>
      <c r="E4646" s="2">
        <v>8546.9500000000007</v>
      </c>
      <c r="F4646" s="2">
        <v>8508.35</v>
      </c>
      <c r="G4646" s="3">
        <f t="shared" si="218"/>
        <v>1.5191150421713928E-3</v>
      </c>
      <c r="H4646" s="2">
        <f t="shared" si="216"/>
        <v>38.600000000000364</v>
      </c>
      <c r="I4646" s="3">
        <f t="shared" si="217"/>
        <v>4.5258949195071188E-3</v>
      </c>
    </row>
    <row r="4647" spans="2:9" x14ac:dyDescent="0.25">
      <c r="B4647" s="1">
        <v>41977</v>
      </c>
      <c r="C4647" s="2">
        <v>8564.4</v>
      </c>
      <c r="D4647" s="2">
        <v>8582.4</v>
      </c>
      <c r="E4647" s="2">
        <v>8626.9500000000007</v>
      </c>
      <c r="F4647" s="2">
        <v>8526.4</v>
      </c>
      <c r="G4647" s="3">
        <f t="shared" si="218"/>
        <v>3.1331806761814018E-3</v>
      </c>
      <c r="H4647" s="2">
        <f t="shared" si="216"/>
        <v>100.55000000000109</v>
      </c>
      <c r="I4647" s="3">
        <f t="shared" si="217"/>
        <v>1.1715837061894236E-2</v>
      </c>
    </row>
    <row r="4648" spans="2:9" x14ac:dyDescent="0.25">
      <c r="B4648" s="1">
        <v>41978</v>
      </c>
      <c r="C4648" s="2">
        <v>8538.2999999999993</v>
      </c>
      <c r="D4648" s="2">
        <v>8584.25</v>
      </c>
      <c r="E4648" s="2">
        <v>8588.35</v>
      </c>
      <c r="F4648" s="2">
        <v>8523.9</v>
      </c>
      <c r="G4648" s="3">
        <f t="shared" si="218"/>
        <v>-3.0474989491383608E-3</v>
      </c>
      <c r="H4648" s="2">
        <f t="shared" si="216"/>
        <v>64.450000000000728</v>
      </c>
      <c r="I4648" s="3">
        <f t="shared" si="217"/>
        <v>7.5079360456651112E-3</v>
      </c>
    </row>
    <row r="4649" spans="2:9" x14ac:dyDescent="0.25">
      <c r="B4649" s="1">
        <v>41981</v>
      </c>
      <c r="C4649" s="2">
        <v>8438.25</v>
      </c>
      <c r="D4649" s="2">
        <v>8538.65</v>
      </c>
      <c r="E4649" s="2">
        <v>8546.35</v>
      </c>
      <c r="F4649" s="2">
        <v>8432.25</v>
      </c>
      <c r="G4649" s="3">
        <f t="shared" si="218"/>
        <v>-1.1717789255472288E-2</v>
      </c>
      <c r="H4649" s="2">
        <f t="shared" si="216"/>
        <v>114.10000000000036</v>
      </c>
      <c r="I4649" s="3">
        <f t="shared" si="217"/>
        <v>1.3362768119082099E-2</v>
      </c>
    </row>
    <row r="4650" spans="2:9" x14ac:dyDescent="0.25">
      <c r="B4650" s="1">
        <v>41982</v>
      </c>
      <c r="C4650" s="2">
        <v>8340.7000000000007</v>
      </c>
      <c r="D4650" s="2">
        <v>8439.2999999999993</v>
      </c>
      <c r="E4650" s="2">
        <v>8444.5</v>
      </c>
      <c r="F4650" s="2">
        <v>8330.5</v>
      </c>
      <c r="G4650" s="3">
        <f t="shared" si="218"/>
        <v>-1.1560453885580468E-2</v>
      </c>
      <c r="H4650" s="2">
        <f t="shared" si="216"/>
        <v>114</v>
      </c>
      <c r="I4650" s="3">
        <f t="shared" si="217"/>
        <v>1.3508229355515268E-2</v>
      </c>
    </row>
    <row r="4651" spans="2:9" x14ac:dyDescent="0.25">
      <c r="B4651" s="1">
        <v>41983</v>
      </c>
      <c r="C4651" s="2">
        <v>8355.65</v>
      </c>
      <c r="D4651" s="2">
        <v>8318.0499999999993</v>
      </c>
      <c r="E4651" s="2">
        <v>8376.7999999999993</v>
      </c>
      <c r="F4651" s="2">
        <v>8317</v>
      </c>
      <c r="G4651" s="3">
        <f t="shared" si="218"/>
        <v>1.7924155046937784E-3</v>
      </c>
      <c r="H4651" s="2">
        <f t="shared" si="216"/>
        <v>59.799999999999272</v>
      </c>
      <c r="I4651" s="3">
        <f t="shared" si="217"/>
        <v>7.1891849652261381E-3</v>
      </c>
    </row>
    <row r="4652" spans="2:9" x14ac:dyDescent="0.25">
      <c r="B4652" s="1">
        <v>41984</v>
      </c>
      <c r="C4652" s="2">
        <v>8292.9</v>
      </c>
      <c r="D4652" s="2">
        <v>8338.85</v>
      </c>
      <c r="E4652" s="2">
        <v>8348.2999999999993</v>
      </c>
      <c r="F4652" s="2">
        <v>8272.4</v>
      </c>
      <c r="G4652" s="3">
        <f t="shared" si="218"/>
        <v>-7.5098885185472808E-3</v>
      </c>
      <c r="H4652" s="2">
        <f t="shared" si="216"/>
        <v>75.899999999999636</v>
      </c>
      <c r="I4652" s="3">
        <f t="shared" si="217"/>
        <v>9.1019744928856651E-3</v>
      </c>
    </row>
    <row r="4653" spans="2:9" x14ac:dyDescent="0.25">
      <c r="B4653" s="1">
        <v>41985</v>
      </c>
      <c r="C4653" s="2">
        <v>8224.1</v>
      </c>
      <c r="D4653" s="2">
        <v>8302</v>
      </c>
      <c r="E4653" s="2">
        <v>8321.9</v>
      </c>
      <c r="F4653" s="2">
        <v>8216.2999999999993</v>
      </c>
      <c r="G4653" s="3">
        <f t="shared" si="218"/>
        <v>-8.2962534216015626E-3</v>
      </c>
      <c r="H4653" s="2">
        <f t="shared" si="216"/>
        <v>105.60000000000036</v>
      </c>
      <c r="I4653" s="3">
        <f t="shared" si="217"/>
        <v>1.2719826547819847E-2</v>
      </c>
    </row>
    <row r="4654" spans="2:9" x14ac:dyDescent="0.25">
      <c r="B4654" s="1">
        <v>41988</v>
      </c>
      <c r="C4654" s="2">
        <v>8219.6</v>
      </c>
      <c r="D4654" s="2">
        <v>8160.75</v>
      </c>
      <c r="E4654" s="2">
        <v>8242.4</v>
      </c>
      <c r="F4654" s="2">
        <v>8152.5</v>
      </c>
      <c r="G4654" s="3">
        <f t="shared" si="218"/>
        <v>-5.471723349667057E-4</v>
      </c>
      <c r="H4654" s="2">
        <f t="shared" si="216"/>
        <v>89.899999999999636</v>
      </c>
      <c r="I4654" s="3">
        <f t="shared" si="217"/>
        <v>1.1016144349477638E-2</v>
      </c>
    </row>
    <row r="4655" spans="2:9" x14ac:dyDescent="0.25">
      <c r="B4655" s="1">
        <v>41989</v>
      </c>
      <c r="C4655" s="2">
        <v>8067.6</v>
      </c>
      <c r="D4655" s="2">
        <v>8172.6</v>
      </c>
      <c r="E4655" s="2">
        <v>8189.35</v>
      </c>
      <c r="F4655" s="2">
        <v>8052.6</v>
      </c>
      <c r="G4655" s="3">
        <f t="shared" si="218"/>
        <v>-1.8492384057618327E-2</v>
      </c>
      <c r="H4655" s="2">
        <f t="shared" si="216"/>
        <v>136.75</v>
      </c>
      <c r="I4655" s="3">
        <f t="shared" si="217"/>
        <v>1.6732741110540097E-2</v>
      </c>
    </row>
    <row r="4656" spans="2:9" x14ac:dyDescent="0.25">
      <c r="B4656" s="1">
        <v>41990</v>
      </c>
      <c r="C4656" s="2">
        <v>8029.8</v>
      </c>
      <c r="D4656" s="2">
        <v>8041.2</v>
      </c>
      <c r="E4656" s="2">
        <v>8082</v>
      </c>
      <c r="F4656" s="2">
        <v>7961.35</v>
      </c>
      <c r="G4656" s="3">
        <f t="shared" si="218"/>
        <v>-4.6854082998661895E-3</v>
      </c>
      <c r="H4656" s="2">
        <f t="shared" si="216"/>
        <v>120.64999999999964</v>
      </c>
      <c r="I4656" s="3">
        <f t="shared" si="217"/>
        <v>1.500397950554639E-2</v>
      </c>
    </row>
    <row r="4657" spans="2:9" x14ac:dyDescent="0.25">
      <c r="B4657" s="1">
        <v>41991</v>
      </c>
      <c r="C4657" s="2">
        <v>8159.3</v>
      </c>
      <c r="D4657" s="2">
        <v>8138.9</v>
      </c>
      <c r="E4657" s="2">
        <v>8174.3</v>
      </c>
      <c r="F4657" s="2">
        <v>8084.9</v>
      </c>
      <c r="G4657" s="3">
        <f t="shared" si="218"/>
        <v>1.6127425340606294E-2</v>
      </c>
      <c r="H4657" s="2">
        <f t="shared" si="216"/>
        <v>89.400000000000546</v>
      </c>
      <c r="I4657" s="3">
        <f t="shared" si="217"/>
        <v>1.0984285345685603E-2</v>
      </c>
    </row>
    <row r="4658" spans="2:9" x14ac:dyDescent="0.25">
      <c r="B4658" s="1">
        <v>41992</v>
      </c>
      <c r="C4658" s="2">
        <v>8225.2000000000007</v>
      </c>
      <c r="D4658" s="2">
        <v>8230.4500000000007</v>
      </c>
      <c r="E4658" s="2">
        <v>8263.4500000000007</v>
      </c>
      <c r="F4658" s="2">
        <v>8208.6</v>
      </c>
      <c r="G4658" s="3">
        <f t="shared" si="218"/>
        <v>8.0766732440282762E-3</v>
      </c>
      <c r="H4658" s="2">
        <f t="shared" si="216"/>
        <v>54.850000000000364</v>
      </c>
      <c r="I4658" s="3">
        <f t="shared" si="217"/>
        <v>6.6642771658901225E-3</v>
      </c>
    </row>
    <row r="4659" spans="2:9" x14ac:dyDescent="0.25">
      <c r="B4659" s="1">
        <v>41995</v>
      </c>
      <c r="C4659" s="2">
        <v>8324</v>
      </c>
      <c r="D4659" s="2">
        <v>8255</v>
      </c>
      <c r="E4659" s="2">
        <v>8330.9500000000007</v>
      </c>
      <c r="F4659" s="2">
        <v>8228.2000000000007</v>
      </c>
      <c r="G4659" s="3">
        <f t="shared" si="218"/>
        <v>1.2011865972863855E-2</v>
      </c>
      <c r="H4659" s="2">
        <f t="shared" si="216"/>
        <v>102.75</v>
      </c>
      <c r="I4659" s="3">
        <f t="shared" si="217"/>
        <v>1.2447001817080557E-2</v>
      </c>
    </row>
    <row r="4660" spans="2:9" x14ac:dyDescent="0.25">
      <c r="B4660" s="1">
        <v>41996</v>
      </c>
      <c r="C4660" s="2">
        <v>8267</v>
      </c>
      <c r="D4660" s="2">
        <v>8324.6</v>
      </c>
      <c r="E4660" s="2">
        <v>8364.75</v>
      </c>
      <c r="F4660" s="2">
        <v>8252.85</v>
      </c>
      <c r="G4660" s="3">
        <f t="shared" si="218"/>
        <v>-6.847669389716482E-3</v>
      </c>
      <c r="H4660" s="2">
        <f t="shared" si="216"/>
        <v>111.89999999999964</v>
      </c>
      <c r="I4660" s="3">
        <f t="shared" si="217"/>
        <v>1.3442087307498215E-2</v>
      </c>
    </row>
    <row r="4661" spans="2:9" x14ac:dyDescent="0.25">
      <c r="B4661" s="1">
        <v>41997</v>
      </c>
      <c r="C4661" s="2">
        <v>8174.1</v>
      </c>
      <c r="D4661" s="2">
        <v>8272.0499999999993</v>
      </c>
      <c r="E4661" s="2">
        <v>8286.4</v>
      </c>
      <c r="F4661" s="2">
        <v>8155.25</v>
      </c>
      <c r="G4661" s="3">
        <f t="shared" si="218"/>
        <v>-1.1237450102818403E-2</v>
      </c>
      <c r="H4661" s="2">
        <f t="shared" si="216"/>
        <v>131.14999999999964</v>
      </c>
      <c r="I4661" s="3">
        <f t="shared" si="217"/>
        <v>1.5854594689345403E-2</v>
      </c>
    </row>
    <row r="4662" spans="2:9" x14ac:dyDescent="0.25">
      <c r="B4662" s="1">
        <v>41999</v>
      </c>
      <c r="C4662" s="2">
        <v>8200.7000000000007</v>
      </c>
      <c r="D4662" s="2">
        <v>8204.7999999999993</v>
      </c>
      <c r="E4662" s="2">
        <v>8234.5499999999993</v>
      </c>
      <c r="F4662" s="2">
        <v>8147.95</v>
      </c>
      <c r="G4662" s="3">
        <f t="shared" si="218"/>
        <v>3.2541808884158918E-3</v>
      </c>
      <c r="H4662" s="2">
        <f t="shared" si="216"/>
        <v>86.599999999999454</v>
      </c>
      <c r="I4662" s="3">
        <f t="shared" si="217"/>
        <v>1.0554797191887609E-2</v>
      </c>
    </row>
    <row r="4663" spans="2:9" x14ac:dyDescent="0.25">
      <c r="B4663" s="1">
        <v>42002</v>
      </c>
      <c r="C4663" s="2">
        <v>8246.2999999999993</v>
      </c>
      <c r="D4663" s="2">
        <v>8214.7000000000007</v>
      </c>
      <c r="E4663" s="2">
        <v>8279.15</v>
      </c>
      <c r="F4663" s="2">
        <v>8214.7000000000007</v>
      </c>
      <c r="G4663" s="3">
        <f t="shared" si="218"/>
        <v>5.5605009328469901E-3</v>
      </c>
      <c r="H4663" s="2">
        <f t="shared" si="216"/>
        <v>64.449999999998909</v>
      </c>
      <c r="I4663" s="3">
        <f t="shared" si="217"/>
        <v>7.8456912607884535E-3</v>
      </c>
    </row>
    <row r="4664" spans="2:9" x14ac:dyDescent="0.25">
      <c r="B4664" s="1">
        <v>42003</v>
      </c>
      <c r="C4664" s="2">
        <v>8248.25</v>
      </c>
      <c r="D4664" s="2">
        <v>8260.2999999999993</v>
      </c>
      <c r="E4664" s="2">
        <v>8268.25</v>
      </c>
      <c r="F4664" s="2">
        <v>8220.5499999999993</v>
      </c>
      <c r="G4664" s="3">
        <f t="shared" si="218"/>
        <v>2.3646968943658031E-4</v>
      </c>
      <c r="H4664" s="2">
        <f t="shared" si="216"/>
        <v>47.700000000000728</v>
      </c>
      <c r="I4664" s="3">
        <f t="shared" si="217"/>
        <v>5.7746086703873625E-3</v>
      </c>
    </row>
    <row r="4665" spans="2:9" x14ac:dyDescent="0.25">
      <c r="B4665" s="1">
        <v>42004</v>
      </c>
      <c r="C4665" s="2">
        <v>8282.7000000000007</v>
      </c>
      <c r="D4665" s="2">
        <v>8243.9</v>
      </c>
      <c r="E4665" s="2">
        <v>8291</v>
      </c>
      <c r="F4665" s="2">
        <v>8243.75</v>
      </c>
      <c r="G4665" s="3">
        <f t="shared" si="218"/>
        <v>4.1766435304460003E-3</v>
      </c>
      <c r="H4665" s="2">
        <f t="shared" si="216"/>
        <v>47.25</v>
      </c>
      <c r="I4665" s="3">
        <f t="shared" si="217"/>
        <v>5.7315105714528317E-3</v>
      </c>
    </row>
    <row r="4666" spans="2:9" x14ac:dyDescent="0.25">
      <c r="B4666" s="1">
        <v>42005</v>
      </c>
      <c r="C4666" s="2">
        <v>8284</v>
      </c>
      <c r="D4666" s="2">
        <v>8272.7999999999993</v>
      </c>
      <c r="E4666" s="2">
        <v>8294.7000000000007</v>
      </c>
      <c r="F4666" s="2">
        <v>8248.75</v>
      </c>
      <c r="G4666" s="3">
        <f t="shared" si="218"/>
        <v>1.5695365037959874E-4</v>
      </c>
      <c r="H4666" s="2">
        <f t="shared" si="216"/>
        <v>45.950000000000728</v>
      </c>
      <c r="I4666" s="3">
        <f t="shared" si="217"/>
        <v>5.554346774973495E-3</v>
      </c>
    </row>
    <row r="4667" spans="2:9" x14ac:dyDescent="0.25">
      <c r="B4667" s="1">
        <v>42006</v>
      </c>
      <c r="C4667" s="2">
        <v>8395.4500000000007</v>
      </c>
      <c r="D4667" s="2">
        <v>8288.7000000000007</v>
      </c>
      <c r="E4667" s="2">
        <v>8410.6</v>
      </c>
      <c r="F4667" s="2">
        <v>8288.7000000000007</v>
      </c>
      <c r="G4667" s="3">
        <f t="shared" si="218"/>
        <v>1.3453645581844587E-2</v>
      </c>
      <c r="H4667" s="2">
        <f t="shared" si="216"/>
        <v>121.89999999999964</v>
      </c>
      <c r="I4667" s="3">
        <f t="shared" si="217"/>
        <v>1.4706769457212786E-2</v>
      </c>
    </row>
    <row r="4668" spans="2:9" x14ac:dyDescent="0.25">
      <c r="B4668" s="1">
        <v>42009</v>
      </c>
      <c r="C4668" s="2">
        <v>8378.4</v>
      </c>
      <c r="D4668" s="2">
        <v>8407.9500000000007</v>
      </c>
      <c r="E4668" s="2">
        <v>8445.6</v>
      </c>
      <c r="F4668" s="2">
        <v>8363.9</v>
      </c>
      <c r="G4668" s="3">
        <f t="shared" si="218"/>
        <v>-2.030861954987695E-3</v>
      </c>
      <c r="H4668" s="2">
        <f t="shared" si="216"/>
        <v>81.700000000000728</v>
      </c>
      <c r="I4668" s="3">
        <f t="shared" si="217"/>
        <v>9.7169940354070519E-3</v>
      </c>
    </row>
    <row r="4669" spans="2:9" x14ac:dyDescent="0.25">
      <c r="B4669" s="1">
        <v>42010</v>
      </c>
      <c r="C4669" s="2">
        <v>8127.35</v>
      </c>
      <c r="D4669" s="2">
        <v>8325.2999999999993</v>
      </c>
      <c r="E4669" s="2">
        <v>8327.85</v>
      </c>
      <c r="F4669" s="2">
        <v>8111.35</v>
      </c>
      <c r="G4669" s="3">
        <f t="shared" si="218"/>
        <v>-2.9963954931729098E-2</v>
      </c>
      <c r="H4669" s="2">
        <f t="shared" si="216"/>
        <v>216.5</v>
      </c>
      <c r="I4669" s="3">
        <f t="shared" si="217"/>
        <v>2.60050688864065E-2</v>
      </c>
    </row>
    <row r="4670" spans="2:9" x14ac:dyDescent="0.25">
      <c r="B4670" s="1">
        <v>42011</v>
      </c>
      <c r="C4670" s="2">
        <v>8102.1</v>
      </c>
      <c r="D4670" s="2">
        <v>8118.65</v>
      </c>
      <c r="E4670" s="2">
        <v>8151.2</v>
      </c>
      <c r="F4670" s="2">
        <v>8065.45</v>
      </c>
      <c r="G4670" s="3">
        <f t="shared" si="218"/>
        <v>-3.1067937273526747E-3</v>
      </c>
      <c r="H4670" s="2">
        <f t="shared" si="216"/>
        <v>85.75</v>
      </c>
      <c r="I4670" s="3">
        <f t="shared" si="217"/>
        <v>1.0562100841888739E-2</v>
      </c>
    </row>
    <row r="4671" spans="2:9" x14ac:dyDescent="0.25">
      <c r="B4671" s="1">
        <v>42012</v>
      </c>
      <c r="C4671" s="2">
        <v>8234.6</v>
      </c>
      <c r="D4671" s="2">
        <v>8191.4</v>
      </c>
      <c r="E4671" s="2">
        <v>8243.5</v>
      </c>
      <c r="F4671" s="2">
        <v>8167.3</v>
      </c>
      <c r="G4671" s="3">
        <f t="shared" si="218"/>
        <v>1.6353784821219186E-2</v>
      </c>
      <c r="H4671" s="2">
        <f t="shared" si="216"/>
        <v>76.199999999999818</v>
      </c>
      <c r="I4671" s="3">
        <f t="shared" si="217"/>
        <v>9.3024391434919328E-3</v>
      </c>
    </row>
    <row r="4672" spans="2:9" x14ac:dyDescent="0.25">
      <c r="B4672" s="1">
        <v>42013</v>
      </c>
      <c r="C4672" s="2">
        <v>8284.5</v>
      </c>
      <c r="D4672" s="2">
        <v>8285.4500000000007</v>
      </c>
      <c r="E4672" s="2">
        <v>8303.2999999999993</v>
      </c>
      <c r="F4672" s="2">
        <v>8190.8</v>
      </c>
      <c r="G4672" s="3">
        <f t="shared" si="218"/>
        <v>6.0597964685593642E-3</v>
      </c>
      <c r="H4672" s="2">
        <f t="shared" si="216"/>
        <v>112.49999999999909</v>
      </c>
      <c r="I4672" s="3">
        <f t="shared" si="217"/>
        <v>1.357801929889132E-2</v>
      </c>
    </row>
    <row r="4673" spans="2:9" x14ac:dyDescent="0.25">
      <c r="B4673" s="1">
        <v>42016</v>
      </c>
      <c r="C4673" s="2">
        <v>8323</v>
      </c>
      <c r="D4673" s="2">
        <v>8291.35</v>
      </c>
      <c r="E4673" s="2">
        <v>8332.6</v>
      </c>
      <c r="F4673" s="2">
        <v>8245.6</v>
      </c>
      <c r="G4673" s="3">
        <f t="shared" si="218"/>
        <v>4.6472327841149408E-3</v>
      </c>
      <c r="H4673" s="2">
        <f t="shared" si="216"/>
        <v>87</v>
      </c>
      <c r="I4673" s="3">
        <f t="shared" si="217"/>
        <v>1.0492863044015751E-2</v>
      </c>
    </row>
    <row r="4674" spans="2:9" x14ac:dyDescent="0.25">
      <c r="B4674" s="1">
        <v>42017</v>
      </c>
      <c r="C4674" s="2">
        <v>8299.4</v>
      </c>
      <c r="D4674" s="2">
        <v>8346.15</v>
      </c>
      <c r="E4674" s="2">
        <v>8356.65</v>
      </c>
      <c r="F4674" s="2">
        <v>8267.9</v>
      </c>
      <c r="G4674" s="3">
        <f t="shared" si="218"/>
        <v>-2.8355160398895185E-3</v>
      </c>
      <c r="H4674" s="2">
        <f t="shared" si="216"/>
        <v>88.75</v>
      </c>
      <c r="I4674" s="3">
        <f t="shared" si="217"/>
        <v>1.0633645453292836E-2</v>
      </c>
    </row>
    <row r="4675" spans="2:9" x14ac:dyDescent="0.25">
      <c r="B4675" s="1">
        <v>42018</v>
      </c>
      <c r="C4675" s="2">
        <v>8277.5499999999993</v>
      </c>
      <c r="D4675" s="2">
        <v>8307.25</v>
      </c>
      <c r="E4675" s="2">
        <v>8326.4500000000007</v>
      </c>
      <c r="F4675" s="2">
        <v>8236.65</v>
      </c>
      <c r="G4675" s="3">
        <f t="shared" si="218"/>
        <v>-2.6327204376220825E-3</v>
      </c>
      <c r="H4675" s="2">
        <f t="shared" si="216"/>
        <v>89.800000000001091</v>
      </c>
      <c r="I4675" s="3">
        <f t="shared" si="217"/>
        <v>1.0809834782870516E-2</v>
      </c>
    </row>
    <row r="4676" spans="2:9" x14ac:dyDescent="0.25">
      <c r="B4676" s="1">
        <v>42019</v>
      </c>
      <c r="C4676" s="2">
        <v>8494.15</v>
      </c>
      <c r="D4676" s="2">
        <v>8424.5</v>
      </c>
      <c r="E4676" s="2">
        <v>8527.1</v>
      </c>
      <c r="F4676" s="2">
        <v>8380.5499999999993</v>
      </c>
      <c r="G4676" s="3">
        <f t="shared" si="218"/>
        <v>2.6167162989048753E-2</v>
      </c>
      <c r="H4676" s="2">
        <f t="shared" si="216"/>
        <v>146.55000000000109</v>
      </c>
      <c r="I4676" s="3">
        <f t="shared" si="217"/>
        <v>1.7395691138940125E-2</v>
      </c>
    </row>
    <row r="4677" spans="2:9" x14ac:dyDescent="0.25">
      <c r="B4677" s="1">
        <v>42020</v>
      </c>
      <c r="C4677" s="2">
        <v>8513.7999999999993</v>
      </c>
      <c r="D4677" s="2">
        <v>8504.0499999999993</v>
      </c>
      <c r="E4677" s="2">
        <v>8530.75</v>
      </c>
      <c r="F4677" s="2">
        <v>8452.25</v>
      </c>
      <c r="G4677" s="3">
        <f t="shared" si="218"/>
        <v>2.3133568397073478E-3</v>
      </c>
      <c r="H4677" s="2">
        <f t="shared" ref="H4677:H4740" si="219">E4677-F4677</f>
        <v>78.5</v>
      </c>
      <c r="I4677" s="3">
        <f t="shared" si="217"/>
        <v>9.2308958672632467E-3</v>
      </c>
    </row>
    <row r="4678" spans="2:9" x14ac:dyDescent="0.25">
      <c r="B4678" s="1">
        <v>42023</v>
      </c>
      <c r="C4678" s="2">
        <v>8550.7000000000007</v>
      </c>
      <c r="D4678" s="2">
        <v>8550.0499999999993</v>
      </c>
      <c r="E4678" s="2">
        <v>8570.9500000000007</v>
      </c>
      <c r="F4678" s="2">
        <v>8531.5</v>
      </c>
      <c r="G4678" s="3">
        <f t="shared" si="218"/>
        <v>4.3341398670395659E-3</v>
      </c>
      <c r="H4678" s="2">
        <f t="shared" si="219"/>
        <v>39.450000000000728</v>
      </c>
      <c r="I4678" s="3">
        <f t="shared" ref="I4678:I4741" si="220">H4678/D4678</f>
        <v>4.6140081052158449E-3</v>
      </c>
    </row>
    <row r="4679" spans="2:9" x14ac:dyDescent="0.25">
      <c r="B4679" s="1">
        <v>42024</v>
      </c>
      <c r="C4679" s="2">
        <v>8695.6</v>
      </c>
      <c r="D4679" s="2">
        <v>8575.1</v>
      </c>
      <c r="E4679" s="2">
        <v>8707.9</v>
      </c>
      <c r="F4679" s="2">
        <v>8574.5</v>
      </c>
      <c r="G4679" s="3">
        <f t="shared" ref="G4679:G4742" si="221">C4679/C4678-1</f>
        <v>1.6945981030792812E-2</v>
      </c>
      <c r="H4679" s="2">
        <f t="shared" si="219"/>
        <v>133.39999999999964</v>
      </c>
      <c r="I4679" s="3">
        <f t="shared" si="220"/>
        <v>1.5556669893062428E-2</v>
      </c>
    </row>
    <row r="4680" spans="2:9" x14ac:dyDescent="0.25">
      <c r="B4680" s="1">
        <v>42025</v>
      </c>
      <c r="C4680" s="2">
        <v>8729.5</v>
      </c>
      <c r="D4680" s="2">
        <v>8719.65</v>
      </c>
      <c r="E4680" s="2">
        <v>8741.85</v>
      </c>
      <c r="F4680" s="2">
        <v>8689.6</v>
      </c>
      <c r="G4680" s="3">
        <f t="shared" si="221"/>
        <v>3.8985233911403849E-3</v>
      </c>
      <c r="H4680" s="2">
        <f t="shared" si="219"/>
        <v>52.25</v>
      </c>
      <c r="I4680" s="3">
        <f t="shared" si="220"/>
        <v>5.9922129902002953E-3</v>
      </c>
    </row>
    <row r="4681" spans="2:9" x14ac:dyDescent="0.25">
      <c r="B4681" s="1">
        <v>42026</v>
      </c>
      <c r="C4681" s="2">
        <v>8761.4</v>
      </c>
      <c r="D4681" s="2">
        <v>8745.85</v>
      </c>
      <c r="E4681" s="2">
        <v>8774.15</v>
      </c>
      <c r="F4681" s="2">
        <v>8727</v>
      </c>
      <c r="G4681" s="3">
        <f t="shared" si="221"/>
        <v>3.6542757317141739E-3</v>
      </c>
      <c r="H4681" s="2">
        <f t="shared" si="219"/>
        <v>47.149999999999636</v>
      </c>
      <c r="I4681" s="3">
        <f t="shared" si="220"/>
        <v>5.3911283637381882E-3</v>
      </c>
    </row>
    <row r="4682" spans="2:9" x14ac:dyDescent="0.25">
      <c r="B4682" s="1">
        <v>42027</v>
      </c>
      <c r="C4682" s="2">
        <v>8835.6</v>
      </c>
      <c r="D4682" s="2">
        <v>8827.9500000000007</v>
      </c>
      <c r="E4682" s="2">
        <v>8866.4</v>
      </c>
      <c r="F4682" s="2">
        <v>8795.4</v>
      </c>
      <c r="G4682" s="3">
        <f t="shared" si="221"/>
        <v>8.4689661469627975E-3</v>
      </c>
      <c r="H4682" s="2">
        <f t="shared" si="219"/>
        <v>71</v>
      </c>
      <c r="I4682" s="3">
        <f t="shared" si="220"/>
        <v>8.0426373053766719E-3</v>
      </c>
    </row>
    <row r="4683" spans="2:9" x14ac:dyDescent="0.25">
      <c r="B4683" s="1">
        <v>42031</v>
      </c>
      <c r="C4683" s="2">
        <v>8910.5</v>
      </c>
      <c r="D4683" s="2">
        <v>8871.35</v>
      </c>
      <c r="E4683" s="2">
        <v>8925.0499999999993</v>
      </c>
      <c r="F4683" s="2">
        <v>8825.4500000000007</v>
      </c>
      <c r="G4683" s="3">
        <f t="shared" si="221"/>
        <v>8.477070034858869E-3</v>
      </c>
      <c r="H4683" s="2">
        <f t="shared" si="219"/>
        <v>99.599999999998545</v>
      </c>
      <c r="I4683" s="3">
        <f t="shared" si="220"/>
        <v>1.1227152575425222E-2</v>
      </c>
    </row>
    <row r="4684" spans="2:9" x14ac:dyDescent="0.25">
      <c r="B4684" s="1">
        <v>42032</v>
      </c>
      <c r="C4684" s="2">
        <v>8914.2999999999993</v>
      </c>
      <c r="D4684" s="2">
        <v>8902.75</v>
      </c>
      <c r="E4684" s="2">
        <v>8985.0499999999993</v>
      </c>
      <c r="F4684" s="2">
        <v>8874.0499999999993</v>
      </c>
      <c r="G4684" s="3">
        <f t="shared" si="221"/>
        <v>4.2646316143857277E-4</v>
      </c>
      <c r="H4684" s="2">
        <f t="shared" si="219"/>
        <v>111</v>
      </c>
      <c r="I4684" s="3">
        <f t="shared" si="220"/>
        <v>1.2468057622644689E-2</v>
      </c>
    </row>
    <row r="4685" spans="2:9" x14ac:dyDescent="0.25">
      <c r="B4685" s="1">
        <v>42033</v>
      </c>
      <c r="C4685" s="2">
        <v>8952.35</v>
      </c>
      <c r="D4685" s="2">
        <v>8901.5</v>
      </c>
      <c r="E4685" s="2">
        <v>8966.65</v>
      </c>
      <c r="F4685" s="2">
        <v>8861.25</v>
      </c>
      <c r="G4685" s="3">
        <f t="shared" si="221"/>
        <v>4.2684226467586406E-3</v>
      </c>
      <c r="H4685" s="2">
        <f t="shared" si="219"/>
        <v>105.39999999999964</v>
      </c>
      <c r="I4685" s="3">
        <f t="shared" si="220"/>
        <v>1.1840701005448479E-2</v>
      </c>
    </row>
    <row r="4686" spans="2:9" x14ac:dyDescent="0.25">
      <c r="B4686" s="1">
        <v>42034</v>
      </c>
      <c r="C4686" s="2">
        <v>8808.9</v>
      </c>
      <c r="D4686" s="2">
        <v>8996.6</v>
      </c>
      <c r="E4686" s="2">
        <v>8996.6</v>
      </c>
      <c r="F4686" s="2">
        <v>8775.1</v>
      </c>
      <c r="G4686" s="3">
        <f t="shared" si="221"/>
        <v>-1.602372561394505E-2</v>
      </c>
      <c r="H4686" s="2">
        <f t="shared" si="219"/>
        <v>221.5</v>
      </c>
      <c r="I4686" s="3">
        <f t="shared" si="220"/>
        <v>2.4620412155703264E-2</v>
      </c>
    </row>
    <row r="4687" spans="2:9" x14ac:dyDescent="0.25">
      <c r="B4687" s="1">
        <v>42037</v>
      </c>
      <c r="C4687" s="2">
        <v>8797.4</v>
      </c>
      <c r="D4687" s="2">
        <v>8802.5</v>
      </c>
      <c r="E4687" s="2">
        <v>8840.7999999999993</v>
      </c>
      <c r="F4687" s="2">
        <v>8751.1</v>
      </c>
      <c r="G4687" s="3">
        <f t="shared" si="221"/>
        <v>-1.3054978487665458E-3</v>
      </c>
      <c r="H4687" s="2">
        <f t="shared" si="219"/>
        <v>89.699999999998909</v>
      </c>
      <c r="I4687" s="3">
        <f t="shared" si="220"/>
        <v>1.0190286850326488E-2</v>
      </c>
    </row>
    <row r="4688" spans="2:9" x14ac:dyDescent="0.25">
      <c r="B4688" s="1">
        <v>42038</v>
      </c>
      <c r="C4688" s="2">
        <v>8756.5499999999993</v>
      </c>
      <c r="D4688" s="2">
        <v>8823.15</v>
      </c>
      <c r="E4688" s="2">
        <v>8837.2999999999993</v>
      </c>
      <c r="F4688" s="2">
        <v>8726.65</v>
      </c>
      <c r="G4688" s="3">
        <f t="shared" si="221"/>
        <v>-4.643417373314862E-3</v>
      </c>
      <c r="H4688" s="2">
        <f t="shared" si="219"/>
        <v>110.64999999999964</v>
      </c>
      <c r="I4688" s="3">
        <f t="shared" si="220"/>
        <v>1.25408725908547E-2</v>
      </c>
    </row>
    <row r="4689" spans="2:9" x14ac:dyDescent="0.25">
      <c r="B4689" s="1">
        <v>42039</v>
      </c>
      <c r="C4689" s="2">
        <v>8723.7000000000007</v>
      </c>
      <c r="D4689" s="2">
        <v>8789.15</v>
      </c>
      <c r="E4689" s="2">
        <v>8792.85</v>
      </c>
      <c r="F4689" s="2">
        <v>8704.4</v>
      </c>
      <c r="G4689" s="3">
        <f t="shared" si="221"/>
        <v>-3.7514774654400229E-3</v>
      </c>
      <c r="H4689" s="2">
        <f t="shared" si="219"/>
        <v>88.450000000000728</v>
      </c>
      <c r="I4689" s="3">
        <f t="shared" si="220"/>
        <v>1.0063544256270599E-2</v>
      </c>
    </row>
    <row r="4690" spans="2:9" x14ac:dyDescent="0.25">
      <c r="B4690" s="1">
        <v>42040</v>
      </c>
      <c r="C4690" s="2">
        <v>8711.7000000000007</v>
      </c>
      <c r="D4690" s="2">
        <v>8733.1</v>
      </c>
      <c r="E4690" s="2">
        <v>8838.4500000000007</v>
      </c>
      <c r="F4690" s="2">
        <v>8683.65</v>
      </c>
      <c r="G4690" s="3">
        <f t="shared" si="221"/>
        <v>-1.3755631211527231E-3</v>
      </c>
      <c r="H4690" s="2">
        <f t="shared" si="219"/>
        <v>154.80000000000109</v>
      </c>
      <c r="I4690" s="3">
        <f t="shared" si="220"/>
        <v>1.7725664426148913E-2</v>
      </c>
    </row>
    <row r="4691" spans="2:9" x14ac:dyDescent="0.25">
      <c r="B4691" s="1">
        <v>42041</v>
      </c>
      <c r="C4691" s="2">
        <v>8661.0499999999993</v>
      </c>
      <c r="D4691" s="2">
        <v>8696.85</v>
      </c>
      <c r="E4691" s="2">
        <v>8726.2000000000007</v>
      </c>
      <c r="F4691" s="2">
        <v>8645.5499999999993</v>
      </c>
      <c r="G4691" s="3">
        <f t="shared" si="221"/>
        <v>-5.8140202256736773E-3</v>
      </c>
      <c r="H4691" s="2">
        <f t="shared" si="219"/>
        <v>80.650000000001455</v>
      </c>
      <c r="I4691" s="3">
        <f t="shared" si="220"/>
        <v>9.2734725791523889E-3</v>
      </c>
    </row>
    <row r="4692" spans="2:9" x14ac:dyDescent="0.25">
      <c r="B4692" s="1">
        <v>42044</v>
      </c>
      <c r="C4692" s="2">
        <v>8526.35</v>
      </c>
      <c r="D4692" s="2">
        <v>8584.4</v>
      </c>
      <c r="E4692" s="2">
        <v>8605.5499999999993</v>
      </c>
      <c r="F4692" s="2">
        <v>8516.35</v>
      </c>
      <c r="G4692" s="3">
        <f t="shared" si="221"/>
        <v>-1.5552386835314347E-2</v>
      </c>
      <c r="H4692" s="2">
        <f t="shared" si="219"/>
        <v>89.199999999998909</v>
      </c>
      <c r="I4692" s="3">
        <f t="shared" si="220"/>
        <v>1.0390941708214774E-2</v>
      </c>
    </row>
    <row r="4693" spans="2:9" x14ac:dyDescent="0.25">
      <c r="B4693" s="1">
        <v>42045</v>
      </c>
      <c r="C4693" s="2">
        <v>8565.5499999999993</v>
      </c>
      <c r="D4693" s="2">
        <v>8478.1</v>
      </c>
      <c r="E4693" s="2">
        <v>8646.25</v>
      </c>
      <c r="F4693" s="2">
        <v>8470.5</v>
      </c>
      <c r="G4693" s="3">
        <f t="shared" si="221"/>
        <v>4.5975124173882609E-3</v>
      </c>
      <c r="H4693" s="2">
        <f t="shared" si="219"/>
        <v>175.75</v>
      </c>
      <c r="I4693" s="3">
        <f t="shared" si="220"/>
        <v>2.072988051568158E-2</v>
      </c>
    </row>
    <row r="4694" spans="2:9" x14ac:dyDescent="0.25">
      <c r="B4694" s="1">
        <v>42046</v>
      </c>
      <c r="C4694" s="2">
        <v>8627.4</v>
      </c>
      <c r="D4694" s="2">
        <v>8603.2999999999993</v>
      </c>
      <c r="E4694" s="2">
        <v>8651.9500000000007</v>
      </c>
      <c r="F4694" s="2">
        <v>8593.65</v>
      </c>
      <c r="G4694" s="3">
        <f t="shared" si="221"/>
        <v>7.2207855887829187E-3</v>
      </c>
      <c r="H4694" s="2">
        <f t="shared" si="219"/>
        <v>58.300000000001091</v>
      </c>
      <c r="I4694" s="3">
        <f t="shared" si="220"/>
        <v>6.7764694942639564E-3</v>
      </c>
    </row>
    <row r="4695" spans="2:9" x14ac:dyDescent="0.25">
      <c r="B4695" s="1">
        <v>42047</v>
      </c>
      <c r="C4695" s="2">
        <v>8711.5499999999993</v>
      </c>
      <c r="D4695" s="2">
        <v>8676.9500000000007</v>
      </c>
      <c r="E4695" s="2">
        <v>8732.5499999999993</v>
      </c>
      <c r="F4695" s="2">
        <v>8599.25</v>
      </c>
      <c r="G4695" s="3">
        <f t="shared" si="221"/>
        <v>9.7538076361360915E-3</v>
      </c>
      <c r="H4695" s="2">
        <f t="shared" si="219"/>
        <v>133.29999999999927</v>
      </c>
      <c r="I4695" s="3">
        <f t="shared" si="220"/>
        <v>1.5362540985023454E-2</v>
      </c>
    </row>
    <row r="4696" spans="2:9" x14ac:dyDescent="0.25">
      <c r="B4696" s="1">
        <v>42048</v>
      </c>
      <c r="C4696" s="2">
        <v>8805.5</v>
      </c>
      <c r="D4696" s="2">
        <v>8741.5</v>
      </c>
      <c r="E4696" s="2">
        <v>8822.1</v>
      </c>
      <c r="F4696" s="2">
        <v>8729.65</v>
      </c>
      <c r="G4696" s="3">
        <f t="shared" si="221"/>
        <v>1.0784533177218725E-2</v>
      </c>
      <c r="H4696" s="2">
        <f t="shared" si="219"/>
        <v>92.450000000000728</v>
      </c>
      <c r="I4696" s="3">
        <f t="shared" si="220"/>
        <v>1.0575988102728449E-2</v>
      </c>
    </row>
    <row r="4697" spans="2:9" x14ac:dyDescent="0.25">
      <c r="B4697" s="1">
        <v>42051</v>
      </c>
      <c r="C4697" s="2">
        <v>8809.35</v>
      </c>
      <c r="D4697" s="2">
        <v>8831.4</v>
      </c>
      <c r="E4697" s="2">
        <v>8870.1</v>
      </c>
      <c r="F4697" s="2">
        <v>8793.4</v>
      </c>
      <c r="G4697" s="3">
        <f t="shared" si="221"/>
        <v>4.3722673329171791E-4</v>
      </c>
      <c r="H4697" s="2">
        <f t="shared" si="219"/>
        <v>76.700000000000728</v>
      </c>
      <c r="I4697" s="3">
        <f t="shared" si="220"/>
        <v>8.6849197182780457E-3</v>
      </c>
    </row>
    <row r="4698" spans="2:9" x14ac:dyDescent="0.25">
      <c r="B4698" s="1">
        <v>42053</v>
      </c>
      <c r="C4698" s="2">
        <v>8869.1</v>
      </c>
      <c r="D4698" s="2">
        <v>8811.5499999999993</v>
      </c>
      <c r="E4698" s="2">
        <v>8894.2999999999993</v>
      </c>
      <c r="F4698" s="2">
        <v>8808.9</v>
      </c>
      <c r="G4698" s="3">
        <f t="shared" si="221"/>
        <v>6.7825662506313389E-3</v>
      </c>
      <c r="H4698" s="2">
        <f t="shared" si="219"/>
        <v>85.399999999999636</v>
      </c>
      <c r="I4698" s="3">
        <f t="shared" si="220"/>
        <v>9.6918249343191203E-3</v>
      </c>
    </row>
    <row r="4699" spans="2:9" x14ac:dyDescent="0.25">
      <c r="B4699" s="1">
        <v>42054</v>
      </c>
      <c r="C4699" s="2">
        <v>8895.2999999999993</v>
      </c>
      <c r="D4699" s="2">
        <v>8883.0499999999993</v>
      </c>
      <c r="E4699" s="2">
        <v>8913.4500000000007</v>
      </c>
      <c r="F4699" s="2">
        <v>8794.4500000000007</v>
      </c>
      <c r="G4699" s="3">
        <f t="shared" si="221"/>
        <v>2.9540765128366342E-3</v>
      </c>
      <c r="H4699" s="2">
        <f t="shared" si="219"/>
        <v>119</v>
      </c>
      <c r="I4699" s="3">
        <f t="shared" si="220"/>
        <v>1.3396299694361735E-2</v>
      </c>
    </row>
    <row r="4700" spans="2:9" x14ac:dyDescent="0.25">
      <c r="B4700" s="1">
        <v>42055</v>
      </c>
      <c r="C4700" s="2">
        <v>8833.6</v>
      </c>
      <c r="D4700" s="2">
        <v>8895.5</v>
      </c>
      <c r="E4700" s="2">
        <v>8899.9500000000007</v>
      </c>
      <c r="F4700" s="2">
        <v>8816.2999999999993</v>
      </c>
      <c r="G4700" s="3">
        <f t="shared" si="221"/>
        <v>-6.9362472316840673E-3</v>
      </c>
      <c r="H4700" s="2">
        <f t="shared" si="219"/>
        <v>83.650000000001455</v>
      </c>
      <c r="I4700" s="3">
        <f t="shared" si="220"/>
        <v>9.4036310494071667E-3</v>
      </c>
    </row>
    <row r="4701" spans="2:9" x14ac:dyDescent="0.25">
      <c r="B4701" s="1">
        <v>42058</v>
      </c>
      <c r="C4701" s="2">
        <v>8754.9500000000007</v>
      </c>
      <c r="D4701" s="2">
        <v>8856.85</v>
      </c>
      <c r="E4701" s="2">
        <v>8869</v>
      </c>
      <c r="F4701" s="2">
        <v>8736.1</v>
      </c>
      <c r="G4701" s="3">
        <f t="shared" si="221"/>
        <v>-8.9035047998550221E-3</v>
      </c>
      <c r="H4701" s="2">
        <f t="shared" si="219"/>
        <v>132.89999999999964</v>
      </c>
      <c r="I4701" s="3">
        <f t="shared" si="220"/>
        <v>1.5005334853813673E-2</v>
      </c>
    </row>
    <row r="4702" spans="2:9" x14ac:dyDescent="0.25">
      <c r="B4702" s="1">
        <v>42059</v>
      </c>
      <c r="C4702" s="2">
        <v>8762.1</v>
      </c>
      <c r="D4702" s="2">
        <v>8772.9</v>
      </c>
      <c r="E4702" s="2">
        <v>8800.5</v>
      </c>
      <c r="F4702" s="2">
        <v>8726.75</v>
      </c>
      <c r="G4702" s="3">
        <f t="shared" si="221"/>
        <v>8.1668084911967753E-4</v>
      </c>
      <c r="H4702" s="2">
        <f t="shared" si="219"/>
        <v>73.75</v>
      </c>
      <c r="I4702" s="3">
        <f t="shared" si="220"/>
        <v>8.4065702333321942E-3</v>
      </c>
    </row>
    <row r="4703" spans="2:9" x14ac:dyDescent="0.25">
      <c r="B4703" s="1">
        <v>42060</v>
      </c>
      <c r="C4703" s="2">
        <v>8767.25</v>
      </c>
      <c r="D4703" s="2">
        <v>8801.9</v>
      </c>
      <c r="E4703" s="2">
        <v>8840.65</v>
      </c>
      <c r="F4703" s="2">
        <v>8751.4</v>
      </c>
      <c r="G4703" s="3">
        <f t="shared" si="221"/>
        <v>5.8775864233462372E-4</v>
      </c>
      <c r="H4703" s="2">
        <f t="shared" si="219"/>
        <v>89.25</v>
      </c>
      <c r="I4703" s="3">
        <f t="shared" si="220"/>
        <v>1.0139856167418399E-2</v>
      </c>
    </row>
    <row r="4704" spans="2:9" x14ac:dyDescent="0.25">
      <c r="B4704" s="1">
        <v>42061</v>
      </c>
      <c r="C4704" s="2">
        <v>8683.85</v>
      </c>
      <c r="D4704" s="2">
        <v>8779</v>
      </c>
      <c r="E4704" s="2">
        <v>8786.0499999999993</v>
      </c>
      <c r="F4704" s="2">
        <v>8669.4500000000007</v>
      </c>
      <c r="G4704" s="3">
        <f t="shared" si="221"/>
        <v>-9.512675012118943E-3</v>
      </c>
      <c r="H4704" s="2">
        <f t="shared" si="219"/>
        <v>116.59999999999854</v>
      </c>
      <c r="I4704" s="3">
        <f t="shared" si="220"/>
        <v>1.3281694953867017E-2</v>
      </c>
    </row>
    <row r="4705" spans="2:9" x14ac:dyDescent="0.25">
      <c r="B4705" s="1">
        <v>42062</v>
      </c>
      <c r="C4705" s="2">
        <v>8844.6</v>
      </c>
      <c r="D4705" s="2">
        <v>8729.5</v>
      </c>
      <c r="E4705" s="2">
        <v>8856.9500000000007</v>
      </c>
      <c r="F4705" s="2">
        <v>8717.4500000000007</v>
      </c>
      <c r="G4705" s="3">
        <f t="shared" si="221"/>
        <v>1.8511374563125793E-2</v>
      </c>
      <c r="H4705" s="2">
        <f t="shared" si="219"/>
        <v>139.5</v>
      </c>
      <c r="I4705" s="3">
        <f t="shared" si="220"/>
        <v>1.5980296695114266E-2</v>
      </c>
    </row>
    <row r="4706" spans="2:9" x14ac:dyDescent="0.25">
      <c r="B4706" s="1">
        <v>42063</v>
      </c>
      <c r="C4706" s="2">
        <v>8901.85</v>
      </c>
      <c r="D4706" s="2">
        <v>8913.0499999999993</v>
      </c>
      <c r="E4706" s="2">
        <v>8941.1</v>
      </c>
      <c r="F4706" s="2">
        <v>8751.35</v>
      </c>
      <c r="G4706" s="3">
        <f t="shared" si="221"/>
        <v>6.472876105194203E-3</v>
      </c>
      <c r="H4706" s="2">
        <f t="shared" si="219"/>
        <v>189.75</v>
      </c>
      <c r="I4706" s="3">
        <f t="shared" si="220"/>
        <v>2.1289008812920382E-2</v>
      </c>
    </row>
    <row r="4707" spans="2:9" x14ac:dyDescent="0.25">
      <c r="B4707" s="1">
        <v>42065</v>
      </c>
      <c r="C4707" s="2">
        <v>8956.75</v>
      </c>
      <c r="D4707" s="2">
        <v>8953.85</v>
      </c>
      <c r="E4707" s="2">
        <v>8972.35</v>
      </c>
      <c r="F4707" s="2">
        <v>8885.4500000000007</v>
      </c>
      <c r="G4707" s="3">
        <f t="shared" si="221"/>
        <v>6.1672573678503984E-3</v>
      </c>
      <c r="H4707" s="2">
        <f t="shared" si="219"/>
        <v>86.899999999999636</v>
      </c>
      <c r="I4707" s="3">
        <f t="shared" si="220"/>
        <v>9.7053222915281841E-3</v>
      </c>
    </row>
    <row r="4708" spans="2:9" x14ac:dyDescent="0.25">
      <c r="B4708" s="1">
        <v>42066</v>
      </c>
      <c r="C4708" s="2">
        <v>8996.25</v>
      </c>
      <c r="D4708" s="2">
        <v>8962.85</v>
      </c>
      <c r="E4708" s="2">
        <v>9008.4</v>
      </c>
      <c r="F4708" s="2">
        <v>8925.5499999999993</v>
      </c>
      <c r="G4708" s="3">
        <f t="shared" si="221"/>
        <v>4.4100817818963911E-3</v>
      </c>
      <c r="H4708" s="2">
        <f t="shared" si="219"/>
        <v>82.850000000000364</v>
      </c>
      <c r="I4708" s="3">
        <f t="shared" si="220"/>
        <v>9.2437115426455153E-3</v>
      </c>
    </row>
    <row r="4709" spans="2:9" x14ac:dyDescent="0.25">
      <c r="B4709" s="1">
        <v>42067</v>
      </c>
      <c r="C4709" s="2">
        <v>8922.65</v>
      </c>
      <c r="D4709" s="2">
        <v>9109.15</v>
      </c>
      <c r="E4709" s="2">
        <v>9119.2000000000007</v>
      </c>
      <c r="F4709" s="2">
        <v>8893.9500000000007</v>
      </c>
      <c r="G4709" s="3">
        <f t="shared" si="221"/>
        <v>-8.181186605530133E-3</v>
      </c>
      <c r="H4709" s="2">
        <f t="shared" si="219"/>
        <v>225.25</v>
      </c>
      <c r="I4709" s="3">
        <f t="shared" si="220"/>
        <v>2.4727883501753731E-2</v>
      </c>
    </row>
    <row r="4710" spans="2:9" x14ac:dyDescent="0.25">
      <c r="B4710" s="1">
        <v>42068</v>
      </c>
      <c r="C4710" s="2">
        <v>8937.75</v>
      </c>
      <c r="D4710" s="2">
        <v>8929.4</v>
      </c>
      <c r="E4710" s="2">
        <v>8957.5499999999993</v>
      </c>
      <c r="F4710" s="2">
        <v>8849.35</v>
      </c>
      <c r="G4710" s="3">
        <f t="shared" si="221"/>
        <v>1.6923223481812855E-3</v>
      </c>
      <c r="H4710" s="2">
        <f t="shared" si="219"/>
        <v>108.19999999999891</v>
      </c>
      <c r="I4710" s="3">
        <f t="shared" si="220"/>
        <v>1.2117275516831916E-2</v>
      </c>
    </row>
    <row r="4711" spans="2:9" x14ac:dyDescent="0.25">
      <c r="B4711" s="1">
        <v>42072</v>
      </c>
      <c r="C4711" s="2">
        <v>8756.75</v>
      </c>
      <c r="D4711" s="2">
        <v>8891.15</v>
      </c>
      <c r="E4711" s="2">
        <v>8891.2999999999993</v>
      </c>
      <c r="F4711" s="2">
        <v>8740.4500000000007</v>
      </c>
      <c r="G4711" s="3">
        <f t="shared" si="221"/>
        <v>-2.0251181785124861E-2</v>
      </c>
      <c r="H4711" s="2">
        <f t="shared" si="219"/>
        <v>150.84999999999854</v>
      </c>
      <c r="I4711" s="3">
        <f t="shared" si="220"/>
        <v>1.6966309195098332E-2</v>
      </c>
    </row>
    <row r="4712" spans="2:9" x14ac:dyDescent="0.25">
      <c r="B4712" s="1">
        <v>42073</v>
      </c>
      <c r="C4712" s="2">
        <v>8712.0499999999993</v>
      </c>
      <c r="D4712" s="2">
        <v>8769.75</v>
      </c>
      <c r="E4712" s="2">
        <v>8778</v>
      </c>
      <c r="F4712" s="2">
        <v>8677.35</v>
      </c>
      <c r="G4712" s="3">
        <f t="shared" si="221"/>
        <v>-5.1046335683901933E-3</v>
      </c>
      <c r="H4712" s="2">
        <f t="shared" si="219"/>
        <v>100.64999999999964</v>
      </c>
      <c r="I4712" s="3">
        <f t="shared" si="220"/>
        <v>1.1476952022577569E-2</v>
      </c>
    </row>
    <row r="4713" spans="2:9" x14ac:dyDescent="0.25">
      <c r="B4713" s="1">
        <v>42074</v>
      </c>
      <c r="C4713" s="2">
        <v>8699.9500000000007</v>
      </c>
      <c r="D4713" s="2">
        <v>8728.75</v>
      </c>
      <c r="E4713" s="2">
        <v>8755.6</v>
      </c>
      <c r="F4713" s="2">
        <v>8682.35</v>
      </c>
      <c r="G4713" s="3">
        <f t="shared" si="221"/>
        <v>-1.3888809178090877E-3</v>
      </c>
      <c r="H4713" s="2">
        <f t="shared" si="219"/>
        <v>73.25</v>
      </c>
      <c r="I4713" s="3">
        <f t="shared" si="220"/>
        <v>8.3918086782185305E-3</v>
      </c>
    </row>
    <row r="4714" spans="2:9" x14ac:dyDescent="0.25">
      <c r="B4714" s="1">
        <v>42075</v>
      </c>
      <c r="C4714" s="2">
        <v>8776</v>
      </c>
      <c r="D4714" s="2">
        <v>8740.65</v>
      </c>
      <c r="E4714" s="2">
        <v>8787.2000000000007</v>
      </c>
      <c r="F4714" s="2">
        <v>8732.9</v>
      </c>
      <c r="G4714" s="3">
        <f t="shared" si="221"/>
        <v>8.7414295484455895E-3</v>
      </c>
      <c r="H4714" s="2">
        <f t="shared" si="219"/>
        <v>54.300000000001091</v>
      </c>
      <c r="I4714" s="3">
        <f t="shared" si="220"/>
        <v>6.2123526282371559E-3</v>
      </c>
    </row>
    <row r="4715" spans="2:9" x14ac:dyDescent="0.25">
      <c r="B4715" s="1">
        <v>42076</v>
      </c>
      <c r="C4715" s="2">
        <v>8647.75</v>
      </c>
      <c r="D4715" s="2">
        <v>8844.0499999999993</v>
      </c>
      <c r="E4715" s="2">
        <v>8849.75</v>
      </c>
      <c r="F4715" s="2">
        <v>8631.75</v>
      </c>
      <c r="G4715" s="3">
        <f t="shared" si="221"/>
        <v>-1.4613719234275346E-2</v>
      </c>
      <c r="H4715" s="2">
        <f t="shared" si="219"/>
        <v>218</v>
      </c>
      <c r="I4715" s="3">
        <f t="shared" si="220"/>
        <v>2.4649340517070802E-2</v>
      </c>
    </row>
    <row r="4716" spans="2:9" x14ac:dyDescent="0.25">
      <c r="B4716" s="1">
        <v>42079</v>
      </c>
      <c r="C4716" s="2">
        <v>8633.15</v>
      </c>
      <c r="D4716" s="2">
        <v>8656.75</v>
      </c>
      <c r="E4716" s="2">
        <v>8663.5499999999993</v>
      </c>
      <c r="F4716" s="2">
        <v>8612</v>
      </c>
      <c r="G4716" s="3">
        <f t="shared" si="221"/>
        <v>-1.6883004249660383E-3</v>
      </c>
      <c r="H4716" s="2">
        <f t="shared" si="219"/>
        <v>51.549999999999272</v>
      </c>
      <c r="I4716" s="3">
        <f t="shared" si="220"/>
        <v>5.9548906922342994E-3</v>
      </c>
    </row>
    <row r="4717" spans="2:9" x14ac:dyDescent="0.25">
      <c r="B4717" s="1">
        <v>42080</v>
      </c>
      <c r="C4717" s="2">
        <v>8723.2999999999993</v>
      </c>
      <c r="D4717" s="2">
        <v>8689.1</v>
      </c>
      <c r="E4717" s="2">
        <v>8742.5499999999993</v>
      </c>
      <c r="F4717" s="2">
        <v>8630.7999999999993</v>
      </c>
      <c r="G4717" s="3">
        <f t="shared" si="221"/>
        <v>1.0442306689910419E-2</v>
      </c>
      <c r="H4717" s="2">
        <f t="shared" si="219"/>
        <v>111.75</v>
      </c>
      <c r="I4717" s="3">
        <f t="shared" si="220"/>
        <v>1.286094071883164E-2</v>
      </c>
    </row>
    <row r="4718" spans="2:9" x14ac:dyDescent="0.25">
      <c r="B4718" s="1">
        <v>42081</v>
      </c>
      <c r="C4718" s="2">
        <v>8685.9</v>
      </c>
      <c r="D4718" s="2">
        <v>8742.9</v>
      </c>
      <c r="E4718" s="2">
        <v>8747.25</v>
      </c>
      <c r="F4718" s="2">
        <v>8664</v>
      </c>
      <c r="G4718" s="3">
        <f t="shared" si="221"/>
        <v>-4.287368312450468E-3</v>
      </c>
      <c r="H4718" s="2">
        <f t="shared" si="219"/>
        <v>83.25</v>
      </c>
      <c r="I4718" s="3">
        <f t="shared" si="220"/>
        <v>9.5220121469992806E-3</v>
      </c>
    </row>
    <row r="4719" spans="2:9" x14ac:dyDescent="0.25">
      <c r="B4719" s="1">
        <v>42082</v>
      </c>
      <c r="C4719" s="2">
        <v>8634.65</v>
      </c>
      <c r="D4719" s="2">
        <v>8749.4500000000007</v>
      </c>
      <c r="E4719" s="2">
        <v>8788.2000000000007</v>
      </c>
      <c r="F4719" s="2">
        <v>8614.65</v>
      </c>
      <c r="G4719" s="3">
        <f t="shared" si="221"/>
        <v>-5.900367261884254E-3</v>
      </c>
      <c r="H4719" s="2">
        <f t="shared" si="219"/>
        <v>173.55000000000109</v>
      </c>
      <c r="I4719" s="3">
        <f t="shared" si="220"/>
        <v>1.9835532519187044E-2</v>
      </c>
    </row>
    <row r="4720" spans="2:9" x14ac:dyDescent="0.25">
      <c r="B4720" s="1">
        <v>42083</v>
      </c>
      <c r="C4720" s="2">
        <v>8570.9</v>
      </c>
      <c r="D4720" s="2">
        <v>8627.9</v>
      </c>
      <c r="E4720" s="2">
        <v>8627.9</v>
      </c>
      <c r="F4720" s="2">
        <v>8553</v>
      </c>
      <c r="G4720" s="3">
        <f t="shared" si="221"/>
        <v>-7.383043898710473E-3</v>
      </c>
      <c r="H4720" s="2">
        <f t="shared" si="219"/>
        <v>74.899999999999636</v>
      </c>
      <c r="I4720" s="3">
        <f t="shared" si="220"/>
        <v>8.6811390952606822E-3</v>
      </c>
    </row>
    <row r="4721" spans="2:9" x14ac:dyDescent="0.25">
      <c r="B4721" s="1">
        <v>42086</v>
      </c>
      <c r="C4721" s="2">
        <v>8550.9</v>
      </c>
      <c r="D4721" s="2">
        <v>8591.5499999999993</v>
      </c>
      <c r="E4721" s="2">
        <v>8608.35</v>
      </c>
      <c r="F4721" s="2">
        <v>8540.5499999999993</v>
      </c>
      <c r="G4721" s="3">
        <f t="shared" si="221"/>
        <v>-2.3334772310958929E-3</v>
      </c>
      <c r="H4721" s="2">
        <f t="shared" si="219"/>
        <v>67.800000000001091</v>
      </c>
      <c r="I4721" s="3">
        <f t="shared" si="220"/>
        <v>7.8914747629940003E-3</v>
      </c>
    </row>
    <row r="4722" spans="2:9" x14ac:dyDescent="0.25">
      <c r="B4722" s="1">
        <v>42087</v>
      </c>
      <c r="C4722" s="2">
        <v>8542.9500000000007</v>
      </c>
      <c r="D4722" s="2">
        <v>8537.0499999999993</v>
      </c>
      <c r="E4722" s="2">
        <v>8627.75</v>
      </c>
      <c r="F4722" s="2">
        <v>8535.85</v>
      </c>
      <c r="G4722" s="3">
        <f t="shared" si="221"/>
        <v>-9.2972669543545106E-4</v>
      </c>
      <c r="H4722" s="2">
        <f t="shared" si="219"/>
        <v>91.899999999999636</v>
      </c>
      <c r="I4722" s="3">
        <f t="shared" si="220"/>
        <v>1.0764842656421088E-2</v>
      </c>
    </row>
    <row r="4723" spans="2:9" x14ac:dyDescent="0.25">
      <c r="B4723" s="1">
        <v>42088</v>
      </c>
      <c r="C4723" s="2">
        <v>8530.7999999999993</v>
      </c>
      <c r="D4723" s="2">
        <v>8568.9</v>
      </c>
      <c r="E4723" s="2">
        <v>8573.75</v>
      </c>
      <c r="F4723" s="2">
        <v>8516.5499999999993</v>
      </c>
      <c r="G4723" s="3">
        <f t="shared" si="221"/>
        <v>-1.4222253437046195E-3</v>
      </c>
      <c r="H4723" s="2">
        <f t="shared" si="219"/>
        <v>57.200000000000728</v>
      </c>
      <c r="I4723" s="3">
        <f t="shared" si="220"/>
        <v>6.6753025475849558E-3</v>
      </c>
    </row>
    <row r="4724" spans="2:9" x14ac:dyDescent="0.25">
      <c r="B4724" s="1">
        <v>42089</v>
      </c>
      <c r="C4724" s="2">
        <v>8342.15</v>
      </c>
      <c r="D4724" s="2">
        <v>8474.9500000000007</v>
      </c>
      <c r="E4724" s="2">
        <v>8499.4500000000007</v>
      </c>
      <c r="F4724" s="2">
        <v>8325.35</v>
      </c>
      <c r="G4724" s="3">
        <f t="shared" si="221"/>
        <v>-2.2113986964880206E-2</v>
      </c>
      <c r="H4724" s="2">
        <f t="shared" si="219"/>
        <v>174.10000000000036</v>
      </c>
      <c r="I4724" s="3">
        <f t="shared" si="220"/>
        <v>2.0542894058372067E-2</v>
      </c>
    </row>
    <row r="4725" spans="2:9" x14ac:dyDescent="0.25">
      <c r="B4725" s="1">
        <v>42090</v>
      </c>
      <c r="C4725" s="2">
        <v>8341.4</v>
      </c>
      <c r="D4725" s="2">
        <v>8396</v>
      </c>
      <c r="E4725" s="2">
        <v>8413.2000000000007</v>
      </c>
      <c r="F4725" s="2">
        <v>8269.15</v>
      </c>
      <c r="G4725" s="3">
        <f t="shared" si="221"/>
        <v>-8.9904880636315632E-5</v>
      </c>
      <c r="H4725" s="2">
        <f t="shared" si="219"/>
        <v>144.05000000000109</v>
      </c>
      <c r="I4725" s="3">
        <f t="shared" si="220"/>
        <v>1.7156979514054441E-2</v>
      </c>
    </row>
    <row r="4726" spans="2:9" x14ac:dyDescent="0.25">
      <c r="B4726" s="1">
        <v>42093</v>
      </c>
      <c r="C4726" s="2">
        <v>8492.2999999999993</v>
      </c>
      <c r="D4726" s="2">
        <v>8390.9500000000007</v>
      </c>
      <c r="E4726" s="2">
        <v>8504.5499999999993</v>
      </c>
      <c r="F4726" s="2">
        <v>8380.75</v>
      </c>
      <c r="G4726" s="3">
        <f t="shared" si="221"/>
        <v>1.8090488407221716E-2</v>
      </c>
      <c r="H4726" s="2">
        <f t="shared" si="219"/>
        <v>123.79999999999927</v>
      </c>
      <c r="I4726" s="3">
        <f t="shared" si="220"/>
        <v>1.4753990906869813E-2</v>
      </c>
    </row>
    <row r="4727" spans="2:9" x14ac:dyDescent="0.25">
      <c r="B4727" s="1">
        <v>42094</v>
      </c>
      <c r="C4727" s="2">
        <v>8491</v>
      </c>
      <c r="D4727" s="2">
        <v>8527.6</v>
      </c>
      <c r="E4727" s="2">
        <v>8550.4500000000007</v>
      </c>
      <c r="F4727" s="2">
        <v>8454.15</v>
      </c>
      <c r="G4727" s="3">
        <f t="shared" si="221"/>
        <v>-1.5307984880408299E-4</v>
      </c>
      <c r="H4727" s="2">
        <f t="shared" si="219"/>
        <v>96.300000000001091</v>
      </c>
      <c r="I4727" s="3">
        <f t="shared" si="220"/>
        <v>1.12927435620809E-2</v>
      </c>
    </row>
    <row r="4728" spans="2:9" x14ac:dyDescent="0.25">
      <c r="B4728" s="1">
        <v>42095</v>
      </c>
      <c r="C4728" s="2">
        <v>8586.25</v>
      </c>
      <c r="D4728" s="2">
        <v>8483.7000000000007</v>
      </c>
      <c r="E4728" s="2">
        <v>8603.4</v>
      </c>
      <c r="F4728" s="2">
        <v>8464.75</v>
      </c>
      <c r="G4728" s="3">
        <f t="shared" si="221"/>
        <v>1.1217759981156483E-2</v>
      </c>
      <c r="H4728" s="2">
        <f t="shared" si="219"/>
        <v>138.64999999999964</v>
      </c>
      <c r="I4728" s="3">
        <f t="shared" si="220"/>
        <v>1.6343105013142806E-2</v>
      </c>
    </row>
    <row r="4729" spans="2:9" x14ac:dyDescent="0.25">
      <c r="B4729" s="1">
        <v>42100</v>
      </c>
      <c r="C4729" s="2">
        <v>8659.9</v>
      </c>
      <c r="D4729" s="2">
        <v>8615.7999999999993</v>
      </c>
      <c r="E4729" s="2">
        <v>8667.5499999999993</v>
      </c>
      <c r="F4729" s="2">
        <v>8573.75</v>
      </c>
      <c r="G4729" s="3">
        <f t="shared" si="221"/>
        <v>8.577667782792231E-3</v>
      </c>
      <c r="H4729" s="2">
        <f t="shared" si="219"/>
        <v>93.799999999999272</v>
      </c>
      <c r="I4729" s="3">
        <f t="shared" si="220"/>
        <v>1.0886975092272254E-2</v>
      </c>
    </row>
    <row r="4730" spans="2:9" x14ac:dyDescent="0.25">
      <c r="B4730" s="1">
        <v>42101</v>
      </c>
      <c r="C4730" s="2">
        <v>8660.2999999999993</v>
      </c>
      <c r="D4730" s="2">
        <v>8684.4500000000007</v>
      </c>
      <c r="E4730" s="2">
        <v>8693.6</v>
      </c>
      <c r="F4730" s="2">
        <v>8586.85</v>
      </c>
      <c r="G4730" s="3">
        <f t="shared" si="221"/>
        <v>4.6189909814087216E-5</v>
      </c>
      <c r="H4730" s="2">
        <f t="shared" si="219"/>
        <v>106.75</v>
      </c>
      <c r="I4730" s="3">
        <f t="shared" si="220"/>
        <v>1.2292085278860491E-2</v>
      </c>
    </row>
    <row r="4731" spans="2:9" x14ac:dyDescent="0.25">
      <c r="B4731" s="1">
        <v>42102</v>
      </c>
      <c r="C4731" s="2">
        <v>8714.4</v>
      </c>
      <c r="D4731" s="2">
        <v>8698.9500000000007</v>
      </c>
      <c r="E4731" s="2">
        <v>8730.5</v>
      </c>
      <c r="F4731" s="2">
        <v>8679.7999999999993</v>
      </c>
      <c r="G4731" s="3">
        <f t="shared" si="221"/>
        <v>6.2468967587727686E-3</v>
      </c>
      <c r="H4731" s="2">
        <f t="shared" si="219"/>
        <v>50.700000000000728</v>
      </c>
      <c r="I4731" s="3">
        <f t="shared" si="220"/>
        <v>5.8282896211612574E-3</v>
      </c>
    </row>
    <row r="4732" spans="2:9" x14ac:dyDescent="0.25">
      <c r="B4732" s="1">
        <v>42103</v>
      </c>
      <c r="C4732" s="2">
        <v>8778.2999999999993</v>
      </c>
      <c r="D4732" s="2">
        <v>8756.2000000000007</v>
      </c>
      <c r="E4732" s="2">
        <v>8785.5</v>
      </c>
      <c r="F4732" s="2">
        <v>8682.4500000000007</v>
      </c>
      <c r="G4732" s="3">
        <f t="shared" si="221"/>
        <v>7.3326907188102641E-3</v>
      </c>
      <c r="H4732" s="2">
        <f t="shared" si="219"/>
        <v>103.04999999999927</v>
      </c>
      <c r="I4732" s="3">
        <f t="shared" si="220"/>
        <v>1.1768803819008161E-2</v>
      </c>
    </row>
    <row r="4733" spans="2:9" x14ac:dyDescent="0.25">
      <c r="B4733" s="1">
        <v>42104</v>
      </c>
      <c r="C4733" s="2">
        <v>8780.35</v>
      </c>
      <c r="D4733" s="2">
        <v>8774.35</v>
      </c>
      <c r="E4733" s="2">
        <v>8787.4</v>
      </c>
      <c r="F4733" s="2">
        <v>8733.6</v>
      </c>
      <c r="G4733" s="3">
        <f t="shared" si="221"/>
        <v>2.3353041021612064E-4</v>
      </c>
      <c r="H4733" s="2">
        <f t="shared" si="219"/>
        <v>53.799999999999272</v>
      </c>
      <c r="I4733" s="3">
        <f t="shared" si="220"/>
        <v>6.1315083168552963E-3</v>
      </c>
    </row>
    <row r="4734" spans="2:9" x14ac:dyDescent="0.25">
      <c r="B4734" s="1">
        <v>42107</v>
      </c>
      <c r="C4734" s="2">
        <v>8834</v>
      </c>
      <c r="D4734" s="2">
        <v>8801.75</v>
      </c>
      <c r="E4734" s="2">
        <v>8841.65</v>
      </c>
      <c r="F4734" s="2">
        <v>8762.1</v>
      </c>
      <c r="G4734" s="3">
        <f t="shared" si="221"/>
        <v>6.1102347856292205E-3</v>
      </c>
      <c r="H4734" s="2">
        <f t="shared" si="219"/>
        <v>79.549999999999272</v>
      </c>
      <c r="I4734" s="3">
        <f t="shared" si="220"/>
        <v>9.0379754026187146E-3</v>
      </c>
    </row>
    <row r="4735" spans="2:9" x14ac:dyDescent="0.25">
      <c r="B4735" s="1">
        <v>42109</v>
      </c>
      <c r="C4735" s="2">
        <v>8750.2000000000007</v>
      </c>
      <c r="D4735" s="2">
        <v>8844.75</v>
      </c>
      <c r="E4735" s="2">
        <v>8844.7999999999993</v>
      </c>
      <c r="F4735" s="2">
        <v>8722.4</v>
      </c>
      <c r="G4735" s="3">
        <f t="shared" si="221"/>
        <v>-9.486076522526532E-3</v>
      </c>
      <c r="H4735" s="2">
        <f t="shared" si="219"/>
        <v>122.39999999999964</v>
      </c>
      <c r="I4735" s="3">
        <f t="shared" si="220"/>
        <v>1.3838717883490165E-2</v>
      </c>
    </row>
    <row r="4736" spans="2:9" x14ac:dyDescent="0.25">
      <c r="B4736" s="1">
        <v>42110</v>
      </c>
      <c r="C4736" s="2">
        <v>8706.7000000000007</v>
      </c>
      <c r="D4736" s="2">
        <v>8757.0499999999993</v>
      </c>
      <c r="E4736" s="2">
        <v>8760</v>
      </c>
      <c r="F4736" s="2">
        <v>8645.65</v>
      </c>
      <c r="G4736" s="3">
        <f t="shared" si="221"/>
        <v>-4.9713149413728175E-3</v>
      </c>
      <c r="H4736" s="2">
        <f t="shared" si="219"/>
        <v>114.35000000000036</v>
      </c>
      <c r="I4736" s="3">
        <f t="shared" si="220"/>
        <v>1.3058050370844105E-2</v>
      </c>
    </row>
    <row r="4737" spans="2:9" x14ac:dyDescent="0.25">
      <c r="B4737" s="1">
        <v>42111</v>
      </c>
      <c r="C4737" s="2">
        <v>8606</v>
      </c>
      <c r="D4737" s="2">
        <v>8698.0499999999993</v>
      </c>
      <c r="E4737" s="2">
        <v>8699.85</v>
      </c>
      <c r="F4737" s="2">
        <v>8596.7000000000007</v>
      </c>
      <c r="G4737" s="3">
        <f t="shared" si="221"/>
        <v>-1.1565805643929505E-2</v>
      </c>
      <c r="H4737" s="2">
        <f t="shared" si="219"/>
        <v>103.14999999999964</v>
      </c>
      <c r="I4737" s="3">
        <f t="shared" si="220"/>
        <v>1.1858979886296313E-2</v>
      </c>
    </row>
    <row r="4738" spans="2:9" x14ac:dyDescent="0.25">
      <c r="B4738" s="1">
        <v>42114</v>
      </c>
      <c r="C4738" s="2">
        <v>8448.1</v>
      </c>
      <c r="D4738" s="2">
        <v>8618.7999999999993</v>
      </c>
      <c r="E4738" s="2">
        <v>8619.9500000000007</v>
      </c>
      <c r="F4738" s="2">
        <v>8422.75</v>
      </c>
      <c r="G4738" s="3">
        <f t="shared" si="221"/>
        <v>-1.8347664420171883E-2</v>
      </c>
      <c r="H4738" s="2">
        <f t="shared" si="219"/>
        <v>197.20000000000073</v>
      </c>
      <c r="I4738" s="3">
        <f t="shared" si="220"/>
        <v>2.2880215343203315E-2</v>
      </c>
    </row>
    <row r="4739" spans="2:9" x14ac:dyDescent="0.25">
      <c r="B4739" s="1">
        <v>42115</v>
      </c>
      <c r="C4739" s="2">
        <v>8377.75</v>
      </c>
      <c r="D4739" s="2">
        <v>8416.1</v>
      </c>
      <c r="E4739" s="2">
        <v>8469.35</v>
      </c>
      <c r="F4739" s="2">
        <v>8352.7000000000007</v>
      </c>
      <c r="G4739" s="3">
        <f t="shared" si="221"/>
        <v>-8.3273162012760249E-3</v>
      </c>
      <c r="H4739" s="2">
        <f t="shared" si="219"/>
        <v>116.64999999999964</v>
      </c>
      <c r="I4739" s="3">
        <f t="shared" si="220"/>
        <v>1.3860339111940167E-2</v>
      </c>
    </row>
    <row r="4740" spans="2:9" x14ac:dyDescent="0.25">
      <c r="B4740" s="1">
        <v>42116</v>
      </c>
      <c r="C4740" s="2">
        <v>8429.7000000000007</v>
      </c>
      <c r="D4740" s="2">
        <v>8400.4</v>
      </c>
      <c r="E4740" s="2">
        <v>8449.9500000000007</v>
      </c>
      <c r="F4740" s="2">
        <v>8284.7000000000007</v>
      </c>
      <c r="G4740" s="3">
        <f t="shared" si="221"/>
        <v>6.2009489421384067E-3</v>
      </c>
      <c r="H4740" s="2">
        <f t="shared" si="219"/>
        <v>165.25</v>
      </c>
      <c r="I4740" s="3">
        <f t="shared" si="220"/>
        <v>1.9671682300842819E-2</v>
      </c>
    </row>
    <row r="4741" spans="2:9" x14ac:dyDescent="0.25">
      <c r="B4741" s="1">
        <v>42117</v>
      </c>
      <c r="C4741" s="2">
        <v>8398.2999999999993</v>
      </c>
      <c r="D4741" s="2">
        <v>8478.2000000000007</v>
      </c>
      <c r="E4741" s="2">
        <v>8504.9500000000007</v>
      </c>
      <c r="F4741" s="2">
        <v>8361.85</v>
      </c>
      <c r="G4741" s="3">
        <f t="shared" si="221"/>
        <v>-3.7249249676739593E-3</v>
      </c>
      <c r="H4741" s="2">
        <f t="shared" ref="H4741:H4804" si="222">E4741-F4741</f>
        <v>143.10000000000036</v>
      </c>
      <c r="I4741" s="3">
        <f t="shared" si="220"/>
        <v>1.6878582718029812E-2</v>
      </c>
    </row>
    <row r="4742" spans="2:9" x14ac:dyDescent="0.25">
      <c r="B4742" s="1">
        <v>42118</v>
      </c>
      <c r="C4742" s="2">
        <v>8305.25</v>
      </c>
      <c r="D4742" s="2">
        <v>8405.7000000000007</v>
      </c>
      <c r="E4742" s="2">
        <v>8413.2999999999993</v>
      </c>
      <c r="F4742" s="2">
        <v>8273.35</v>
      </c>
      <c r="G4742" s="3">
        <f t="shared" si="221"/>
        <v>-1.1079623257087667E-2</v>
      </c>
      <c r="H4742" s="2">
        <f t="shared" si="222"/>
        <v>139.94999999999891</v>
      </c>
      <c r="I4742" s="3">
        <f t="shared" ref="I4742:I4805" si="223">H4742/D4742</f>
        <v>1.6649416467396993E-2</v>
      </c>
    </row>
    <row r="4743" spans="2:9" x14ac:dyDescent="0.25">
      <c r="B4743" s="1">
        <v>42121</v>
      </c>
      <c r="C4743" s="2">
        <v>8213.7999999999993</v>
      </c>
      <c r="D4743" s="2">
        <v>8330.5499999999993</v>
      </c>
      <c r="E4743" s="2">
        <v>8334.4500000000007</v>
      </c>
      <c r="F4743" s="2">
        <v>8202.35</v>
      </c>
      <c r="G4743" s="3">
        <f t="shared" ref="G4743:G4806" si="224">C4743/C4742-1</f>
        <v>-1.101110743204603E-2</v>
      </c>
      <c r="H4743" s="2">
        <f t="shared" si="222"/>
        <v>132.10000000000036</v>
      </c>
      <c r="I4743" s="3">
        <f t="shared" si="223"/>
        <v>1.5857296336976596E-2</v>
      </c>
    </row>
    <row r="4744" spans="2:9" x14ac:dyDescent="0.25">
      <c r="B4744" s="1">
        <v>42122</v>
      </c>
      <c r="C4744" s="2">
        <v>8285.6</v>
      </c>
      <c r="D4744" s="2">
        <v>8215.5499999999993</v>
      </c>
      <c r="E4744" s="2">
        <v>8308</v>
      </c>
      <c r="F4744" s="2">
        <v>8185.15</v>
      </c>
      <c r="G4744" s="3">
        <f t="shared" si="224"/>
        <v>8.7413864471987957E-3</v>
      </c>
      <c r="H4744" s="2">
        <f t="shared" si="222"/>
        <v>122.85000000000036</v>
      </c>
      <c r="I4744" s="3">
        <f t="shared" si="223"/>
        <v>1.4953350658203088E-2</v>
      </c>
    </row>
    <row r="4745" spans="2:9" x14ac:dyDescent="0.25">
      <c r="B4745" s="1">
        <v>42123</v>
      </c>
      <c r="C4745" s="2">
        <v>8239.75</v>
      </c>
      <c r="D4745" s="2">
        <v>8274.7999999999993</v>
      </c>
      <c r="E4745" s="2">
        <v>8308.2000000000007</v>
      </c>
      <c r="F4745" s="2">
        <v>8219.2000000000007</v>
      </c>
      <c r="G4745" s="3">
        <f t="shared" si="224"/>
        <v>-5.5336970165106303E-3</v>
      </c>
      <c r="H4745" s="2">
        <f t="shared" si="222"/>
        <v>89</v>
      </c>
      <c r="I4745" s="3">
        <f t="shared" si="223"/>
        <v>1.0755546961860107E-2</v>
      </c>
    </row>
    <row r="4746" spans="2:9" x14ac:dyDescent="0.25">
      <c r="B4746" s="1">
        <v>42124</v>
      </c>
      <c r="C4746" s="2">
        <v>8181.5</v>
      </c>
      <c r="D4746" s="2">
        <v>8224.5</v>
      </c>
      <c r="E4746" s="2">
        <v>8229.4</v>
      </c>
      <c r="F4746" s="2">
        <v>8144.75</v>
      </c>
      <c r="G4746" s="3">
        <f t="shared" si="224"/>
        <v>-7.0693892411783921E-3</v>
      </c>
      <c r="H4746" s="2">
        <f t="shared" si="222"/>
        <v>84.649999999999636</v>
      </c>
      <c r="I4746" s="3">
        <f t="shared" si="223"/>
        <v>1.0292418992035946E-2</v>
      </c>
    </row>
    <row r="4747" spans="2:9" x14ac:dyDescent="0.25">
      <c r="B4747" s="1">
        <v>42128</v>
      </c>
      <c r="C4747" s="2">
        <v>8331.9500000000007</v>
      </c>
      <c r="D4747" s="2">
        <v>8230.0499999999993</v>
      </c>
      <c r="E4747" s="2">
        <v>8346</v>
      </c>
      <c r="F4747" s="2">
        <v>8220.4500000000007</v>
      </c>
      <c r="G4747" s="3">
        <f t="shared" si="224"/>
        <v>1.8389048462995827E-2</v>
      </c>
      <c r="H4747" s="2">
        <f t="shared" si="222"/>
        <v>125.54999999999927</v>
      </c>
      <c r="I4747" s="3">
        <f t="shared" si="223"/>
        <v>1.5255071354365926E-2</v>
      </c>
    </row>
    <row r="4748" spans="2:9" x14ac:dyDescent="0.25">
      <c r="B4748" s="1">
        <v>42129</v>
      </c>
      <c r="C4748" s="2">
        <v>8324.7999999999993</v>
      </c>
      <c r="D4748" s="2">
        <v>8338.4</v>
      </c>
      <c r="E4748" s="2">
        <v>8355.65</v>
      </c>
      <c r="F4748" s="2">
        <v>8280.6</v>
      </c>
      <c r="G4748" s="3">
        <f t="shared" si="224"/>
        <v>-8.5814245164717029E-4</v>
      </c>
      <c r="H4748" s="2">
        <f t="shared" si="222"/>
        <v>75.049999999999272</v>
      </c>
      <c r="I4748" s="3">
        <f t="shared" si="223"/>
        <v>9.0005276791709776E-3</v>
      </c>
    </row>
    <row r="4749" spans="2:9" x14ac:dyDescent="0.25">
      <c r="B4749" s="1">
        <v>42130</v>
      </c>
      <c r="C4749" s="2">
        <v>8097</v>
      </c>
      <c r="D4749" s="2">
        <v>8316.6</v>
      </c>
      <c r="E4749" s="2">
        <v>8331.9500000000007</v>
      </c>
      <c r="F4749" s="2">
        <v>8083</v>
      </c>
      <c r="G4749" s="3">
        <f t="shared" si="224"/>
        <v>-2.7364020757255303E-2</v>
      </c>
      <c r="H4749" s="2">
        <f t="shared" si="222"/>
        <v>248.95000000000073</v>
      </c>
      <c r="I4749" s="3">
        <f t="shared" si="223"/>
        <v>2.9934107688238069E-2</v>
      </c>
    </row>
    <row r="4750" spans="2:9" x14ac:dyDescent="0.25">
      <c r="B4750" s="1">
        <v>42131</v>
      </c>
      <c r="C4750" s="2">
        <v>8057.3</v>
      </c>
      <c r="D4750" s="2">
        <v>8077</v>
      </c>
      <c r="E4750" s="2">
        <v>8122.6</v>
      </c>
      <c r="F4750" s="2">
        <v>7997.15</v>
      </c>
      <c r="G4750" s="3">
        <f t="shared" si="224"/>
        <v>-4.9030505125354784E-3</v>
      </c>
      <c r="H4750" s="2">
        <f t="shared" si="222"/>
        <v>125.45000000000073</v>
      </c>
      <c r="I4750" s="3">
        <f t="shared" si="223"/>
        <v>1.5531756840411134E-2</v>
      </c>
    </row>
    <row r="4751" spans="2:9" x14ac:dyDescent="0.25">
      <c r="B4751" s="1">
        <v>42132</v>
      </c>
      <c r="C4751" s="2">
        <v>8191.5</v>
      </c>
      <c r="D4751" s="2">
        <v>8131.5</v>
      </c>
      <c r="E4751" s="2">
        <v>8224.9500000000007</v>
      </c>
      <c r="F4751" s="2">
        <v>8123.45</v>
      </c>
      <c r="G4751" s="3">
        <f t="shared" si="224"/>
        <v>1.6655703523512866E-2</v>
      </c>
      <c r="H4751" s="2">
        <f t="shared" si="222"/>
        <v>101.50000000000091</v>
      </c>
      <c r="I4751" s="3">
        <f t="shared" si="223"/>
        <v>1.2482321834839933E-2</v>
      </c>
    </row>
    <row r="4752" spans="2:9" x14ac:dyDescent="0.25">
      <c r="B4752" s="1">
        <v>42135</v>
      </c>
      <c r="C4752" s="2">
        <v>8325.25</v>
      </c>
      <c r="D4752" s="2">
        <v>8243.2000000000007</v>
      </c>
      <c r="E4752" s="2">
        <v>8332.75</v>
      </c>
      <c r="F4752" s="2">
        <v>8224.65</v>
      </c>
      <c r="G4752" s="3">
        <f t="shared" si="224"/>
        <v>1.6327900872856072E-2</v>
      </c>
      <c r="H4752" s="2">
        <f t="shared" si="222"/>
        <v>108.10000000000036</v>
      </c>
      <c r="I4752" s="3">
        <f t="shared" si="223"/>
        <v>1.3113839285714329E-2</v>
      </c>
    </row>
    <row r="4753" spans="2:9" x14ac:dyDescent="0.25">
      <c r="B4753" s="1">
        <v>42136</v>
      </c>
      <c r="C4753" s="2">
        <v>8126.95</v>
      </c>
      <c r="D4753" s="2">
        <v>8326.15</v>
      </c>
      <c r="E4753" s="2">
        <v>8326.65</v>
      </c>
      <c r="F4753" s="2">
        <v>8115.3</v>
      </c>
      <c r="G4753" s="3">
        <f t="shared" si="224"/>
        <v>-2.3819104531395463E-2</v>
      </c>
      <c r="H4753" s="2">
        <f t="shared" si="222"/>
        <v>211.34999999999945</v>
      </c>
      <c r="I4753" s="3">
        <f t="shared" si="223"/>
        <v>2.5383880905340338E-2</v>
      </c>
    </row>
    <row r="4754" spans="2:9" x14ac:dyDescent="0.25">
      <c r="B4754" s="1">
        <v>42137</v>
      </c>
      <c r="C4754" s="2">
        <v>8235.4500000000007</v>
      </c>
      <c r="D4754" s="2">
        <v>8181.55</v>
      </c>
      <c r="E4754" s="2">
        <v>8254.9500000000007</v>
      </c>
      <c r="F4754" s="2">
        <v>8089.8</v>
      </c>
      <c r="G4754" s="3">
        <f t="shared" si="224"/>
        <v>1.3350641999766433E-2</v>
      </c>
      <c r="H4754" s="2">
        <f t="shared" si="222"/>
        <v>165.15000000000055</v>
      </c>
      <c r="I4754" s="3">
        <f t="shared" si="223"/>
        <v>2.0185661641131638E-2</v>
      </c>
    </row>
    <row r="4755" spans="2:9" x14ac:dyDescent="0.25">
      <c r="B4755" s="1">
        <v>42138</v>
      </c>
      <c r="C4755" s="2">
        <v>8224.2000000000007</v>
      </c>
      <c r="D4755" s="2">
        <v>8232.4500000000007</v>
      </c>
      <c r="E4755" s="2">
        <v>8236.25</v>
      </c>
      <c r="F4755" s="2">
        <v>8137.3</v>
      </c>
      <c r="G4755" s="3">
        <f t="shared" si="224"/>
        <v>-1.3660455712802833E-3</v>
      </c>
      <c r="H4755" s="2">
        <f t="shared" si="222"/>
        <v>98.949999999999818</v>
      </c>
      <c r="I4755" s="3">
        <f t="shared" si="223"/>
        <v>1.2019508165855827E-2</v>
      </c>
    </row>
    <row r="4756" spans="2:9" x14ac:dyDescent="0.25">
      <c r="B4756" s="1">
        <v>42139</v>
      </c>
      <c r="C4756" s="2">
        <v>8262.35</v>
      </c>
      <c r="D4756" s="2">
        <v>8240.2999999999993</v>
      </c>
      <c r="E4756" s="2">
        <v>8279.2000000000007</v>
      </c>
      <c r="F4756" s="2">
        <v>8212.2000000000007</v>
      </c>
      <c r="G4756" s="3">
        <f t="shared" si="224"/>
        <v>4.6387490576591528E-3</v>
      </c>
      <c r="H4756" s="2">
        <f t="shared" si="222"/>
        <v>67</v>
      </c>
      <c r="I4756" s="3">
        <f t="shared" si="223"/>
        <v>8.1307719379148831E-3</v>
      </c>
    </row>
    <row r="4757" spans="2:9" x14ac:dyDescent="0.25">
      <c r="B4757" s="1">
        <v>42142</v>
      </c>
      <c r="C4757" s="2">
        <v>8373.65</v>
      </c>
      <c r="D4757" s="2">
        <v>8284.9500000000007</v>
      </c>
      <c r="E4757" s="2">
        <v>8384.6</v>
      </c>
      <c r="F4757" s="2">
        <v>8271.9500000000007</v>
      </c>
      <c r="G4757" s="3">
        <f t="shared" si="224"/>
        <v>1.3470743795651163E-2</v>
      </c>
      <c r="H4757" s="2">
        <f t="shared" si="222"/>
        <v>112.64999999999964</v>
      </c>
      <c r="I4757" s="3">
        <f t="shared" si="223"/>
        <v>1.3596943856028054E-2</v>
      </c>
    </row>
    <row r="4758" spans="2:9" x14ac:dyDescent="0.25">
      <c r="B4758" s="1">
        <v>42143</v>
      </c>
      <c r="C4758" s="2">
        <v>8365.65</v>
      </c>
      <c r="D4758" s="2">
        <v>8356.2000000000007</v>
      </c>
      <c r="E4758" s="2">
        <v>8427.7999999999993</v>
      </c>
      <c r="F4758" s="2">
        <v>8335</v>
      </c>
      <c r="G4758" s="3">
        <f t="shared" si="224"/>
        <v>-9.5537788180777294E-4</v>
      </c>
      <c r="H4758" s="2">
        <f t="shared" si="222"/>
        <v>92.799999999999272</v>
      </c>
      <c r="I4758" s="3">
        <f t="shared" si="223"/>
        <v>1.1105526435461007E-2</v>
      </c>
    </row>
    <row r="4759" spans="2:9" x14ac:dyDescent="0.25">
      <c r="B4759" s="1">
        <v>42144</v>
      </c>
      <c r="C4759" s="2">
        <v>8423.25</v>
      </c>
      <c r="D4759" s="2">
        <v>8392.65</v>
      </c>
      <c r="E4759" s="2">
        <v>8440.35</v>
      </c>
      <c r="F4759" s="2">
        <v>8391.4500000000007</v>
      </c>
      <c r="G4759" s="3">
        <f t="shared" si="224"/>
        <v>6.8852988112102498E-3</v>
      </c>
      <c r="H4759" s="2">
        <f t="shared" si="222"/>
        <v>48.899999999999636</v>
      </c>
      <c r="I4759" s="3">
        <f t="shared" si="223"/>
        <v>5.8265267823630965E-3</v>
      </c>
    </row>
    <row r="4760" spans="2:9" x14ac:dyDescent="0.25">
      <c r="B4760" s="1">
        <v>42145</v>
      </c>
      <c r="C4760" s="2">
        <v>8421</v>
      </c>
      <c r="D4760" s="2">
        <v>8434.5</v>
      </c>
      <c r="E4760" s="2">
        <v>8446.35</v>
      </c>
      <c r="F4760" s="2">
        <v>8382.5</v>
      </c>
      <c r="G4760" s="3">
        <f t="shared" si="224"/>
        <v>-2.6711779894939003E-4</v>
      </c>
      <c r="H4760" s="2">
        <f t="shared" si="222"/>
        <v>63.850000000000364</v>
      </c>
      <c r="I4760" s="3">
        <f t="shared" si="223"/>
        <v>7.5700989981623531E-3</v>
      </c>
    </row>
    <row r="4761" spans="2:9" x14ac:dyDescent="0.25">
      <c r="B4761" s="1">
        <v>42146</v>
      </c>
      <c r="C4761" s="2">
        <v>8458.9500000000007</v>
      </c>
      <c r="D4761" s="2">
        <v>8432.5</v>
      </c>
      <c r="E4761" s="2">
        <v>8489.5499999999993</v>
      </c>
      <c r="F4761" s="2">
        <v>8420.6</v>
      </c>
      <c r="G4761" s="3">
        <f t="shared" si="224"/>
        <v>4.5065906661918564E-3</v>
      </c>
      <c r="H4761" s="2">
        <f t="shared" si="222"/>
        <v>68.949999999998909</v>
      </c>
      <c r="I4761" s="3">
        <f t="shared" si="223"/>
        <v>8.1766973021048222E-3</v>
      </c>
    </row>
    <row r="4762" spans="2:9" x14ac:dyDescent="0.25">
      <c r="B4762" s="1">
        <v>42149</v>
      </c>
      <c r="C4762" s="2">
        <v>8370.25</v>
      </c>
      <c r="D4762" s="2">
        <v>8438.15</v>
      </c>
      <c r="E4762" s="2">
        <v>8441.9500000000007</v>
      </c>
      <c r="F4762" s="2">
        <v>8364.15</v>
      </c>
      <c r="G4762" s="3">
        <f t="shared" si="224"/>
        <v>-1.0485935015575265E-2</v>
      </c>
      <c r="H4762" s="2">
        <f t="shared" si="222"/>
        <v>77.800000000001091</v>
      </c>
      <c r="I4762" s="3">
        <f t="shared" si="223"/>
        <v>9.2200304569130791E-3</v>
      </c>
    </row>
    <row r="4763" spans="2:9" x14ac:dyDescent="0.25">
      <c r="B4763" s="1">
        <v>42150</v>
      </c>
      <c r="C4763" s="2">
        <v>8339.35</v>
      </c>
      <c r="D4763" s="2">
        <v>8377.1</v>
      </c>
      <c r="E4763" s="2">
        <v>8378.9</v>
      </c>
      <c r="F4763" s="2">
        <v>8320.0499999999993</v>
      </c>
      <c r="G4763" s="3">
        <f t="shared" si="224"/>
        <v>-3.6916460081837243E-3</v>
      </c>
      <c r="H4763" s="2">
        <f t="shared" si="222"/>
        <v>58.850000000000364</v>
      </c>
      <c r="I4763" s="3">
        <f t="shared" si="223"/>
        <v>7.0251041529885471E-3</v>
      </c>
    </row>
    <row r="4764" spans="2:9" x14ac:dyDescent="0.25">
      <c r="B4764" s="1">
        <v>42151</v>
      </c>
      <c r="C4764" s="2">
        <v>8334.6</v>
      </c>
      <c r="D4764" s="2">
        <v>8302.75</v>
      </c>
      <c r="E4764" s="2">
        <v>8342.85</v>
      </c>
      <c r="F4764" s="2">
        <v>8277.9500000000007</v>
      </c>
      <c r="G4764" s="3">
        <f t="shared" si="224"/>
        <v>-5.695887569174829E-4</v>
      </c>
      <c r="H4764" s="2">
        <f t="shared" si="222"/>
        <v>64.899999999999636</v>
      </c>
      <c r="I4764" s="3">
        <f t="shared" si="223"/>
        <v>7.816687242178752E-3</v>
      </c>
    </row>
    <row r="4765" spans="2:9" x14ac:dyDescent="0.25">
      <c r="B4765" s="1">
        <v>42152</v>
      </c>
      <c r="C4765" s="2">
        <v>8319</v>
      </c>
      <c r="D4765" s="2">
        <v>8345.7000000000007</v>
      </c>
      <c r="E4765" s="2">
        <v>8364.5</v>
      </c>
      <c r="F4765" s="2">
        <v>8270.15</v>
      </c>
      <c r="G4765" s="3">
        <f t="shared" si="224"/>
        <v>-1.871715499244142E-3</v>
      </c>
      <c r="H4765" s="2">
        <f t="shared" si="222"/>
        <v>94.350000000000364</v>
      </c>
      <c r="I4765" s="3">
        <f t="shared" si="223"/>
        <v>1.1305223048995333E-2</v>
      </c>
    </row>
    <row r="4766" spans="2:9" x14ac:dyDescent="0.25">
      <c r="B4766" s="1">
        <v>42153</v>
      </c>
      <c r="C4766" s="2">
        <v>8433.65</v>
      </c>
      <c r="D4766" s="2">
        <v>8327.1</v>
      </c>
      <c r="E4766" s="2">
        <v>8443.9</v>
      </c>
      <c r="F4766" s="2">
        <v>8305.7000000000007</v>
      </c>
      <c r="G4766" s="3">
        <f t="shared" si="224"/>
        <v>1.3781704531794725E-2</v>
      </c>
      <c r="H4766" s="2">
        <f t="shared" si="222"/>
        <v>138.19999999999891</v>
      </c>
      <c r="I4766" s="3">
        <f t="shared" si="223"/>
        <v>1.6596414117759951E-2</v>
      </c>
    </row>
    <row r="4767" spans="2:9" x14ac:dyDescent="0.25">
      <c r="B4767" s="1">
        <v>42156</v>
      </c>
      <c r="C4767" s="2">
        <v>8433.4</v>
      </c>
      <c r="D4767" s="2">
        <v>8417.25</v>
      </c>
      <c r="E4767" s="2">
        <v>8467.15</v>
      </c>
      <c r="F4767" s="2">
        <v>8405.4</v>
      </c>
      <c r="G4767" s="3">
        <f t="shared" si="224"/>
        <v>-2.9643155691760903E-5</v>
      </c>
      <c r="H4767" s="2">
        <f t="shared" si="222"/>
        <v>61.75</v>
      </c>
      <c r="I4767" s="3">
        <f t="shared" si="223"/>
        <v>7.3361252190442244E-3</v>
      </c>
    </row>
    <row r="4768" spans="2:9" x14ac:dyDescent="0.25">
      <c r="B4768" s="1">
        <v>42157</v>
      </c>
      <c r="C4768" s="2">
        <v>8236.4500000000007</v>
      </c>
      <c r="D4768" s="2">
        <v>8442.7999999999993</v>
      </c>
      <c r="E4768" s="2">
        <v>8445.35</v>
      </c>
      <c r="F4768" s="2">
        <v>8226.0499999999993</v>
      </c>
      <c r="G4768" s="3">
        <f t="shared" si="224"/>
        <v>-2.3353570327507178E-2</v>
      </c>
      <c r="H4768" s="2">
        <f t="shared" si="222"/>
        <v>219.30000000000109</v>
      </c>
      <c r="I4768" s="3">
        <f t="shared" si="223"/>
        <v>2.5974795091675881E-2</v>
      </c>
    </row>
    <row r="4769" spans="2:9" x14ac:dyDescent="0.25">
      <c r="B4769" s="1">
        <v>42158</v>
      </c>
      <c r="C4769" s="2">
        <v>8135.1</v>
      </c>
      <c r="D4769" s="2">
        <v>8232.4500000000007</v>
      </c>
      <c r="E4769" s="2">
        <v>8236.7000000000007</v>
      </c>
      <c r="F4769" s="2">
        <v>8094.15</v>
      </c>
      <c r="G4769" s="3">
        <f t="shared" si="224"/>
        <v>-1.2305058611416397E-2</v>
      </c>
      <c r="H4769" s="2">
        <f t="shared" si="222"/>
        <v>142.55000000000109</v>
      </c>
      <c r="I4769" s="3">
        <f t="shared" si="223"/>
        <v>1.73156229312053E-2</v>
      </c>
    </row>
    <row r="4770" spans="2:9" x14ac:dyDescent="0.25">
      <c r="B4770" s="1">
        <v>42159</v>
      </c>
      <c r="C4770" s="2">
        <v>8130.65</v>
      </c>
      <c r="D4770" s="2">
        <v>8155.15</v>
      </c>
      <c r="E4770" s="2">
        <v>8160.05</v>
      </c>
      <c r="F4770" s="2">
        <v>8056.75</v>
      </c>
      <c r="G4770" s="3">
        <f t="shared" si="224"/>
        <v>-5.4701232928922039E-4</v>
      </c>
      <c r="H4770" s="2">
        <f t="shared" si="222"/>
        <v>103.30000000000018</v>
      </c>
      <c r="I4770" s="3">
        <f t="shared" si="223"/>
        <v>1.2666842424725502E-2</v>
      </c>
    </row>
    <row r="4771" spans="2:9" x14ac:dyDescent="0.25">
      <c r="B4771" s="1">
        <v>42160</v>
      </c>
      <c r="C4771" s="2">
        <v>8114.7</v>
      </c>
      <c r="D4771" s="2">
        <v>8119.15</v>
      </c>
      <c r="E4771" s="2">
        <v>8191</v>
      </c>
      <c r="F4771" s="2">
        <v>8100.15</v>
      </c>
      <c r="G4771" s="3">
        <f t="shared" si="224"/>
        <v>-1.961712778191127E-3</v>
      </c>
      <c r="H4771" s="2">
        <f t="shared" si="222"/>
        <v>90.850000000000364</v>
      </c>
      <c r="I4771" s="3">
        <f t="shared" si="223"/>
        <v>1.1189594969916847E-2</v>
      </c>
    </row>
    <row r="4772" spans="2:9" x14ac:dyDescent="0.25">
      <c r="B4772" s="1">
        <v>42163</v>
      </c>
      <c r="C4772" s="2">
        <v>8044.15</v>
      </c>
      <c r="D4772" s="2">
        <v>8124.35</v>
      </c>
      <c r="E4772" s="2">
        <v>8131</v>
      </c>
      <c r="F4772" s="2">
        <v>8030.55</v>
      </c>
      <c r="G4772" s="3">
        <f t="shared" si="224"/>
        <v>-8.6940983646961456E-3</v>
      </c>
      <c r="H4772" s="2">
        <f t="shared" si="222"/>
        <v>100.44999999999982</v>
      </c>
      <c r="I4772" s="3">
        <f t="shared" si="223"/>
        <v>1.2364066048360768E-2</v>
      </c>
    </row>
    <row r="4773" spans="2:9" x14ac:dyDescent="0.25">
      <c r="B4773" s="1">
        <v>42164</v>
      </c>
      <c r="C4773" s="2">
        <v>8022.4</v>
      </c>
      <c r="D4773" s="2">
        <v>8026.5</v>
      </c>
      <c r="E4773" s="2">
        <v>8057.15</v>
      </c>
      <c r="F4773" s="2">
        <v>8005.15</v>
      </c>
      <c r="G4773" s="3">
        <f t="shared" si="224"/>
        <v>-2.7038282478570874E-3</v>
      </c>
      <c r="H4773" s="2">
        <f t="shared" si="222"/>
        <v>52</v>
      </c>
      <c r="I4773" s="3">
        <f t="shared" si="223"/>
        <v>6.4785398367906309E-3</v>
      </c>
    </row>
    <row r="4774" spans="2:9" x14ac:dyDescent="0.25">
      <c r="B4774" s="1">
        <v>42165</v>
      </c>
      <c r="C4774" s="2">
        <v>8124.45</v>
      </c>
      <c r="D4774" s="2">
        <v>8024.15</v>
      </c>
      <c r="E4774" s="2">
        <v>8152.25</v>
      </c>
      <c r="F4774" s="2">
        <v>8023.8</v>
      </c>
      <c r="G4774" s="3">
        <f t="shared" si="224"/>
        <v>1.2720632229756612E-2</v>
      </c>
      <c r="H4774" s="2">
        <f t="shared" si="222"/>
        <v>128.44999999999982</v>
      </c>
      <c r="I4774" s="3">
        <f t="shared" si="223"/>
        <v>1.6007926073166607E-2</v>
      </c>
    </row>
    <row r="4775" spans="2:9" x14ac:dyDescent="0.25">
      <c r="B4775" s="1">
        <v>42166</v>
      </c>
      <c r="C4775" s="2">
        <v>7965.35</v>
      </c>
      <c r="D4775" s="2">
        <v>8157.3</v>
      </c>
      <c r="E4775" s="2">
        <v>8163.05</v>
      </c>
      <c r="F4775" s="2">
        <v>7958.25</v>
      </c>
      <c r="G4775" s="3">
        <f t="shared" si="224"/>
        <v>-1.9582864070798567E-2</v>
      </c>
      <c r="H4775" s="2">
        <f t="shared" si="222"/>
        <v>204.80000000000018</v>
      </c>
      <c r="I4775" s="3">
        <f t="shared" si="223"/>
        <v>2.5106346462677624E-2</v>
      </c>
    </row>
    <row r="4776" spans="2:9" x14ac:dyDescent="0.25">
      <c r="B4776" s="1">
        <v>42167</v>
      </c>
      <c r="C4776" s="2">
        <v>7982.9</v>
      </c>
      <c r="D4776" s="2">
        <v>7959.85</v>
      </c>
      <c r="E4776" s="2">
        <v>7995.6</v>
      </c>
      <c r="F4776" s="2">
        <v>7940.3</v>
      </c>
      <c r="G4776" s="3">
        <f t="shared" si="224"/>
        <v>2.2032930128619288E-3</v>
      </c>
      <c r="H4776" s="2">
        <f t="shared" si="222"/>
        <v>55.300000000000182</v>
      </c>
      <c r="I4776" s="3">
        <f t="shared" si="223"/>
        <v>6.9473670986262533E-3</v>
      </c>
    </row>
    <row r="4777" spans="2:9" x14ac:dyDescent="0.25">
      <c r="B4777" s="1">
        <v>42170</v>
      </c>
      <c r="C4777" s="2">
        <v>8013.9</v>
      </c>
      <c r="D4777" s="2">
        <v>7986.6</v>
      </c>
      <c r="E4777" s="2">
        <v>8057.7</v>
      </c>
      <c r="F4777" s="2">
        <v>7944.85</v>
      </c>
      <c r="G4777" s="3">
        <f t="shared" si="224"/>
        <v>3.883300554936131E-3</v>
      </c>
      <c r="H4777" s="2">
        <f t="shared" si="222"/>
        <v>112.84999999999945</v>
      </c>
      <c r="I4777" s="3">
        <f t="shared" si="223"/>
        <v>1.4129917612000031E-2</v>
      </c>
    </row>
    <row r="4778" spans="2:9" x14ac:dyDescent="0.25">
      <c r="B4778" s="1">
        <v>42171</v>
      </c>
      <c r="C4778" s="2">
        <v>8047.3</v>
      </c>
      <c r="D4778" s="2">
        <v>8004.2</v>
      </c>
      <c r="E4778" s="2">
        <v>8061.85</v>
      </c>
      <c r="F4778" s="2">
        <v>7952.35</v>
      </c>
      <c r="G4778" s="3">
        <f t="shared" si="224"/>
        <v>4.1677585195722955E-3</v>
      </c>
      <c r="H4778" s="2">
        <f t="shared" si="222"/>
        <v>109.5</v>
      </c>
      <c r="I4778" s="3">
        <f t="shared" si="223"/>
        <v>1.3680317833137603E-2</v>
      </c>
    </row>
    <row r="4779" spans="2:9" x14ac:dyDescent="0.25">
      <c r="B4779" s="1">
        <v>42172</v>
      </c>
      <c r="C4779" s="2">
        <v>8091.55</v>
      </c>
      <c r="D4779" s="2">
        <v>8084.2</v>
      </c>
      <c r="E4779" s="2">
        <v>8136.85</v>
      </c>
      <c r="F4779" s="2">
        <v>8048.95</v>
      </c>
      <c r="G4779" s="3">
        <f t="shared" si="224"/>
        <v>5.498738707392592E-3</v>
      </c>
      <c r="H4779" s="2">
        <f t="shared" si="222"/>
        <v>87.900000000000546</v>
      </c>
      <c r="I4779" s="3">
        <f t="shared" si="223"/>
        <v>1.0873061032631621E-2</v>
      </c>
    </row>
    <row r="4780" spans="2:9" x14ac:dyDescent="0.25">
      <c r="B4780" s="1">
        <v>42173</v>
      </c>
      <c r="C4780" s="2">
        <v>8174.6</v>
      </c>
      <c r="D4780" s="2">
        <v>8113.7</v>
      </c>
      <c r="E4780" s="2">
        <v>8186.9</v>
      </c>
      <c r="F4780" s="2">
        <v>8101.8</v>
      </c>
      <c r="G4780" s="3">
        <f t="shared" si="224"/>
        <v>1.0263793710722835E-2</v>
      </c>
      <c r="H4780" s="2">
        <f t="shared" si="222"/>
        <v>85.099999999999454</v>
      </c>
      <c r="I4780" s="3">
        <f t="shared" si="223"/>
        <v>1.0488433143941661E-2</v>
      </c>
    </row>
    <row r="4781" spans="2:9" x14ac:dyDescent="0.25">
      <c r="B4781" s="1">
        <v>42174</v>
      </c>
      <c r="C4781" s="2">
        <v>8224.9500000000007</v>
      </c>
      <c r="D4781" s="2">
        <v>8201.15</v>
      </c>
      <c r="E4781" s="2">
        <v>8250.7999999999993</v>
      </c>
      <c r="F4781" s="2">
        <v>8195.65</v>
      </c>
      <c r="G4781" s="3">
        <f t="shared" si="224"/>
        <v>6.1593227803196093E-3</v>
      </c>
      <c r="H4781" s="2">
        <f t="shared" si="222"/>
        <v>55.149999999999636</v>
      </c>
      <c r="I4781" s="3">
        <f t="shared" si="223"/>
        <v>6.7246666626021518E-3</v>
      </c>
    </row>
    <row r="4782" spans="2:9" x14ac:dyDescent="0.25">
      <c r="B4782" s="1">
        <v>42177</v>
      </c>
      <c r="C4782" s="2">
        <v>8353.1</v>
      </c>
      <c r="D4782" s="2">
        <v>8259.2999999999993</v>
      </c>
      <c r="E4782" s="2">
        <v>8369.4500000000007</v>
      </c>
      <c r="F4782" s="2">
        <v>8257.4</v>
      </c>
      <c r="G4782" s="3">
        <f t="shared" si="224"/>
        <v>1.5580641827609876E-2</v>
      </c>
      <c r="H4782" s="2">
        <f t="shared" si="222"/>
        <v>112.05000000000109</v>
      </c>
      <c r="I4782" s="3">
        <f t="shared" si="223"/>
        <v>1.3566525008172738E-2</v>
      </c>
    </row>
    <row r="4783" spans="2:9" x14ac:dyDescent="0.25">
      <c r="B4783" s="1">
        <v>42178</v>
      </c>
      <c r="C4783" s="2">
        <v>8381.5499999999993</v>
      </c>
      <c r="D4783" s="2">
        <v>8377.4500000000007</v>
      </c>
      <c r="E4783" s="2">
        <v>8398.4500000000007</v>
      </c>
      <c r="F4783" s="2">
        <v>8334.9500000000007</v>
      </c>
      <c r="G4783" s="3">
        <f t="shared" si="224"/>
        <v>3.4059211550201418E-3</v>
      </c>
      <c r="H4783" s="2">
        <f t="shared" si="222"/>
        <v>63.5</v>
      </c>
      <c r="I4783" s="3">
        <f t="shared" si="223"/>
        <v>7.5798721568018897E-3</v>
      </c>
    </row>
    <row r="4784" spans="2:9" x14ac:dyDescent="0.25">
      <c r="B4784" s="1">
        <v>42179</v>
      </c>
      <c r="C4784" s="2">
        <v>8360.85</v>
      </c>
      <c r="D4784" s="2">
        <v>8399.4</v>
      </c>
      <c r="E4784" s="2">
        <v>8421.35</v>
      </c>
      <c r="F4784" s="2">
        <v>8338.9</v>
      </c>
      <c r="G4784" s="3">
        <f t="shared" si="224"/>
        <v>-2.4697102564560369E-3</v>
      </c>
      <c r="H4784" s="2">
        <f t="shared" si="222"/>
        <v>82.450000000000728</v>
      </c>
      <c r="I4784" s="3">
        <f t="shared" si="223"/>
        <v>9.8161773460009923E-3</v>
      </c>
    </row>
    <row r="4785" spans="2:9" x14ac:dyDescent="0.25">
      <c r="B4785" s="1">
        <v>42180</v>
      </c>
      <c r="C4785" s="2">
        <v>8398</v>
      </c>
      <c r="D4785" s="2">
        <v>8336.25</v>
      </c>
      <c r="E4785" s="2">
        <v>8423.15</v>
      </c>
      <c r="F4785" s="2">
        <v>8329.5</v>
      </c>
      <c r="G4785" s="3">
        <f t="shared" si="224"/>
        <v>4.4433281305129579E-3</v>
      </c>
      <c r="H4785" s="2">
        <f t="shared" si="222"/>
        <v>93.649999999999636</v>
      </c>
      <c r="I4785" s="3">
        <f t="shared" si="223"/>
        <v>1.1234068076173295E-2</v>
      </c>
    </row>
    <row r="4786" spans="2:9" x14ac:dyDescent="0.25">
      <c r="B4786" s="1">
        <v>42181</v>
      </c>
      <c r="C4786" s="2">
        <v>8381.1</v>
      </c>
      <c r="D4786" s="2">
        <v>8393.9500000000007</v>
      </c>
      <c r="E4786" s="2">
        <v>8408.5499999999993</v>
      </c>
      <c r="F4786" s="2">
        <v>8339.7000000000007</v>
      </c>
      <c r="G4786" s="3">
        <f t="shared" si="224"/>
        <v>-2.012383900928727E-3</v>
      </c>
      <c r="H4786" s="2">
        <f t="shared" si="222"/>
        <v>68.849999999998545</v>
      </c>
      <c r="I4786" s="3">
        <f t="shared" si="223"/>
        <v>8.2023362064342215E-3</v>
      </c>
    </row>
    <row r="4787" spans="2:9" x14ac:dyDescent="0.25">
      <c r="B4787" s="1">
        <v>42184</v>
      </c>
      <c r="C4787" s="2">
        <v>8318.4</v>
      </c>
      <c r="D4787" s="2">
        <v>8247.0499999999993</v>
      </c>
      <c r="E4787" s="2">
        <v>8329.4500000000007</v>
      </c>
      <c r="F4787" s="2">
        <v>8195.65</v>
      </c>
      <c r="G4787" s="3">
        <f t="shared" si="224"/>
        <v>-7.4811182303039514E-3</v>
      </c>
      <c r="H4787" s="2">
        <f t="shared" si="222"/>
        <v>133.80000000000109</v>
      </c>
      <c r="I4787" s="3">
        <f t="shared" si="223"/>
        <v>1.6223983121237424E-2</v>
      </c>
    </row>
    <row r="4788" spans="2:9" x14ac:dyDescent="0.25">
      <c r="B4788" s="1">
        <v>42185</v>
      </c>
      <c r="C4788" s="2">
        <v>8368.5</v>
      </c>
      <c r="D4788" s="2">
        <v>8316.35</v>
      </c>
      <c r="E4788" s="2">
        <v>8378</v>
      </c>
      <c r="F4788" s="2">
        <v>8298.9500000000007</v>
      </c>
      <c r="G4788" s="3">
        <f t="shared" si="224"/>
        <v>6.0227928447778023E-3</v>
      </c>
      <c r="H4788" s="2">
        <f t="shared" si="222"/>
        <v>79.049999999999272</v>
      </c>
      <c r="I4788" s="3">
        <f t="shared" si="223"/>
        <v>9.5053719480299968E-3</v>
      </c>
    </row>
    <row r="4789" spans="2:9" x14ac:dyDescent="0.25">
      <c r="B4789" s="1">
        <v>42186</v>
      </c>
      <c r="C4789" s="2">
        <v>8453.0499999999993</v>
      </c>
      <c r="D4789" s="2">
        <v>8376.25</v>
      </c>
      <c r="E4789" s="2">
        <v>8481.6</v>
      </c>
      <c r="F4789" s="2">
        <v>8370.15</v>
      </c>
      <c r="G4789" s="3">
        <f t="shared" si="224"/>
        <v>1.0103363804743859E-2</v>
      </c>
      <c r="H4789" s="2">
        <f t="shared" si="222"/>
        <v>111.45000000000073</v>
      </c>
      <c r="I4789" s="3">
        <f t="shared" si="223"/>
        <v>1.3305476794508369E-2</v>
      </c>
    </row>
    <row r="4790" spans="2:9" x14ac:dyDescent="0.25">
      <c r="B4790" s="1">
        <v>42187</v>
      </c>
      <c r="C4790" s="2">
        <v>8444.9</v>
      </c>
      <c r="D4790" s="2">
        <v>8471.9500000000007</v>
      </c>
      <c r="E4790" s="2">
        <v>8479.25</v>
      </c>
      <c r="F4790" s="2">
        <v>8433.2000000000007</v>
      </c>
      <c r="G4790" s="3">
        <f t="shared" si="224"/>
        <v>-9.6414903496366833E-4</v>
      </c>
      <c r="H4790" s="2">
        <f t="shared" si="222"/>
        <v>46.049999999999272</v>
      </c>
      <c r="I4790" s="3">
        <f t="shared" si="223"/>
        <v>5.4355844876326307E-3</v>
      </c>
    </row>
    <row r="4791" spans="2:9" x14ac:dyDescent="0.25">
      <c r="B4791" s="1">
        <v>42188</v>
      </c>
      <c r="C4791" s="2">
        <v>8484.9</v>
      </c>
      <c r="D4791" s="2">
        <v>8440.1</v>
      </c>
      <c r="E4791" s="2">
        <v>8497.75</v>
      </c>
      <c r="F4791" s="2">
        <v>8424.15</v>
      </c>
      <c r="G4791" s="3">
        <f t="shared" si="224"/>
        <v>4.736586578881985E-3</v>
      </c>
      <c r="H4791" s="2">
        <f t="shared" si="222"/>
        <v>73.600000000000364</v>
      </c>
      <c r="I4791" s="3">
        <f t="shared" si="223"/>
        <v>8.7202758261158472E-3</v>
      </c>
    </row>
    <row r="4792" spans="2:9" x14ac:dyDescent="0.25">
      <c r="B4792" s="1">
        <v>42191</v>
      </c>
      <c r="C4792" s="2">
        <v>8522.15</v>
      </c>
      <c r="D4792" s="2">
        <v>8386.15</v>
      </c>
      <c r="E4792" s="2">
        <v>8533.15</v>
      </c>
      <c r="F4792" s="2">
        <v>8386.15</v>
      </c>
      <c r="G4792" s="3">
        <f t="shared" si="224"/>
        <v>4.3901519169347036E-3</v>
      </c>
      <c r="H4792" s="2">
        <f t="shared" si="222"/>
        <v>147</v>
      </c>
      <c r="I4792" s="3">
        <f t="shared" si="223"/>
        <v>1.7528901820263173E-2</v>
      </c>
    </row>
    <row r="4793" spans="2:9" x14ac:dyDescent="0.25">
      <c r="B4793" s="1">
        <v>42192</v>
      </c>
      <c r="C4793" s="2">
        <v>8510.7999999999993</v>
      </c>
      <c r="D4793" s="2">
        <v>8525.5</v>
      </c>
      <c r="E4793" s="2">
        <v>8561.35</v>
      </c>
      <c r="F4793" s="2">
        <v>8483.85</v>
      </c>
      <c r="G4793" s="3">
        <f t="shared" si="224"/>
        <v>-1.3318235421813096E-3</v>
      </c>
      <c r="H4793" s="2">
        <f t="shared" si="222"/>
        <v>77.5</v>
      </c>
      <c r="I4793" s="3">
        <f t="shared" si="223"/>
        <v>9.090375931030438E-3</v>
      </c>
    </row>
    <row r="4794" spans="2:9" x14ac:dyDescent="0.25">
      <c r="B4794" s="1">
        <v>42193</v>
      </c>
      <c r="C4794" s="2">
        <v>8363.0499999999993</v>
      </c>
      <c r="D4794" s="2">
        <v>8439.2000000000007</v>
      </c>
      <c r="E4794" s="2">
        <v>8457.5</v>
      </c>
      <c r="F4794" s="2">
        <v>8341.4</v>
      </c>
      <c r="G4794" s="3">
        <f t="shared" si="224"/>
        <v>-1.736029515439208E-2</v>
      </c>
      <c r="H4794" s="2">
        <f t="shared" si="222"/>
        <v>116.10000000000036</v>
      </c>
      <c r="I4794" s="3">
        <f t="shared" si="223"/>
        <v>1.3757228173286609E-2</v>
      </c>
    </row>
    <row r="4795" spans="2:9" x14ac:dyDescent="0.25">
      <c r="B4795" s="1">
        <v>42194</v>
      </c>
      <c r="C4795" s="2">
        <v>8328.5499999999993</v>
      </c>
      <c r="D4795" s="2">
        <v>8364.85</v>
      </c>
      <c r="E4795" s="2">
        <v>8400.2999999999993</v>
      </c>
      <c r="F4795" s="2">
        <v>8323</v>
      </c>
      <c r="G4795" s="3">
        <f t="shared" si="224"/>
        <v>-4.1252892186462997E-3</v>
      </c>
      <c r="H4795" s="2">
        <f t="shared" si="222"/>
        <v>77.299999999999272</v>
      </c>
      <c r="I4795" s="3">
        <f t="shared" si="223"/>
        <v>9.2410503475853448E-3</v>
      </c>
    </row>
    <row r="4796" spans="2:9" x14ac:dyDescent="0.25">
      <c r="B4796" s="1">
        <v>42195</v>
      </c>
      <c r="C4796" s="2">
        <v>8360.5499999999993</v>
      </c>
      <c r="D4796" s="2">
        <v>8365.7000000000007</v>
      </c>
      <c r="E4796" s="2">
        <v>8377.1</v>
      </c>
      <c r="F4796" s="2">
        <v>8315.4</v>
      </c>
      <c r="G4796" s="3">
        <f t="shared" si="224"/>
        <v>3.8422054259144023E-3</v>
      </c>
      <c r="H4796" s="2">
        <f t="shared" si="222"/>
        <v>61.700000000000728</v>
      </c>
      <c r="I4796" s="3">
        <f t="shared" si="223"/>
        <v>7.3753541245802174E-3</v>
      </c>
    </row>
    <row r="4797" spans="2:9" x14ac:dyDescent="0.25">
      <c r="B4797" s="1">
        <v>42198</v>
      </c>
      <c r="C4797" s="2">
        <v>8459.65</v>
      </c>
      <c r="D4797" s="2">
        <v>8397.25</v>
      </c>
      <c r="E4797" s="2">
        <v>8471.65</v>
      </c>
      <c r="F4797" s="2">
        <v>8355.4</v>
      </c>
      <c r="G4797" s="3">
        <f t="shared" si="224"/>
        <v>1.1853287164121928E-2</v>
      </c>
      <c r="H4797" s="2">
        <f t="shared" si="222"/>
        <v>116.25</v>
      </c>
      <c r="I4797" s="3">
        <f t="shared" si="223"/>
        <v>1.3843817916579832E-2</v>
      </c>
    </row>
    <row r="4798" spans="2:9" x14ac:dyDescent="0.25">
      <c r="B4798" s="1">
        <v>42199</v>
      </c>
      <c r="C4798" s="2">
        <v>8454.1</v>
      </c>
      <c r="D4798" s="2">
        <v>8470.6</v>
      </c>
      <c r="E4798" s="2">
        <v>8480.25</v>
      </c>
      <c r="F4798" s="2">
        <v>8424.1</v>
      </c>
      <c r="G4798" s="3">
        <f t="shared" si="224"/>
        <v>-6.5605551057068556E-4</v>
      </c>
      <c r="H4798" s="2">
        <f t="shared" si="222"/>
        <v>56.149999999999636</v>
      </c>
      <c r="I4798" s="3">
        <f t="shared" si="223"/>
        <v>6.6288102377635152E-3</v>
      </c>
    </row>
    <row r="4799" spans="2:9" x14ac:dyDescent="0.25">
      <c r="B4799" s="1">
        <v>42200</v>
      </c>
      <c r="C4799" s="2">
        <v>8523.7999999999993</v>
      </c>
      <c r="D4799" s="2">
        <v>8463.4</v>
      </c>
      <c r="E4799" s="2">
        <v>8531.4</v>
      </c>
      <c r="F4799" s="2">
        <v>8462.9500000000007</v>
      </c>
      <c r="G4799" s="3">
        <f t="shared" si="224"/>
        <v>8.2445204102150615E-3</v>
      </c>
      <c r="H4799" s="2">
        <f t="shared" si="222"/>
        <v>68.449999999998909</v>
      </c>
      <c r="I4799" s="3">
        <f t="shared" si="223"/>
        <v>8.0877661459932068E-3</v>
      </c>
    </row>
    <row r="4800" spans="2:9" x14ac:dyDescent="0.25">
      <c r="B4800" s="1">
        <v>42201</v>
      </c>
      <c r="C4800" s="2">
        <v>8608.0499999999993</v>
      </c>
      <c r="D4800" s="2">
        <v>8546.15</v>
      </c>
      <c r="E4800" s="2">
        <v>8616.1</v>
      </c>
      <c r="F4800" s="2">
        <v>8542.9</v>
      </c>
      <c r="G4800" s="3">
        <f t="shared" si="224"/>
        <v>9.8840892559657334E-3</v>
      </c>
      <c r="H4800" s="2">
        <f t="shared" si="222"/>
        <v>73.200000000000728</v>
      </c>
      <c r="I4800" s="3">
        <f t="shared" si="223"/>
        <v>8.5652603804052974E-3</v>
      </c>
    </row>
    <row r="4801" spans="2:9" x14ac:dyDescent="0.25">
      <c r="B4801" s="1">
        <v>42202</v>
      </c>
      <c r="C4801" s="2">
        <v>8609.85</v>
      </c>
      <c r="D4801" s="2">
        <v>8623.65</v>
      </c>
      <c r="E4801" s="2">
        <v>8642.9500000000007</v>
      </c>
      <c r="F4801" s="2">
        <v>8593.15</v>
      </c>
      <c r="G4801" s="3">
        <f t="shared" si="224"/>
        <v>2.0910659208550619E-4</v>
      </c>
      <c r="H4801" s="2">
        <f t="shared" si="222"/>
        <v>49.800000000001091</v>
      </c>
      <c r="I4801" s="3">
        <f t="shared" si="223"/>
        <v>5.7748169278670977E-3</v>
      </c>
    </row>
    <row r="4802" spans="2:9" x14ac:dyDescent="0.25">
      <c r="B4802" s="1">
        <v>42205</v>
      </c>
      <c r="C4802" s="2">
        <v>8603.4500000000007</v>
      </c>
      <c r="D4802" s="2">
        <v>8623.9</v>
      </c>
      <c r="E4802" s="2">
        <v>8624.1</v>
      </c>
      <c r="F4802" s="2">
        <v>8559</v>
      </c>
      <c r="G4802" s="3">
        <f t="shared" si="224"/>
        <v>-7.4333466901277401E-4</v>
      </c>
      <c r="H4802" s="2">
        <f t="shared" si="222"/>
        <v>65.100000000000364</v>
      </c>
      <c r="I4802" s="3">
        <f t="shared" si="223"/>
        <v>7.548788831039363E-3</v>
      </c>
    </row>
    <row r="4803" spans="2:9" x14ac:dyDescent="0.25">
      <c r="B4803" s="1">
        <v>42206</v>
      </c>
      <c r="C4803" s="2">
        <v>8529.4500000000007</v>
      </c>
      <c r="D4803" s="2">
        <v>8601.5</v>
      </c>
      <c r="E4803" s="2">
        <v>8646.75</v>
      </c>
      <c r="F4803" s="2">
        <v>8517.9</v>
      </c>
      <c r="G4803" s="3">
        <f t="shared" si="224"/>
        <v>-8.6012006811221342E-3</v>
      </c>
      <c r="H4803" s="2">
        <f t="shared" si="222"/>
        <v>128.85000000000036</v>
      </c>
      <c r="I4803" s="3">
        <f t="shared" si="223"/>
        <v>1.4979945358367769E-2</v>
      </c>
    </row>
    <row r="4804" spans="2:9" x14ac:dyDescent="0.25">
      <c r="B4804" s="1">
        <v>42207</v>
      </c>
      <c r="C4804" s="2">
        <v>8633.5</v>
      </c>
      <c r="D4804" s="2">
        <v>8512.25</v>
      </c>
      <c r="E4804" s="2">
        <v>8643.9</v>
      </c>
      <c r="F4804" s="2">
        <v>8498.65</v>
      </c>
      <c r="G4804" s="3">
        <f t="shared" si="224"/>
        <v>1.219891083246849E-2</v>
      </c>
      <c r="H4804" s="2">
        <f t="shared" si="222"/>
        <v>145.25</v>
      </c>
      <c r="I4804" s="3">
        <f t="shared" si="223"/>
        <v>1.7063643572498458E-2</v>
      </c>
    </row>
    <row r="4805" spans="2:9" x14ac:dyDescent="0.25">
      <c r="B4805" s="1">
        <v>42208</v>
      </c>
      <c r="C4805" s="2">
        <v>8589.7999999999993</v>
      </c>
      <c r="D4805" s="2">
        <v>8643.9500000000007</v>
      </c>
      <c r="E4805" s="2">
        <v>8654.75</v>
      </c>
      <c r="F4805" s="2">
        <v>8573.7999999999993</v>
      </c>
      <c r="G4805" s="3">
        <f t="shared" si="224"/>
        <v>-5.0616783459779269E-3</v>
      </c>
      <c r="H4805" s="2">
        <f t="shared" ref="H4805:H4868" si="225">E4805-F4805</f>
        <v>80.950000000000728</v>
      </c>
      <c r="I4805" s="3">
        <f t="shared" si="223"/>
        <v>9.3649315417142307E-3</v>
      </c>
    </row>
    <row r="4806" spans="2:9" x14ac:dyDescent="0.25">
      <c r="B4806" s="1">
        <v>42209</v>
      </c>
      <c r="C4806" s="2">
        <v>8521.5499999999993</v>
      </c>
      <c r="D4806" s="2">
        <v>8588.15</v>
      </c>
      <c r="E4806" s="2">
        <v>8589.15</v>
      </c>
      <c r="F4806" s="2">
        <v>8513.5</v>
      </c>
      <c r="G4806" s="3">
        <f t="shared" si="224"/>
        <v>-7.9454702088523899E-3</v>
      </c>
      <c r="H4806" s="2">
        <f t="shared" si="225"/>
        <v>75.649999999999636</v>
      </c>
      <c r="I4806" s="3">
        <f t="shared" ref="I4806:I4869" si="226">H4806/D4806</f>
        <v>8.8086491269947116E-3</v>
      </c>
    </row>
    <row r="4807" spans="2:9" x14ac:dyDescent="0.25">
      <c r="B4807" s="1">
        <v>42212</v>
      </c>
      <c r="C4807" s="2">
        <v>8361</v>
      </c>
      <c r="D4807" s="2">
        <v>8492.1</v>
      </c>
      <c r="E4807" s="2">
        <v>8492.2000000000007</v>
      </c>
      <c r="F4807" s="2">
        <v>8351.5499999999993</v>
      </c>
      <c r="G4807" s="3">
        <f t="shared" ref="G4807:G4870" si="227">C4807/C4806-1</f>
        <v>-1.8840469163473705E-2</v>
      </c>
      <c r="H4807" s="2">
        <f t="shared" si="225"/>
        <v>140.65000000000146</v>
      </c>
      <c r="I4807" s="3">
        <f t="shared" si="226"/>
        <v>1.6562452161420785E-2</v>
      </c>
    </row>
    <row r="4808" spans="2:9" x14ac:dyDescent="0.25">
      <c r="B4808" s="1">
        <v>42213</v>
      </c>
      <c r="C4808" s="2">
        <v>8337</v>
      </c>
      <c r="D4808" s="2">
        <v>8371.1</v>
      </c>
      <c r="E4808" s="2">
        <v>8397.4</v>
      </c>
      <c r="F4808" s="2">
        <v>8321.75</v>
      </c>
      <c r="G4808" s="3">
        <f t="shared" si="227"/>
        <v>-2.870470039468942E-3</v>
      </c>
      <c r="H4808" s="2">
        <f t="shared" si="225"/>
        <v>75.649999999999636</v>
      </c>
      <c r="I4808" s="3">
        <f t="shared" si="226"/>
        <v>9.0370441160659443E-3</v>
      </c>
    </row>
    <row r="4809" spans="2:9" x14ac:dyDescent="0.25">
      <c r="B4809" s="1">
        <v>42214</v>
      </c>
      <c r="C4809" s="2">
        <v>8375.0499999999993</v>
      </c>
      <c r="D4809" s="2">
        <v>8365.6</v>
      </c>
      <c r="E4809" s="2">
        <v>8381.5</v>
      </c>
      <c r="F4809" s="2">
        <v>8338.4500000000007</v>
      </c>
      <c r="G4809" s="3">
        <f t="shared" si="227"/>
        <v>4.5639918435886884E-3</v>
      </c>
      <c r="H4809" s="2">
        <f t="shared" si="225"/>
        <v>43.049999999999272</v>
      </c>
      <c r="I4809" s="3">
        <f t="shared" si="226"/>
        <v>5.1460743999234091E-3</v>
      </c>
    </row>
    <row r="4810" spans="2:9" x14ac:dyDescent="0.25">
      <c r="B4810" s="1">
        <v>42215</v>
      </c>
      <c r="C4810" s="2">
        <v>8421.7999999999993</v>
      </c>
      <c r="D4810" s="2">
        <v>8417</v>
      </c>
      <c r="E4810" s="2">
        <v>8458.9</v>
      </c>
      <c r="F4810" s="2">
        <v>8408.2999999999993</v>
      </c>
      <c r="G4810" s="3">
        <f t="shared" si="227"/>
        <v>5.5820562265300744E-3</v>
      </c>
      <c r="H4810" s="2">
        <f t="shared" si="225"/>
        <v>50.600000000000364</v>
      </c>
      <c r="I4810" s="3">
        <f t="shared" si="226"/>
        <v>6.0116431032434794E-3</v>
      </c>
    </row>
    <row r="4811" spans="2:9" x14ac:dyDescent="0.25">
      <c r="B4811" s="1">
        <v>42216</v>
      </c>
      <c r="C4811" s="2">
        <v>8532.85</v>
      </c>
      <c r="D4811" s="2">
        <v>8456.1</v>
      </c>
      <c r="E4811" s="2">
        <v>8548.9500000000007</v>
      </c>
      <c r="F4811" s="2">
        <v>8448</v>
      </c>
      <c r="G4811" s="3">
        <f t="shared" si="227"/>
        <v>1.3186017240969905E-2</v>
      </c>
      <c r="H4811" s="2">
        <f t="shared" si="225"/>
        <v>100.95000000000073</v>
      </c>
      <c r="I4811" s="3">
        <f t="shared" si="226"/>
        <v>1.1938127505587768E-2</v>
      </c>
    </row>
    <row r="4812" spans="2:9" x14ac:dyDescent="0.25">
      <c r="B4812" s="1">
        <v>42219</v>
      </c>
      <c r="C4812" s="2">
        <v>8543.0499999999993</v>
      </c>
      <c r="D4812" s="2">
        <v>8510.65</v>
      </c>
      <c r="E4812" s="2">
        <v>8563.9500000000007</v>
      </c>
      <c r="F4812" s="2">
        <v>8508.1</v>
      </c>
      <c r="G4812" s="3">
        <f t="shared" si="227"/>
        <v>1.1953802070818753E-3</v>
      </c>
      <c r="H4812" s="2">
        <f t="shared" si="225"/>
        <v>55.850000000000364</v>
      </c>
      <c r="I4812" s="3">
        <f t="shared" si="226"/>
        <v>6.5623659767468246E-3</v>
      </c>
    </row>
    <row r="4813" spans="2:9" x14ac:dyDescent="0.25">
      <c r="B4813" s="1">
        <v>42220</v>
      </c>
      <c r="C4813" s="2">
        <v>8516.9</v>
      </c>
      <c r="D4813" s="2">
        <v>8564.1</v>
      </c>
      <c r="E4813" s="2">
        <v>8565.15</v>
      </c>
      <c r="F4813" s="2">
        <v>8448.25</v>
      </c>
      <c r="G4813" s="3">
        <f t="shared" si="227"/>
        <v>-3.060967687184224E-3</v>
      </c>
      <c r="H4813" s="2">
        <f t="shared" si="225"/>
        <v>116.89999999999964</v>
      </c>
      <c r="I4813" s="3">
        <f t="shared" si="226"/>
        <v>1.3650004086827528E-2</v>
      </c>
    </row>
    <row r="4814" spans="2:9" x14ac:dyDescent="0.25">
      <c r="B4814" s="1">
        <v>42221</v>
      </c>
      <c r="C4814" s="2">
        <v>8567.9500000000007</v>
      </c>
      <c r="D4814" s="2">
        <v>8547.4500000000007</v>
      </c>
      <c r="E4814" s="2">
        <v>8591.85</v>
      </c>
      <c r="F4814" s="2">
        <v>8545.85</v>
      </c>
      <c r="G4814" s="3">
        <f t="shared" si="227"/>
        <v>5.9939649402953599E-3</v>
      </c>
      <c r="H4814" s="2">
        <f t="shared" si="225"/>
        <v>46</v>
      </c>
      <c r="I4814" s="3">
        <f t="shared" si="226"/>
        <v>5.3817220340569407E-3</v>
      </c>
    </row>
    <row r="4815" spans="2:9" x14ac:dyDescent="0.25">
      <c r="B4815" s="1">
        <v>42222</v>
      </c>
      <c r="C4815" s="2">
        <v>8588.65</v>
      </c>
      <c r="D4815" s="2">
        <v>8585.7999999999993</v>
      </c>
      <c r="E4815" s="2">
        <v>8606.2999999999993</v>
      </c>
      <c r="F4815" s="2">
        <v>8551.5</v>
      </c>
      <c r="G4815" s="3">
        <f t="shared" si="227"/>
        <v>2.4159804854135825E-3</v>
      </c>
      <c r="H4815" s="2">
        <f t="shared" si="225"/>
        <v>54.799999999999272</v>
      </c>
      <c r="I4815" s="3">
        <f t="shared" si="226"/>
        <v>6.3826317873697594E-3</v>
      </c>
    </row>
    <row r="4816" spans="2:9" x14ac:dyDescent="0.25">
      <c r="B4816" s="1">
        <v>42223</v>
      </c>
      <c r="C4816" s="2">
        <v>8564.6</v>
      </c>
      <c r="D4816" s="2">
        <v>8580.7999999999993</v>
      </c>
      <c r="E4816" s="2">
        <v>8595.9500000000007</v>
      </c>
      <c r="F4816" s="2">
        <v>8552.7000000000007</v>
      </c>
      <c r="G4816" s="3">
        <f t="shared" si="227"/>
        <v>-2.8002072502663067E-3</v>
      </c>
      <c r="H4816" s="2">
        <f t="shared" si="225"/>
        <v>43.25</v>
      </c>
      <c r="I4816" s="3">
        <f t="shared" si="226"/>
        <v>5.040322580645162E-3</v>
      </c>
    </row>
    <row r="4817" spans="2:9" x14ac:dyDescent="0.25">
      <c r="B4817" s="1">
        <v>42226</v>
      </c>
      <c r="C4817" s="2">
        <v>8525.6</v>
      </c>
      <c r="D4817" s="2">
        <v>8577</v>
      </c>
      <c r="E4817" s="2">
        <v>8621.5499999999993</v>
      </c>
      <c r="F4817" s="2">
        <v>8497.7999999999993</v>
      </c>
      <c r="G4817" s="3">
        <f t="shared" si="227"/>
        <v>-4.5536277234196065E-3</v>
      </c>
      <c r="H4817" s="2">
        <f t="shared" si="225"/>
        <v>123.75</v>
      </c>
      <c r="I4817" s="3">
        <f t="shared" si="226"/>
        <v>1.4428121720881428E-2</v>
      </c>
    </row>
    <row r="4818" spans="2:9" x14ac:dyDescent="0.25">
      <c r="B4818" s="1">
        <v>42227</v>
      </c>
      <c r="C4818" s="2">
        <v>8462.35</v>
      </c>
      <c r="D4818" s="2">
        <v>8548.4500000000007</v>
      </c>
      <c r="E4818" s="2">
        <v>8556.25</v>
      </c>
      <c r="F4818" s="2">
        <v>8441.2999999999993</v>
      </c>
      <c r="G4818" s="3">
        <f t="shared" si="227"/>
        <v>-7.4188326921272862E-3</v>
      </c>
      <c r="H4818" s="2">
        <f t="shared" si="225"/>
        <v>114.95000000000073</v>
      </c>
      <c r="I4818" s="3">
        <f t="shared" si="226"/>
        <v>1.3446882183319867E-2</v>
      </c>
    </row>
    <row r="4819" spans="2:9" x14ac:dyDescent="0.25">
      <c r="B4819" s="1">
        <v>42228</v>
      </c>
      <c r="C4819" s="2">
        <v>8349.4500000000007</v>
      </c>
      <c r="D4819" s="2">
        <v>8445.7000000000007</v>
      </c>
      <c r="E4819" s="2">
        <v>8446.9500000000007</v>
      </c>
      <c r="F4819" s="2">
        <v>8337.9500000000007</v>
      </c>
      <c r="G4819" s="3">
        <f t="shared" si="227"/>
        <v>-1.334144770660628E-2</v>
      </c>
      <c r="H4819" s="2">
        <f t="shared" si="225"/>
        <v>109</v>
      </c>
      <c r="I4819" s="3">
        <f t="shared" si="226"/>
        <v>1.2905975822015936E-2</v>
      </c>
    </row>
    <row r="4820" spans="2:9" x14ac:dyDescent="0.25">
      <c r="B4820" s="1">
        <v>42229</v>
      </c>
      <c r="C4820" s="2">
        <v>8355.85</v>
      </c>
      <c r="D4820" s="2">
        <v>8384.4500000000007</v>
      </c>
      <c r="E4820" s="2">
        <v>8429.5</v>
      </c>
      <c r="F4820" s="2">
        <v>8339.75</v>
      </c>
      <c r="G4820" s="3">
        <f t="shared" si="227"/>
        <v>7.6651755504841823E-4</v>
      </c>
      <c r="H4820" s="2">
        <f t="shared" si="225"/>
        <v>89.75</v>
      </c>
      <c r="I4820" s="3">
        <f t="shared" si="226"/>
        <v>1.0704339581010084E-2</v>
      </c>
    </row>
    <row r="4821" spans="2:9" x14ac:dyDescent="0.25">
      <c r="B4821" s="1">
        <v>42230</v>
      </c>
      <c r="C4821" s="2">
        <v>8518.5499999999993</v>
      </c>
      <c r="D4821" s="2">
        <v>8402.35</v>
      </c>
      <c r="E4821" s="2">
        <v>8530.1</v>
      </c>
      <c r="F4821" s="2">
        <v>8381.2000000000007</v>
      </c>
      <c r="G4821" s="3">
        <f t="shared" si="227"/>
        <v>1.9471388308789583E-2</v>
      </c>
      <c r="H4821" s="2">
        <f t="shared" si="225"/>
        <v>148.89999999999964</v>
      </c>
      <c r="I4821" s="3">
        <f t="shared" si="226"/>
        <v>1.772123275036146E-2</v>
      </c>
    </row>
    <row r="4822" spans="2:9" x14ac:dyDescent="0.25">
      <c r="B4822" s="1">
        <v>42233</v>
      </c>
      <c r="C4822" s="2">
        <v>8477.2999999999993</v>
      </c>
      <c r="D4822" s="2">
        <v>8530.5</v>
      </c>
      <c r="E4822" s="2">
        <v>8530.6</v>
      </c>
      <c r="F4822" s="2">
        <v>8428.0499999999993</v>
      </c>
      <c r="G4822" s="3">
        <f t="shared" si="227"/>
        <v>-4.8423734086200376E-3</v>
      </c>
      <c r="H4822" s="2">
        <f t="shared" si="225"/>
        <v>102.55000000000109</v>
      </c>
      <c r="I4822" s="3">
        <f t="shared" si="226"/>
        <v>1.2021569661801897E-2</v>
      </c>
    </row>
    <row r="4823" spans="2:9" x14ac:dyDescent="0.25">
      <c r="B4823" s="1">
        <v>42234</v>
      </c>
      <c r="C4823" s="2">
        <v>8466.5499999999993</v>
      </c>
      <c r="D4823" s="2">
        <v>8505.85</v>
      </c>
      <c r="E4823" s="2">
        <v>8525.75</v>
      </c>
      <c r="F4823" s="2">
        <v>8433.6</v>
      </c>
      <c r="G4823" s="3">
        <f t="shared" si="227"/>
        <v>-1.2680924350914058E-3</v>
      </c>
      <c r="H4823" s="2">
        <f t="shared" si="225"/>
        <v>92.149999999999636</v>
      </c>
      <c r="I4823" s="3">
        <f t="shared" si="226"/>
        <v>1.0833720321896063E-2</v>
      </c>
    </row>
    <row r="4824" spans="2:9" x14ac:dyDescent="0.25">
      <c r="B4824" s="1">
        <v>42235</v>
      </c>
      <c r="C4824" s="2">
        <v>8495.15</v>
      </c>
      <c r="D4824" s="2">
        <v>8468.0499999999993</v>
      </c>
      <c r="E4824" s="2">
        <v>8520.4500000000007</v>
      </c>
      <c r="F4824" s="2">
        <v>8425.9500000000007</v>
      </c>
      <c r="G4824" s="3">
        <f t="shared" si="227"/>
        <v>3.377999303139978E-3</v>
      </c>
      <c r="H4824" s="2">
        <f t="shared" si="225"/>
        <v>94.5</v>
      </c>
      <c r="I4824" s="3">
        <f t="shared" si="226"/>
        <v>1.1159594003341974E-2</v>
      </c>
    </row>
    <row r="4825" spans="2:9" x14ac:dyDescent="0.25">
      <c r="B4825" s="1">
        <v>42236</v>
      </c>
      <c r="C4825" s="2">
        <v>8372.75</v>
      </c>
      <c r="D4825" s="2">
        <v>8471.0499999999993</v>
      </c>
      <c r="E4825" s="2">
        <v>8501.35</v>
      </c>
      <c r="F4825" s="2">
        <v>8359.75</v>
      </c>
      <c r="G4825" s="3">
        <f t="shared" si="227"/>
        <v>-1.4408221161486212E-2</v>
      </c>
      <c r="H4825" s="2">
        <f t="shared" si="225"/>
        <v>141.60000000000036</v>
      </c>
      <c r="I4825" s="3">
        <f t="shared" si="226"/>
        <v>1.6715755425832732E-2</v>
      </c>
    </row>
    <row r="4826" spans="2:9" x14ac:dyDescent="0.25">
      <c r="B4826" s="1">
        <v>42237</v>
      </c>
      <c r="C4826" s="2">
        <v>8299.9500000000007</v>
      </c>
      <c r="D4826" s="2">
        <v>8305.4</v>
      </c>
      <c r="E4826" s="2">
        <v>8322.2000000000007</v>
      </c>
      <c r="F4826" s="2">
        <v>8225.0499999999993</v>
      </c>
      <c r="G4826" s="3">
        <f t="shared" si="227"/>
        <v>-8.6948732495296666E-3</v>
      </c>
      <c r="H4826" s="2">
        <f t="shared" si="225"/>
        <v>97.150000000001455</v>
      </c>
      <c r="I4826" s="3">
        <f t="shared" si="226"/>
        <v>1.169720904471807E-2</v>
      </c>
    </row>
    <row r="4827" spans="2:9" x14ac:dyDescent="0.25">
      <c r="B4827" s="1">
        <v>42240</v>
      </c>
      <c r="C4827" s="2">
        <v>7809</v>
      </c>
      <c r="D4827" s="2">
        <v>8055.95</v>
      </c>
      <c r="E4827" s="2">
        <v>8060.05</v>
      </c>
      <c r="F4827" s="2">
        <v>7769.4</v>
      </c>
      <c r="G4827" s="3">
        <f t="shared" si="227"/>
        <v>-5.9150958740715409E-2</v>
      </c>
      <c r="H4827" s="2">
        <f t="shared" si="225"/>
        <v>290.65000000000055</v>
      </c>
      <c r="I4827" s="3">
        <f t="shared" si="226"/>
        <v>3.6078923032044706E-2</v>
      </c>
    </row>
    <row r="4828" spans="2:9" x14ac:dyDescent="0.25">
      <c r="B4828" s="1">
        <v>42241</v>
      </c>
      <c r="C4828" s="2">
        <v>7880.7</v>
      </c>
      <c r="D4828" s="2">
        <v>7895.4</v>
      </c>
      <c r="E4828" s="2">
        <v>7925.4</v>
      </c>
      <c r="F4828" s="2">
        <v>7667.25</v>
      </c>
      <c r="G4828" s="3">
        <f t="shared" si="227"/>
        <v>9.1817134076066509E-3</v>
      </c>
      <c r="H4828" s="2">
        <f t="shared" si="225"/>
        <v>258.14999999999964</v>
      </c>
      <c r="I4828" s="3">
        <f t="shared" si="226"/>
        <v>3.2696253514704718E-2</v>
      </c>
    </row>
    <row r="4829" spans="2:9" x14ac:dyDescent="0.25">
      <c r="B4829" s="1">
        <v>42242</v>
      </c>
      <c r="C4829" s="2">
        <v>7791.85</v>
      </c>
      <c r="D4829" s="2">
        <v>7865.25</v>
      </c>
      <c r="E4829" s="2">
        <v>7930.05</v>
      </c>
      <c r="F4829" s="2">
        <v>7777.1</v>
      </c>
      <c r="G4829" s="3">
        <f t="shared" si="227"/>
        <v>-1.127437917951446E-2</v>
      </c>
      <c r="H4829" s="2">
        <f t="shared" si="225"/>
        <v>152.94999999999982</v>
      </c>
      <c r="I4829" s="3">
        <f t="shared" si="226"/>
        <v>1.9446298591907416E-2</v>
      </c>
    </row>
    <row r="4830" spans="2:9" x14ac:dyDescent="0.25">
      <c r="B4830" s="1">
        <v>42243</v>
      </c>
      <c r="C4830" s="2">
        <v>7948.95</v>
      </c>
      <c r="D4830" s="2">
        <v>7921.6</v>
      </c>
      <c r="E4830" s="2">
        <v>7963.6</v>
      </c>
      <c r="F4830" s="2">
        <v>7862.3</v>
      </c>
      <c r="G4830" s="3">
        <f t="shared" si="227"/>
        <v>2.0162092442744584E-2</v>
      </c>
      <c r="H4830" s="2">
        <f t="shared" si="225"/>
        <v>101.30000000000018</v>
      </c>
      <c r="I4830" s="3">
        <f t="shared" si="226"/>
        <v>1.2787820642294508E-2</v>
      </c>
    </row>
    <row r="4831" spans="2:9" x14ac:dyDescent="0.25">
      <c r="B4831" s="1">
        <v>42244</v>
      </c>
      <c r="C4831" s="2">
        <v>8001.95</v>
      </c>
      <c r="D4831" s="2">
        <v>8053.7</v>
      </c>
      <c r="E4831" s="2">
        <v>8091.8</v>
      </c>
      <c r="F4831" s="2">
        <v>7961.65</v>
      </c>
      <c r="G4831" s="3">
        <f t="shared" si="227"/>
        <v>6.6675472861195129E-3</v>
      </c>
      <c r="H4831" s="2">
        <f t="shared" si="225"/>
        <v>130.15000000000055</v>
      </c>
      <c r="I4831" s="3">
        <f t="shared" si="226"/>
        <v>1.6160274159703062E-2</v>
      </c>
    </row>
    <row r="4832" spans="2:9" x14ac:dyDescent="0.25">
      <c r="B4832" s="1">
        <v>42247</v>
      </c>
      <c r="C4832" s="2">
        <v>7971.3</v>
      </c>
      <c r="D4832" s="2">
        <v>8009.25</v>
      </c>
      <c r="E4832" s="2">
        <v>8043.6</v>
      </c>
      <c r="F4832" s="2">
        <v>7947.95</v>
      </c>
      <c r="G4832" s="3">
        <f t="shared" si="227"/>
        <v>-3.8303163603871093E-3</v>
      </c>
      <c r="H4832" s="2">
        <f t="shared" si="225"/>
        <v>95.650000000000546</v>
      </c>
      <c r="I4832" s="3">
        <f t="shared" si="226"/>
        <v>1.194244155195562E-2</v>
      </c>
    </row>
    <row r="4833" spans="2:9" x14ac:dyDescent="0.25">
      <c r="B4833" s="1">
        <v>42248</v>
      </c>
      <c r="C4833" s="2">
        <v>7785.85</v>
      </c>
      <c r="D4833" s="2">
        <v>7907.95</v>
      </c>
      <c r="E4833" s="2">
        <v>7929.1</v>
      </c>
      <c r="F4833" s="2">
        <v>7746.5</v>
      </c>
      <c r="G4833" s="3">
        <f t="shared" si="227"/>
        <v>-2.3264712154855482E-2</v>
      </c>
      <c r="H4833" s="2">
        <f t="shared" si="225"/>
        <v>182.60000000000036</v>
      </c>
      <c r="I4833" s="3">
        <f t="shared" si="226"/>
        <v>2.3090687219823137E-2</v>
      </c>
    </row>
    <row r="4834" spans="2:9" x14ac:dyDescent="0.25">
      <c r="B4834" s="1">
        <v>42249</v>
      </c>
      <c r="C4834" s="2">
        <v>7717</v>
      </c>
      <c r="D4834" s="2">
        <v>7856.65</v>
      </c>
      <c r="E4834" s="2">
        <v>7862.55</v>
      </c>
      <c r="F4834" s="2">
        <v>7699.25</v>
      </c>
      <c r="G4834" s="3">
        <f t="shared" si="227"/>
        <v>-8.8429651226263895E-3</v>
      </c>
      <c r="H4834" s="2">
        <f t="shared" si="225"/>
        <v>163.30000000000018</v>
      </c>
      <c r="I4834" s="3">
        <f t="shared" si="226"/>
        <v>2.0784940146245563E-2</v>
      </c>
    </row>
    <row r="4835" spans="2:9" x14ac:dyDescent="0.25">
      <c r="B4835" s="1">
        <v>42250</v>
      </c>
      <c r="C4835" s="2">
        <v>7823</v>
      </c>
      <c r="D4835" s="2">
        <v>7774.45</v>
      </c>
      <c r="E4835" s="2">
        <v>7845.6</v>
      </c>
      <c r="F4835" s="2">
        <v>7754.05</v>
      </c>
      <c r="G4835" s="3">
        <f t="shared" si="227"/>
        <v>1.3735907736166952E-2</v>
      </c>
      <c r="H4835" s="2">
        <f t="shared" si="225"/>
        <v>91.550000000000182</v>
      </c>
      <c r="I4835" s="3">
        <f t="shared" si="226"/>
        <v>1.1775752625587686E-2</v>
      </c>
    </row>
    <row r="4836" spans="2:9" x14ac:dyDescent="0.25">
      <c r="B4836" s="1">
        <v>42251</v>
      </c>
      <c r="C4836" s="2">
        <v>7655.05</v>
      </c>
      <c r="D4836" s="2">
        <v>7803.4</v>
      </c>
      <c r="E4836" s="2">
        <v>7804.9</v>
      </c>
      <c r="F4836" s="2">
        <v>7626.85</v>
      </c>
      <c r="G4836" s="3">
        <f t="shared" si="227"/>
        <v>-2.1468746005368744E-2</v>
      </c>
      <c r="H4836" s="2">
        <f t="shared" si="225"/>
        <v>178.04999999999927</v>
      </c>
      <c r="I4836" s="3">
        <f t="shared" si="226"/>
        <v>2.281697721506001E-2</v>
      </c>
    </row>
    <row r="4837" spans="2:9" x14ac:dyDescent="0.25">
      <c r="B4837" s="1">
        <v>42254</v>
      </c>
      <c r="C4837" s="2">
        <v>7558.8</v>
      </c>
      <c r="D4837" s="2">
        <v>7685.85</v>
      </c>
      <c r="E4837" s="2">
        <v>7705.05</v>
      </c>
      <c r="F4837" s="2">
        <v>7545.9</v>
      </c>
      <c r="G4837" s="3">
        <f t="shared" si="227"/>
        <v>-1.2573399259312446E-2</v>
      </c>
      <c r="H4837" s="2">
        <f t="shared" si="225"/>
        <v>159.15000000000055</v>
      </c>
      <c r="I4837" s="3">
        <f t="shared" si="226"/>
        <v>2.0706883428638412E-2</v>
      </c>
    </row>
    <row r="4838" spans="2:9" x14ac:dyDescent="0.25">
      <c r="B4838" s="1">
        <v>42255</v>
      </c>
      <c r="C4838" s="2">
        <v>7688.25</v>
      </c>
      <c r="D4838" s="2">
        <v>7587.7</v>
      </c>
      <c r="E4838" s="2">
        <v>7720.9</v>
      </c>
      <c r="F4838" s="2">
        <v>7539.5</v>
      </c>
      <c r="G4838" s="3">
        <f t="shared" si="227"/>
        <v>1.7125734243530699E-2</v>
      </c>
      <c r="H4838" s="2">
        <f t="shared" si="225"/>
        <v>181.39999999999964</v>
      </c>
      <c r="I4838" s="3">
        <f t="shared" si="226"/>
        <v>2.3907112827338935E-2</v>
      </c>
    </row>
    <row r="4839" spans="2:9" x14ac:dyDescent="0.25">
      <c r="B4839" s="1">
        <v>42256</v>
      </c>
      <c r="C4839" s="2">
        <v>7818.6</v>
      </c>
      <c r="D4839" s="2">
        <v>7805.85</v>
      </c>
      <c r="E4839" s="2">
        <v>7846.05</v>
      </c>
      <c r="F4839" s="2">
        <v>7764.55</v>
      </c>
      <c r="G4839" s="3">
        <f t="shared" si="227"/>
        <v>1.6954443468929936E-2</v>
      </c>
      <c r="H4839" s="2">
        <f t="shared" si="225"/>
        <v>81.5</v>
      </c>
      <c r="I4839" s="3">
        <f t="shared" si="226"/>
        <v>1.0440887283255507E-2</v>
      </c>
    </row>
    <row r="4840" spans="2:9" x14ac:dyDescent="0.25">
      <c r="B4840" s="1">
        <v>42257</v>
      </c>
      <c r="C4840" s="2">
        <v>7788.1</v>
      </c>
      <c r="D4840" s="2">
        <v>7729.05</v>
      </c>
      <c r="E4840" s="2">
        <v>7819.85</v>
      </c>
      <c r="F4840" s="2">
        <v>7678.5</v>
      </c>
      <c r="G4840" s="3">
        <f t="shared" si="227"/>
        <v>-3.9009541350113475E-3</v>
      </c>
      <c r="H4840" s="2">
        <f t="shared" si="225"/>
        <v>141.35000000000036</v>
      </c>
      <c r="I4840" s="3">
        <f t="shared" si="226"/>
        <v>1.8288146667443005E-2</v>
      </c>
    </row>
    <row r="4841" spans="2:9" x14ac:dyDescent="0.25">
      <c r="B4841" s="1">
        <v>42258</v>
      </c>
      <c r="C4841" s="2">
        <v>7789.3</v>
      </c>
      <c r="D4841" s="2">
        <v>7833.8</v>
      </c>
      <c r="E4841" s="2">
        <v>7864.85</v>
      </c>
      <c r="F4841" s="2">
        <v>7759.9</v>
      </c>
      <c r="G4841" s="3">
        <f t="shared" si="227"/>
        <v>1.5408122648663536E-4</v>
      </c>
      <c r="H4841" s="2">
        <f t="shared" si="225"/>
        <v>104.95000000000073</v>
      </c>
      <c r="I4841" s="3">
        <f t="shared" si="226"/>
        <v>1.3397074216855258E-2</v>
      </c>
    </row>
    <row r="4842" spans="2:9" x14ac:dyDescent="0.25">
      <c r="B4842" s="1">
        <v>42261</v>
      </c>
      <c r="C4842" s="2">
        <v>7872.25</v>
      </c>
      <c r="D4842" s="2">
        <v>7811.1</v>
      </c>
      <c r="E4842" s="2">
        <v>7879.95</v>
      </c>
      <c r="F4842" s="2">
        <v>7761.85</v>
      </c>
      <c r="G4842" s="3">
        <f t="shared" si="227"/>
        <v>1.0649223935398577E-2</v>
      </c>
      <c r="H4842" s="2">
        <f t="shared" si="225"/>
        <v>118.09999999999945</v>
      </c>
      <c r="I4842" s="3">
        <f t="shared" si="226"/>
        <v>1.5119509416087293E-2</v>
      </c>
    </row>
    <row r="4843" spans="2:9" x14ac:dyDescent="0.25">
      <c r="B4843" s="1">
        <v>42262</v>
      </c>
      <c r="C4843" s="2">
        <v>7829.1</v>
      </c>
      <c r="D4843" s="2">
        <v>7867.35</v>
      </c>
      <c r="E4843" s="2">
        <v>7880</v>
      </c>
      <c r="F4843" s="2">
        <v>7799.75</v>
      </c>
      <c r="G4843" s="3">
        <f t="shared" si="227"/>
        <v>-5.4812791768553693E-3</v>
      </c>
      <c r="H4843" s="2">
        <f t="shared" si="225"/>
        <v>80.25</v>
      </c>
      <c r="I4843" s="3">
        <f t="shared" si="226"/>
        <v>1.0200385136036912E-2</v>
      </c>
    </row>
    <row r="4844" spans="2:9" x14ac:dyDescent="0.25">
      <c r="B4844" s="1">
        <v>42263</v>
      </c>
      <c r="C4844" s="2">
        <v>7899.15</v>
      </c>
      <c r="D4844" s="2">
        <v>7886.85</v>
      </c>
      <c r="E4844" s="2">
        <v>7913.9</v>
      </c>
      <c r="F4844" s="2">
        <v>7853.3</v>
      </c>
      <c r="G4844" s="3">
        <f t="shared" si="227"/>
        <v>8.9473885887265681E-3</v>
      </c>
      <c r="H4844" s="2">
        <f t="shared" si="225"/>
        <v>60.599999999999454</v>
      </c>
      <c r="I4844" s="3">
        <f t="shared" si="226"/>
        <v>7.6836759923162544E-3</v>
      </c>
    </row>
    <row r="4845" spans="2:9" x14ac:dyDescent="0.25">
      <c r="B4845" s="1">
        <v>42265</v>
      </c>
      <c r="C4845" s="2">
        <v>7981.9</v>
      </c>
      <c r="D4845" s="2">
        <v>7967.45</v>
      </c>
      <c r="E4845" s="2">
        <v>8055</v>
      </c>
      <c r="F4845" s="2">
        <v>7955.85</v>
      </c>
      <c r="G4845" s="3">
        <f t="shared" si="227"/>
        <v>1.0475810688491904E-2</v>
      </c>
      <c r="H4845" s="2">
        <f t="shared" si="225"/>
        <v>99.149999999999636</v>
      </c>
      <c r="I4845" s="3">
        <f t="shared" si="226"/>
        <v>1.2444383083671644E-2</v>
      </c>
    </row>
    <row r="4846" spans="2:9" x14ac:dyDescent="0.25">
      <c r="B4846" s="1">
        <v>42268</v>
      </c>
      <c r="C4846" s="2">
        <v>7977.1</v>
      </c>
      <c r="D4846" s="2">
        <v>7911.5</v>
      </c>
      <c r="E4846" s="2">
        <v>7987.9</v>
      </c>
      <c r="F4846" s="2">
        <v>7908.35</v>
      </c>
      <c r="G4846" s="3">
        <f t="shared" si="227"/>
        <v>-6.0136057830828538E-4</v>
      </c>
      <c r="H4846" s="2">
        <f t="shared" si="225"/>
        <v>79.549999999999272</v>
      </c>
      <c r="I4846" s="3">
        <f t="shared" si="226"/>
        <v>1.0054983252227678E-2</v>
      </c>
    </row>
    <row r="4847" spans="2:9" x14ac:dyDescent="0.25">
      <c r="B4847" s="1">
        <v>42269</v>
      </c>
      <c r="C4847" s="2">
        <v>7812</v>
      </c>
      <c r="D4847" s="2">
        <v>8014.8</v>
      </c>
      <c r="E4847" s="2">
        <v>8021.6</v>
      </c>
      <c r="F4847" s="2">
        <v>7787.75</v>
      </c>
      <c r="G4847" s="3">
        <f t="shared" si="227"/>
        <v>-2.0696744430933611E-2</v>
      </c>
      <c r="H4847" s="2">
        <f t="shared" si="225"/>
        <v>233.85000000000036</v>
      </c>
      <c r="I4847" s="3">
        <f t="shared" si="226"/>
        <v>2.9177272046713623E-2</v>
      </c>
    </row>
    <row r="4848" spans="2:9" x14ac:dyDescent="0.25">
      <c r="B4848" s="1">
        <v>42270</v>
      </c>
      <c r="C4848" s="2">
        <v>7845.95</v>
      </c>
      <c r="D4848" s="2">
        <v>7737.35</v>
      </c>
      <c r="E4848" s="2">
        <v>7882.9</v>
      </c>
      <c r="F4848" s="2">
        <v>7723.25</v>
      </c>
      <c r="G4848" s="3">
        <f t="shared" si="227"/>
        <v>4.3458781362006871E-3</v>
      </c>
      <c r="H4848" s="2">
        <f t="shared" si="225"/>
        <v>159.64999999999964</v>
      </c>
      <c r="I4848" s="3">
        <f t="shared" si="226"/>
        <v>2.0633679489747734E-2</v>
      </c>
    </row>
    <row r="4849" spans="2:9" x14ac:dyDescent="0.25">
      <c r="B4849" s="1">
        <v>42271</v>
      </c>
      <c r="C4849" s="2">
        <v>7868.5</v>
      </c>
      <c r="D4849" s="2">
        <v>7838.4</v>
      </c>
      <c r="E4849" s="2">
        <v>7894.5</v>
      </c>
      <c r="F4849" s="2">
        <v>7804.1</v>
      </c>
      <c r="G4849" s="3">
        <f t="shared" si="227"/>
        <v>2.8740942779394985E-3</v>
      </c>
      <c r="H4849" s="2">
        <f t="shared" si="225"/>
        <v>90.399999999999636</v>
      </c>
      <c r="I4849" s="3">
        <f t="shared" si="226"/>
        <v>1.1532965911410446E-2</v>
      </c>
    </row>
    <row r="4850" spans="2:9" x14ac:dyDescent="0.25">
      <c r="B4850" s="1">
        <v>42275</v>
      </c>
      <c r="C4850" s="2">
        <v>7795.7</v>
      </c>
      <c r="D4850" s="2">
        <v>7892.8</v>
      </c>
      <c r="E4850" s="2">
        <v>7893.95</v>
      </c>
      <c r="F4850" s="2">
        <v>7787.95</v>
      </c>
      <c r="G4850" s="3">
        <f t="shared" si="227"/>
        <v>-9.2520810827985134E-3</v>
      </c>
      <c r="H4850" s="2">
        <f t="shared" si="225"/>
        <v>106</v>
      </c>
      <c r="I4850" s="3">
        <f t="shared" si="226"/>
        <v>1.3429961483884046E-2</v>
      </c>
    </row>
    <row r="4851" spans="2:9" x14ac:dyDescent="0.25">
      <c r="B4851" s="1">
        <v>42276</v>
      </c>
      <c r="C4851" s="2">
        <v>7843.3</v>
      </c>
      <c r="D4851" s="2">
        <v>7725.7</v>
      </c>
      <c r="E4851" s="2">
        <v>7926.55</v>
      </c>
      <c r="F4851" s="2">
        <v>7691.2</v>
      </c>
      <c r="G4851" s="3">
        <f t="shared" si="227"/>
        <v>6.105930192285447E-3</v>
      </c>
      <c r="H4851" s="2">
        <f t="shared" si="225"/>
        <v>235.35000000000036</v>
      </c>
      <c r="I4851" s="3">
        <f t="shared" si="226"/>
        <v>3.0463258992712683E-2</v>
      </c>
    </row>
    <row r="4852" spans="2:9" x14ac:dyDescent="0.25">
      <c r="B4852" s="1">
        <v>42277</v>
      </c>
      <c r="C4852" s="2">
        <v>7948.9</v>
      </c>
      <c r="D4852" s="2">
        <v>7924.25</v>
      </c>
      <c r="E4852" s="2">
        <v>7957.7</v>
      </c>
      <c r="F4852" s="2">
        <v>7874.5</v>
      </c>
      <c r="G4852" s="3">
        <f t="shared" si="227"/>
        <v>1.3463720627796993E-2</v>
      </c>
      <c r="H4852" s="2">
        <f t="shared" si="225"/>
        <v>83.199999999999818</v>
      </c>
      <c r="I4852" s="3">
        <f t="shared" si="226"/>
        <v>1.0499416348550313E-2</v>
      </c>
    </row>
    <row r="4853" spans="2:9" x14ac:dyDescent="0.25">
      <c r="B4853" s="1">
        <v>42278</v>
      </c>
      <c r="C4853" s="2">
        <v>7950.9</v>
      </c>
      <c r="D4853" s="2">
        <v>7992.05</v>
      </c>
      <c r="E4853" s="2">
        <v>8008.25</v>
      </c>
      <c r="F4853" s="2">
        <v>7930.65</v>
      </c>
      <c r="G4853" s="3">
        <f t="shared" si="227"/>
        <v>2.5160714061067679E-4</v>
      </c>
      <c r="H4853" s="2">
        <f t="shared" si="225"/>
        <v>77.600000000000364</v>
      </c>
      <c r="I4853" s="3">
        <f t="shared" si="226"/>
        <v>9.7096489636576792E-3</v>
      </c>
    </row>
    <row r="4854" spans="2:9" x14ac:dyDescent="0.25">
      <c r="B4854" s="1">
        <v>42282</v>
      </c>
      <c r="C4854" s="2">
        <v>8119.3</v>
      </c>
      <c r="D4854" s="2">
        <v>8005.1</v>
      </c>
      <c r="E4854" s="2">
        <v>8128.9</v>
      </c>
      <c r="F4854" s="2">
        <v>8005.1</v>
      </c>
      <c r="G4854" s="3">
        <f t="shared" si="227"/>
        <v>2.1179992202140729E-2</v>
      </c>
      <c r="H4854" s="2">
        <f t="shared" si="225"/>
        <v>123.79999999999927</v>
      </c>
      <c r="I4854" s="3">
        <f t="shared" si="226"/>
        <v>1.5465140972629857E-2</v>
      </c>
    </row>
    <row r="4855" spans="2:9" x14ac:dyDescent="0.25">
      <c r="B4855" s="1">
        <v>42283</v>
      </c>
      <c r="C4855" s="2">
        <v>8152.9</v>
      </c>
      <c r="D4855" s="2">
        <v>8180.45</v>
      </c>
      <c r="E4855" s="2">
        <v>8180.95</v>
      </c>
      <c r="F4855" s="2">
        <v>8096.5</v>
      </c>
      <c r="G4855" s="3">
        <f t="shared" si="227"/>
        <v>4.1382877834295062E-3</v>
      </c>
      <c r="H4855" s="2">
        <f t="shared" si="225"/>
        <v>84.449999999999818</v>
      </c>
      <c r="I4855" s="3">
        <f t="shared" si="226"/>
        <v>1.0323392967379523E-2</v>
      </c>
    </row>
    <row r="4856" spans="2:9" x14ac:dyDescent="0.25">
      <c r="B4856" s="1">
        <v>42284</v>
      </c>
      <c r="C4856" s="2">
        <v>8177.4</v>
      </c>
      <c r="D4856" s="2">
        <v>8146.2</v>
      </c>
      <c r="E4856" s="2">
        <v>8188.9</v>
      </c>
      <c r="F4856" s="2">
        <v>8132.9</v>
      </c>
      <c r="G4856" s="3">
        <f t="shared" si="227"/>
        <v>3.0050656821498656E-3</v>
      </c>
      <c r="H4856" s="2">
        <f t="shared" si="225"/>
        <v>56</v>
      </c>
      <c r="I4856" s="3">
        <f t="shared" si="226"/>
        <v>6.8743708723085616E-3</v>
      </c>
    </row>
    <row r="4857" spans="2:9" x14ac:dyDescent="0.25">
      <c r="B4857" s="1">
        <v>42285</v>
      </c>
      <c r="C4857" s="2">
        <v>8129.35</v>
      </c>
      <c r="D4857" s="2">
        <v>8196.75</v>
      </c>
      <c r="E4857" s="2">
        <v>8196.75</v>
      </c>
      <c r="F4857" s="2">
        <v>8105.85</v>
      </c>
      <c r="G4857" s="3">
        <f t="shared" si="227"/>
        <v>-5.8759507912049536E-3</v>
      </c>
      <c r="H4857" s="2">
        <f t="shared" si="225"/>
        <v>90.899999999999636</v>
      </c>
      <c r="I4857" s="3">
        <f t="shared" si="226"/>
        <v>1.1089761185835805E-2</v>
      </c>
    </row>
    <row r="4858" spans="2:9" x14ac:dyDescent="0.25">
      <c r="B4858" s="1">
        <v>42286</v>
      </c>
      <c r="C4858" s="2">
        <v>8189.7</v>
      </c>
      <c r="D4858" s="2">
        <v>8186.35</v>
      </c>
      <c r="E4858" s="2">
        <v>8232.2000000000007</v>
      </c>
      <c r="F4858" s="2">
        <v>8139.65</v>
      </c>
      <c r="G4858" s="3">
        <f t="shared" si="227"/>
        <v>7.4237177634126628E-3</v>
      </c>
      <c r="H4858" s="2">
        <f t="shared" si="225"/>
        <v>92.550000000001091</v>
      </c>
      <c r="I4858" s="3">
        <f t="shared" si="226"/>
        <v>1.1305404728603235E-2</v>
      </c>
    </row>
    <row r="4859" spans="2:9" x14ac:dyDescent="0.25">
      <c r="B4859" s="1">
        <v>42289</v>
      </c>
      <c r="C4859" s="2">
        <v>8143.6</v>
      </c>
      <c r="D4859" s="2">
        <v>8231.5</v>
      </c>
      <c r="E4859" s="2">
        <v>8244.5</v>
      </c>
      <c r="F4859" s="2">
        <v>8128.2</v>
      </c>
      <c r="G4859" s="3">
        <f t="shared" si="227"/>
        <v>-5.6290218200910624E-3</v>
      </c>
      <c r="H4859" s="2">
        <f t="shared" si="225"/>
        <v>116.30000000000018</v>
      </c>
      <c r="I4859" s="3">
        <f t="shared" si="226"/>
        <v>1.4128652129016605E-2</v>
      </c>
    </row>
    <row r="4860" spans="2:9" x14ac:dyDescent="0.25">
      <c r="B4860" s="1">
        <v>42290</v>
      </c>
      <c r="C4860" s="2">
        <v>8131.7</v>
      </c>
      <c r="D4860" s="2">
        <v>8121.95</v>
      </c>
      <c r="E4860" s="2">
        <v>8150.25</v>
      </c>
      <c r="F4860" s="2">
        <v>8088.6</v>
      </c>
      <c r="G4860" s="3">
        <f t="shared" si="227"/>
        <v>-1.4612701999116018E-3</v>
      </c>
      <c r="H4860" s="2">
        <f t="shared" si="225"/>
        <v>61.649999999999636</v>
      </c>
      <c r="I4860" s="3">
        <f t="shared" si="226"/>
        <v>7.5905416802614688E-3</v>
      </c>
    </row>
    <row r="4861" spans="2:9" x14ac:dyDescent="0.25">
      <c r="B4861" s="1">
        <v>42291</v>
      </c>
      <c r="C4861" s="2">
        <v>8107.9</v>
      </c>
      <c r="D4861" s="2">
        <v>8102.4</v>
      </c>
      <c r="E4861" s="2">
        <v>8139.3</v>
      </c>
      <c r="F4861" s="2">
        <v>8096.35</v>
      </c>
      <c r="G4861" s="3">
        <f t="shared" si="227"/>
        <v>-2.9268172706814477E-3</v>
      </c>
      <c r="H4861" s="2">
        <f t="shared" si="225"/>
        <v>42.949999999999818</v>
      </c>
      <c r="I4861" s="3">
        <f t="shared" si="226"/>
        <v>5.3008984992100883E-3</v>
      </c>
    </row>
    <row r="4862" spans="2:9" x14ac:dyDescent="0.25">
      <c r="B4862" s="1">
        <v>42292</v>
      </c>
      <c r="C4862" s="2">
        <v>8179.5</v>
      </c>
      <c r="D4862" s="2">
        <v>8134.35</v>
      </c>
      <c r="E4862" s="2">
        <v>8190.55</v>
      </c>
      <c r="F4862" s="2">
        <v>8129.8</v>
      </c>
      <c r="G4862" s="3">
        <f t="shared" si="227"/>
        <v>8.8308933262621903E-3</v>
      </c>
      <c r="H4862" s="2">
        <f t="shared" si="225"/>
        <v>60.75</v>
      </c>
      <c r="I4862" s="3">
        <f t="shared" si="226"/>
        <v>7.4683287539877184E-3</v>
      </c>
    </row>
    <row r="4863" spans="2:9" x14ac:dyDescent="0.25">
      <c r="B4863" s="1">
        <v>42293</v>
      </c>
      <c r="C4863" s="2">
        <v>8238.15</v>
      </c>
      <c r="D4863" s="2">
        <v>8193.65</v>
      </c>
      <c r="E4863" s="2">
        <v>8246.4</v>
      </c>
      <c r="F4863" s="2">
        <v>8147.65</v>
      </c>
      <c r="G4863" s="3">
        <f t="shared" si="227"/>
        <v>7.1703649367320654E-3</v>
      </c>
      <c r="H4863" s="2">
        <f t="shared" si="225"/>
        <v>98.75</v>
      </c>
      <c r="I4863" s="3">
        <f t="shared" si="226"/>
        <v>1.2052015890354116E-2</v>
      </c>
    </row>
    <row r="4864" spans="2:9" x14ac:dyDescent="0.25">
      <c r="B4864" s="1">
        <v>42296</v>
      </c>
      <c r="C4864" s="2">
        <v>8275.0499999999993</v>
      </c>
      <c r="D4864" s="2">
        <v>8262.5499999999993</v>
      </c>
      <c r="E4864" s="2">
        <v>8283.0499999999993</v>
      </c>
      <c r="F4864" s="2">
        <v>8239.2000000000007</v>
      </c>
      <c r="G4864" s="3">
        <f t="shared" si="227"/>
        <v>4.4791609766754448E-3</v>
      </c>
      <c r="H4864" s="2">
        <f t="shared" si="225"/>
        <v>43.849999999998545</v>
      </c>
      <c r="I4864" s="3">
        <f t="shared" si="226"/>
        <v>5.3070783232777472E-3</v>
      </c>
    </row>
    <row r="4865" spans="2:9" x14ac:dyDescent="0.25">
      <c r="B4865" s="1">
        <v>42297</v>
      </c>
      <c r="C4865" s="2">
        <v>8261.65</v>
      </c>
      <c r="D4865" s="2">
        <v>8280.2999999999993</v>
      </c>
      <c r="E4865" s="2">
        <v>8294.0499999999993</v>
      </c>
      <c r="F4865" s="2">
        <v>8229.2000000000007</v>
      </c>
      <c r="G4865" s="3">
        <f t="shared" si="227"/>
        <v>-1.6193255629874947E-3</v>
      </c>
      <c r="H4865" s="2">
        <f t="shared" si="225"/>
        <v>64.849999999998545</v>
      </c>
      <c r="I4865" s="3">
        <f t="shared" si="226"/>
        <v>7.8318418414789984E-3</v>
      </c>
    </row>
    <row r="4866" spans="2:9" x14ac:dyDescent="0.25">
      <c r="B4866" s="1">
        <v>42298</v>
      </c>
      <c r="C4866" s="2">
        <v>8251.7000000000007</v>
      </c>
      <c r="D4866" s="2">
        <v>8258.35</v>
      </c>
      <c r="E4866" s="2">
        <v>8294.4</v>
      </c>
      <c r="F4866" s="2">
        <v>8217.15</v>
      </c>
      <c r="G4866" s="3">
        <f t="shared" si="227"/>
        <v>-1.2043599038931152E-3</v>
      </c>
      <c r="H4866" s="2">
        <f t="shared" si="225"/>
        <v>77.25</v>
      </c>
      <c r="I4866" s="3">
        <f t="shared" si="226"/>
        <v>9.354168810961027E-3</v>
      </c>
    </row>
    <row r="4867" spans="2:9" x14ac:dyDescent="0.25">
      <c r="B4867" s="1">
        <v>42300</v>
      </c>
      <c r="C4867" s="2">
        <v>8295.4500000000007</v>
      </c>
      <c r="D4867" s="2">
        <v>8308.25</v>
      </c>
      <c r="E4867" s="2">
        <v>8328.1</v>
      </c>
      <c r="F4867" s="2">
        <v>8280.75</v>
      </c>
      <c r="G4867" s="3">
        <f t="shared" si="227"/>
        <v>5.3019377825176406E-3</v>
      </c>
      <c r="H4867" s="2">
        <f t="shared" si="225"/>
        <v>47.350000000000364</v>
      </c>
      <c r="I4867" s="3">
        <f t="shared" si="226"/>
        <v>5.6991544549093208E-3</v>
      </c>
    </row>
    <row r="4868" spans="2:9" x14ac:dyDescent="0.25">
      <c r="B4868" s="1">
        <v>42303</v>
      </c>
      <c r="C4868" s="2">
        <v>8260.5499999999993</v>
      </c>
      <c r="D4868" s="2">
        <v>8333.65</v>
      </c>
      <c r="E4868" s="2">
        <v>8336.2999999999993</v>
      </c>
      <c r="F4868" s="2">
        <v>8252.0499999999993</v>
      </c>
      <c r="G4868" s="3">
        <f t="shared" si="227"/>
        <v>-4.2071255929456708E-3</v>
      </c>
      <c r="H4868" s="2">
        <f t="shared" si="225"/>
        <v>84.25</v>
      </c>
      <c r="I4868" s="3">
        <f t="shared" si="226"/>
        <v>1.0109615834598285E-2</v>
      </c>
    </row>
    <row r="4869" spans="2:9" x14ac:dyDescent="0.25">
      <c r="B4869" s="1">
        <v>42304</v>
      </c>
      <c r="C4869" s="2">
        <v>8232.9</v>
      </c>
      <c r="D4869" s="2">
        <v>8230.35</v>
      </c>
      <c r="E4869" s="2">
        <v>8241.9500000000007</v>
      </c>
      <c r="F4869" s="2">
        <v>8217.0499999999993</v>
      </c>
      <c r="G4869" s="3">
        <f t="shared" si="227"/>
        <v>-3.3472347482915721E-3</v>
      </c>
      <c r="H4869" s="2">
        <f t="shared" ref="H4869:H4932" si="228">E4869-F4869</f>
        <v>24.900000000001455</v>
      </c>
      <c r="I4869" s="3">
        <f t="shared" si="226"/>
        <v>3.0253877417122546E-3</v>
      </c>
    </row>
    <row r="4870" spans="2:9" x14ac:dyDescent="0.25">
      <c r="B4870" s="1">
        <v>42305</v>
      </c>
      <c r="C4870" s="2">
        <v>8171.2</v>
      </c>
      <c r="D4870" s="2">
        <v>8188.9</v>
      </c>
      <c r="E4870" s="2">
        <v>8209.1</v>
      </c>
      <c r="F4870" s="2">
        <v>8131.8</v>
      </c>
      <c r="G4870" s="3">
        <f t="shared" si="227"/>
        <v>-7.494321563483064E-3</v>
      </c>
      <c r="H4870" s="2">
        <f t="shared" si="228"/>
        <v>77.300000000000182</v>
      </c>
      <c r="I4870" s="3">
        <f t="shared" ref="I4870:I4933" si="229">H4870/D4870</f>
        <v>9.4396072732601671E-3</v>
      </c>
    </row>
    <row r="4871" spans="2:9" x14ac:dyDescent="0.25">
      <c r="B4871" s="1">
        <v>42306</v>
      </c>
      <c r="C4871" s="2">
        <v>8111.75</v>
      </c>
      <c r="D4871" s="2">
        <v>8175.45</v>
      </c>
      <c r="E4871" s="2">
        <v>8179.6</v>
      </c>
      <c r="F4871" s="2">
        <v>8098</v>
      </c>
      <c r="G4871" s="3">
        <f t="shared" ref="G4871:G4934" si="230">C4871/C4870-1</f>
        <v>-7.2755531623261982E-3</v>
      </c>
      <c r="H4871" s="2">
        <f t="shared" si="228"/>
        <v>81.600000000000364</v>
      </c>
      <c r="I4871" s="3">
        <f t="shared" si="229"/>
        <v>9.9811019576904469E-3</v>
      </c>
    </row>
    <row r="4872" spans="2:9" x14ac:dyDescent="0.25">
      <c r="B4872" s="1">
        <v>42307</v>
      </c>
      <c r="C4872" s="2">
        <v>8065.8</v>
      </c>
      <c r="D4872" s="2">
        <v>8123.55</v>
      </c>
      <c r="E4872" s="2">
        <v>8146.1</v>
      </c>
      <c r="F4872" s="2">
        <v>8044.4</v>
      </c>
      <c r="G4872" s="3">
        <f t="shared" si="230"/>
        <v>-5.6646223071470381E-3</v>
      </c>
      <c r="H4872" s="2">
        <f t="shared" si="228"/>
        <v>101.70000000000073</v>
      </c>
      <c r="I4872" s="3">
        <f t="shared" si="229"/>
        <v>1.2519157264988917E-2</v>
      </c>
    </row>
    <row r="4873" spans="2:9" x14ac:dyDescent="0.25">
      <c r="B4873" s="1">
        <v>42310</v>
      </c>
      <c r="C4873" s="2">
        <v>8050.8</v>
      </c>
      <c r="D4873" s="2">
        <v>8054.55</v>
      </c>
      <c r="E4873" s="2">
        <v>8060.7</v>
      </c>
      <c r="F4873" s="2">
        <v>7995.6</v>
      </c>
      <c r="G4873" s="3">
        <f t="shared" si="230"/>
        <v>-1.859703935133572E-3</v>
      </c>
      <c r="H4873" s="2">
        <f t="shared" si="228"/>
        <v>65.099999999999454</v>
      </c>
      <c r="I4873" s="3">
        <f t="shared" si="229"/>
        <v>8.0823882153564699E-3</v>
      </c>
    </row>
    <row r="4874" spans="2:9" x14ac:dyDescent="0.25">
      <c r="B4874" s="1">
        <v>42311</v>
      </c>
      <c r="C4874" s="2">
        <v>8060.7</v>
      </c>
      <c r="D4874" s="2">
        <v>8086.35</v>
      </c>
      <c r="E4874" s="2">
        <v>8100.35</v>
      </c>
      <c r="F4874" s="2">
        <v>8031.75</v>
      </c>
      <c r="G4874" s="3">
        <f t="shared" si="230"/>
        <v>1.2296914592337949E-3</v>
      </c>
      <c r="H4874" s="2">
        <f t="shared" si="228"/>
        <v>68.600000000000364</v>
      </c>
      <c r="I4874" s="3">
        <f t="shared" si="229"/>
        <v>8.4834319563215008E-3</v>
      </c>
    </row>
    <row r="4875" spans="2:9" x14ac:dyDescent="0.25">
      <c r="B4875" s="1">
        <v>42312</v>
      </c>
      <c r="C4875" s="2">
        <v>8040.2</v>
      </c>
      <c r="D4875" s="2">
        <v>8104.9</v>
      </c>
      <c r="E4875" s="2">
        <v>8116.1</v>
      </c>
      <c r="F4875" s="2">
        <v>8027.3</v>
      </c>
      <c r="G4875" s="3">
        <f t="shared" si="230"/>
        <v>-2.5432034438696016E-3</v>
      </c>
      <c r="H4875" s="2">
        <f t="shared" si="228"/>
        <v>88.800000000000182</v>
      </c>
      <c r="I4875" s="3">
        <f t="shared" si="229"/>
        <v>1.0956335056570739E-2</v>
      </c>
    </row>
    <row r="4876" spans="2:9" x14ac:dyDescent="0.25">
      <c r="B4876" s="1">
        <v>42313</v>
      </c>
      <c r="C4876" s="2">
        <v>7955.45</v>
      </c>
      <c r="D4876" s="2">
        <v>8030.35</v>
      </c>
      <c r="E4876" s="2">
        <v>8031.2</v>
      </c>
      <c r="F4876" s="2">
        <v>7944.1</v>
      </c>
      <c r="G4876" s="3">
        <f t="shared" si="230"/>
        <v>-1.0540782567597828E-2</v>
      </c>
      <c r="H4876" s="2">
        <f t="shared" si="228"/>
        <v>87.099999999999454</v>
      </c>
      <c r="I4876" s="3">
        <f t="shared" si="229"/>
        <v>1.0846351653414788E-2</v>
      </c>
    </row>
    <row r="4877" spans="2:9" x14ac:dyDescent="0.25">
      <c r="B4877" s="1">
        <v>42314</v>
      </c>
      <c r="C4877" s="2">
        <v>7954.3</v>
      </c>
      <c r="D4877" s="2">
        <v>7956.55</v>
      </c>
      <c r="E4877" s="2">
        <v>8002.65</v>
      </c>
      <c r="F4877" s="2">
        <v>7926.15</v>
      </c>
      <c r="G4877" s="3">
        <f t="shared" si="230"/>
        <v>-1.4455499060384014E-4</v>
      </c>
      <c r="H4877" s="2">
        <f t="shared" si="228"/>
        <v>76.5</v>
      </c>
      <c r="I4877" s="3">
        <f t="shared" si="229"/>
        <v>9.6147199477160331E-3</v>
      </c>
    </row>
    <row r="4878" spans="2:9" x14ac:dyDescent="0.25">
      <c r="B4878" s="1">
        <v>42317</v>
      </c>
      <c r="C4878" s="2">
        <v>7915.2</v>
      </c>
      <c r="D4878" s="2">
        <v>7788.25</v>
      </c>
      <c r="E4878" s="2">
        <v>7937.75</v>
      </c>
      <c r="F4878" s="2">
        <v>7771.7</v>
      </c>
      <c r="G4878" s="3">
        <f t="shared" si="230"/>
        <v>-4.9155802521906322E-3</v>
      </c>
      <c r="H4878" s="2">
        <f t="shared" si="228"/>
        <v>166.05000000000018</v>
      </c>
      <c r="I4878" s="3">
        <f t="shared" si="229"/>
        <v>2.1320579077456447E-2</v>
      </c>
    </row>
    <row r="4879" spans="2:9" x14ac:dyDescent="0.25">
      <c r="B4879" s="1">
        <v>42318</v>
      </c>
      <c r="C4879" s="2">
        <v>7783.35</v>
      </c>
      <c r="D4879" s="2">
        <v>7877.6</v>
      </c>
      <c r="E4879" s="2">
        <v>7885.1</v>
      </c>
      <c r="F4879" s="2">
        <v>7772.85</v>
      </c>
      <c r="G4879" s="3">
        <f t="shared" si="230"/>
        <v>-1.6657822922983567E-2</v>
      </c>
      <c r="H4879" s="2">
        <f t="shared" si="228"/>
        <v>112.25</v>
      </c>
      <c r="I4879" s="3">
        <f t="shared" si="229"/>
        <v>1.424926373514776E-2</v>
      </c>
    </row>
    <row r="4880" spans="2:9" x14ac:dyDescent="0.25">
      <c r="B4880" s="1">
        <v>42319</v>
      </c>
      <c r="C4880" s="2">
        <v>7825</v>
      </c>
      <c r="D4880" s="2">
        <v>7838.8</v>
      </c>
      <c r="E4880" s="2">
        <v>7847.95</v>
      </c>
      <c r="F4880" s="2">
        <v>7819.1</v>
      </c>
      <c r="G4880" s="3">
        <f t="shared" si="230"/>
        <v>5.3511662715926001E-3</v>
      </c>
      <c r="H4880" s="2">
        <f t="shared" si="228"/>
        <v>28.849999999999454</v>
      </c>
      <c r="I4880" s="3">
        <f t="shared" si="229"/>
        <v>3.6804102668775134E-3</v>
      </c>
    </row>
    <row r="4881" spans="2:9" x14ac:dyDescent="0.25">
      <c r="B4881" s="1">
        <v>42321</v>
      </c>
      <c r="C4881" s="2">
        <v>7762.25</v>
      </c>
      <c r="D4881" s="2">
        <v>7762.45</v>
      </c>
      <c r="E4881" s="2">
        <v>7775.1</v>
      </c>
      <c r="F4881" s="2">
        <v>7730.9</v>
      </c>
      <c r="G4881" s="3">
        <f t="shared" si="230"/>
        <v>-8.0191693290734278E-3</v>
      </c>
      <c r="H4881" s="2">
        <f t="shared" si="228"/>
        <v>44.200000000000728</v>
      </c>
      <c r="I4881" s="3">
        <f t="shared" si="229"/>
        <v>5.6940785447894323E-3</v>
      </c>
    </row>
    <row r="4882" spans="2:9" x14ac:dyDescent="0.25">
      <c r="B4882" s="1">
        <v>42324</v>
      </c>
      <c r="C4882" s="2">
        <v>7806.6</v>
      </c>
      <c r="D4882" s="2">
        <v>7732.95</v>
      </c>
      <c r="E4882" s="2">
        <v>7838.85</v>
      </c>
      <c r="F4882" s="2">
        <v>7714.15</v>
      </c>
      <c r="G4882" s="3">
        <f t="shared" si="230"/>
        <v>5.7135495507101286E-3</v>
      </c>
      <c r="H4882" s="2">
        <f t="shared" si="228"/>
        <v>124.70000000000073</v>
      </c>
      <c r="I4882" s="3">
        <f t="shared" si="229"/>
        <v>1.6125799339191477E-2</v>
      </c>
    </row>
    <row r="4883" spans="2:9" x14ac:dyDescent="0.25">
      <c r="B4883" s="1">
        <v>42325</v>
      </c>
      <c r="C4883" s="2">
        <v>7837.55</v>
      </c>
      <c r="D4883" s="2">
        <v>7848.75</v>
      </c>
      <c r="E4883" s="2">
        <v>7860.45</v>
      </c>
      <c r="F4883" s="2">
        <v>7793</v>
      </c>
      <c r="G4883" s="3">
        <f t="shared" si="230"/>
        <v>3.9645940614352337E-3</v>
      </c>
      <c r="H4883" s="2">
        <f t="shared" si="228"/>
        <v>67.449999999999818</v>
      </c>
      <c r="I4883" s="3">
        <f t="shared" si="229"/>
        <v>8.5937251154642232E-3</v>
      </c>
    </row>
    <row r="4884" spans="2:9" x14ac:dyDescent="0.25">
      <c r="B4884" s="1">
        <v>42326</v>
      </c>
      <c r="C4884" s="2">
        <v>7731.8</v>
      </c>
      <c r="D4884" s="2">
        <v>7823.15</v>
      </c>
      <c r="E4884" s="2">
        <v>7843.4</v>
      </c>
      <c r="F4884" s="2">
        <v>7725.05</v>
      </c>
      <c r="G4884" s="3">
        <f t="shared" si="230"/>
        <v>-1.3492736888440882E-2</v>
      </c>
      <c r="H4884" s="2">
        <f t="shared" si="228"/>
        <v>118.34999999999945</v>
      </c>
      <c r="I4884" s="3">
        <f t="shared" si="229"/>
        <v>1.5128177268747175E-2</v>
      </c>
    </row>
    <row r="4885" spans="2:9" x14ac:dyDescent="0.25">
      <c r="B4885" s="1">
        <v>42327</v>
      </c>
      <c r="C4885" s="2">
        <v>7842.75</v>
      </c>
      <c r="D4885" s="2">
        <v>7788.5</v>
      </c>
      <c r="E4885" s="2">
        <v>7854.9</v>
      </c>
      <c r="F4885" s="2">
        <v>7765.45</v>
      </c>
      <c r="G4885" s="3">
        <f t="shared" si="230"/>
        <v>1.4349827983134666E-2</v>
      </c>
      <c r="H4885" s="2">
        <f t="shared" si="228"/>
        <v>89.449999999999818</v>
      </c>
      <c r="I4885" s="3">
        <f t="shared" si="229"/>
        <v>1.148488155614044E-2</v>
      </c>
    </row>
    <row r="4886" spans="2:9" x14ac:dyDescent="0.25">
      <c r="B4886" s="1">
        <v>42328</v>
      </c>
      <c r="C4886" s="2">
        <v>7856.55</v>
      </c>
      <c r="D4886" s="2">
        <v>7841.9</v>
      </c>
      <c r="E4886" s="2">
        <v>7906.95</v>
      </c>
      <c r="F4886" s="2">
        <v>7817.8</v>
      </c>
      <c r="G4886" s="3">
        <f t="shared" si="230"/>
        <v>1.759586879602093E-3</v>
      </c>
      <c r="H4886" s="2">
        <f t="shared" si="228"/>
        <v>89.149999999999636</v>
      </c>
      <c r="I4886" s="3">
        <f t="shared" si="229"/>
        <v>1.1368418367997506E-2</v>
      </c>
    </row>
    <row r="4887" spans="2:9" x14ac:dyDescent="0.25">
      <c r="B4887" s="1">
        <v>42331</v>
      </c>
      <c r="C4887" s="2">
        <v>7849.25</v>
      </c>
      <c r="D4887" s="2">
        <v>7869.5</v>
      </c>
      <c r="E4887" s="2">
        <v>7877.5</v>
      </c>
      <c r="F4887" s="2">
        <v>7825.2</v>
      </c>
      <c r="G4887" s="3">
        <f t="shared" si="230"/>
        <v>-9.2916101851325816E-4</v>
      </c>
      <c r="H4887" s="2">
        <f t="shared" si="228"/>
        <v>52.300000000000182</v>
      </c>
      <c r="I4887" s="3">
        <f t="shared" si="229"/>
        <v>6.6459114302052456E-3</v>
      </c>
    </row>
    <row r="4888" spans="2:9" x14ac:dyDescent="0.25">
      <c r="B4888" s="1">
        <v>42332</v>
      </c>
      <c r="C4888" s="2">
        <v>7831.6</v>
      </c>
      <c r="D4888" s="2">
        <v>7837</v>
      </c>
      <c r="E4888" s="2">
        <v>7870.35</v>
      </c>
      <c r="F4888" s="2">
        <v>7812.65</v>
      </c>
      <c r="G4888" s="3">
        <f t="shared" si="230"/>
        <v>-2.2486224798546894E-3</v>
      </c>
      <c r="H4888" s="2">
        <f t="shared" si="228"/>
        <v>57.700000000000728</v>
      </c>
      <c r="I4888" s="3">
        <f t="shared" si="229"/>
        <v>7.3625111649866948E-3</v>
      </c>
    </row>
    <row r="4889" spans="2:9" x14ac:dyDescent="0.25">
      <c r="B4889" s="1">
        <v>42334</v>
      </c>
      <c r="C4889" s="2">
        <v>7883.8</v>
      </c>
      <c r="D4889" s="2">
        <v>7837.15</v>
      </c>
      <c r="E4889" s="2">
        <v>7897.1</v>
      </c>
      <c r="F4889" s="2">
        <v>7832</v>
      </c>
      <c r="G4889" s="3">
        <f t="shared" si="230"/>
        <v>6.6653046631595103E-3</v>
      </c>
      <c r="H4889" s="2">
        <f t="shared" si="228"/>
        <v>65.100000000000364</v>
      </c>
      <c r="I4889" s="3">
        <f t="shared" si="229"/>
        <v>8.3065910439382128E-3</v>
      </c>
    </row>
    <row r="4890" spans="2:9" x14ac:dyDescent="0.25">
      <c r="B4890" s="1">
        <v>42335</v>
      </c>
      <c r="C4890" s="2">
        <v>7942.7</v>
      </c>
      <c r="D4890" s="2">
        <v>7910.6</v>
      </c>
      <c r="E4890" s="2">
        <v>7959.3</v>
      </c>
      <c r="F4890" s="2">
        <v>7879.45</v>
      </c>
      <c r="G4890" s="3">
        <f t="shared" si="230"/>
        <v>7.4710165148785812E-3</v>
      </c>
      <c r="H4890" s="2">
        <f t="shared" si="228"/>
        <v>79.850000000000364</v>
      </c>
      <c r="I4890" s="3">
        <f t="shared" si="229"/>
        <v>1.0094051020150223E-2</v>
      </c>
    </row>
    <row r="4891" spans="2:9" x14ac:dyDescent="0.25">
      <c r="B4891" s="1">
        <v>42338</v>
      </c>
      <c r="C4891" s="2">
        <v>7935.25</v>
      </c>
      <c r="D4891" s="2">
        <v>7936.25</v>
      </c>
      <c r="E4891" s="2">
        <v>7966</v>
      </c>
      <c r="F4891" s="2">
        <v>7922.8</v>
      </c>
      <c r="G4891" s="3">
        <f t="shared" si="230"/>
        <v>-9.3796819721247982E-4</v>
      </c>
      <c r="H4891" s="2">
        <f t="shared" si="228"/>
        <v>43.199999999999818</v>
      </c>
      <c r="I4891" s="3">
        <f t="shared" si="229"/>
        <v>5.4433769097495437E-3</v>
      </c>
    </row>
    <row r="4892" spans="2:9" x14ac:dyDescent="0.25">
      <c r="B4892" s="1">
        <v>42339</v>
      </c>
      <c r="C4892" s="2">
        <v>7954.9</v>
      </c>
      <c r="D4892" s="2">
        <v>7958.15</v>
      </c>
      <c r="E4892" s="2">
        <v>7972.15</v>
      </c>
      <c r="F4892" s="2">
        <v>7934.15</v>
      </c>
      <c r="G4892" s="3">
        <f t="shared" si="230"/>
        <v>2.4762924923600327E-3</v>
      </c>
      <c r="H4892" s="2">
        <f t="shared" si="228"/>
        <v>38</v>
      </c>
      <c r="I4892" s="3">
        <f t="shared" si="229"/>
        <v>4.7749791094663964E-3</v>
      </c>
    </row>
    <row r="4893" spans="2:9" x14ac:dyDescent="0.25">
      <c r="B4893" s="1">
        <v>42340</v>
      </c>
      <c r="C4893" s="2">
        <v>7931.35</v>
      </c>
      <c r="D4893" s="2">
        <v>7976.7</v>
      </c>
      <c r="E4893" s="2">
        <v>7979.3</v>
      </c>
      <c r="F4893" s="2">
        <v>7910.8</v>
      </c>
      <c r="G4893" s="3">
        <f t="shared" si="230"/>
        <v>-2.9604394775546439E-3</v>
      </c>
      <c r="H4893" s="2">
        <f t="shared" si="228"/>
        <v>68.5</v>
      </c>
      <c r="I4893" s="3">
        <f t="shared" si="229"/>
        <v>8.5875111261549258E-3</v>
      </c>
    </row>
    <row r="4894" spans="2:9" x14ac:dyDescent="0.25">
      <c r="B4894" s="1">
        <v>42341</v>
      </c>
      <c r="C4894" s="2">
        <v>7864.15</v>
      </c>
      <c r="D4894" s="2">
        <v>7902.3</v>
      </c>
      <c r="E4894" s="2">
        <v>7912.3</v>
      </c>
      <c r="F4894" s="2">
        <v>7853.3</v>
      </c>
      <c r="G4894" s="3">
        <f t="shared" si="230"/>
        <v>-8.4727064118972351E-3</v>
      </c>
      <c r="H4894" s="2">
        <f t="shared" si="228"/>
        <v>59</v>
      </c>
      <c r="I4894" s="3">
        <f t="shared" si="229"/>
        <v>7.4661807321918933E-3</v>
      </c>
    </row>
    <row r="4895" spans="2:9" x14ac:dyDescent="0.25">
      <c r="B4895" s="1">
        <v>42342</v>
      </c>
      <c r="C4895" s="2">
        <v>7781.9</v>
      </c>
      <c r="D4895" s="2">
        <v>7817.6</v>
      </c>
      <c r="E4895" s="2">
        <v>7821.4</v>
      </c>
      <c r="F4895" s="2">
        <v>7775.7</v>
      </c>
      <c r="G4895" s="3">
        <f t="shared" si="230"/>
        <v>-1.0458854421647623E-2</v>
      </c>
      <c r="H4895" s="2">
        <f t="shared" si="228"/>
        <v>45.699999999999818</v>
      </c>
      <c r="I4895" s="3">
        <f t="shared" si="229"/>
        <v>5.8457838722881465E-3</v>
      </c>
    </row>
    <row r="4896" spans="2:9" x14ac:dyDescent="0.25">
      <c r="B4896" s="1">
        <v>42345</v>
      </c>
      <c r="C4896" s="2">
        <v>7765.4</v>
      </c>
      <c r="D4896" s="2">
        <v>7816.55</v>
      </c>
      <c r="E4896" s="2">
        <v>7825.4</v>
      </c>
      <c r="F4896" s="2">
        <v>7746.05</v>
      </c>
      <c r="G4896" s="3">
        <f t="shared" si="230"/>
        <v>-2.1203048098793476E-3</v>
      </c>
      <c r="H4896" s="2">
        <f t="shared" si="228"/>
        <v>79.349999999999454</v>
      </c>
      <c r="I4896" s="3">
        <f t="shared" si="229"/>
        <v>1.0151537442989484E-2</v>
      </c>
    </row>
    <row r="4897" spans="2:9" x14ac:dyDescent="0.25">
      <c r="B4897" s="1">
        <v>42346</v>
      </c>
      <c r="C4897" s="2">
        <v>7701.7</v>
      </c>
      <c r="D4897" s="2">
        <v>7738.5</v>
      </c>
      <c r="E4897" s="2">
        <v>7771.25</v>
      </c>
      <c r="F4897" s="2">
        <v>7685.45</v>
      </c>
      <c r="G4897" s="3">
        <f t="shared" si="230"/>
        <v>-8.2030545754242512E-3</v>
      </c>
      <c r="H4897" s="2">
        <f t="shared" si="228"/>
        <v>85.800000000000182</v>
      </c>
      <c r="I4897" s="3">
        <f t="shared" si="229"/>
        <v>1.1087420042643946E-2</v>
      </c>
    </row>
    <row r="4898" spans="2:9" x14ac:dyDescent="0.25">
      <c r="B4898" s="1">
        <v>42347</v>
      </c>
      <c r="C4898" s="2">
        <v>7612.5</v>
      </c>
      <c r="D4898" s="2">
        <v>7695.5</v>
      </c>
      <c r="E4898" s="2">
        <v>7702.85</v>
      </c>
      <c r="F4898" s="2">
        <v>7606.9</v>
      </c>
      <c r="G4898" s="3">
        <f t="shared" si="230"/>
        <v>-1.1581858550709589E-2</v>
      </c>
      <c r="H4898" s="2">
        <f t="shared" si="228"/>
        <v>95.950000000000728</v>
      </c>
      <c r="I4898" s="3">
        <f t="shared" si="229"/>
        <v>1.2468325644857479E-2</v>
      </c>
    </row>
    <row r="4899" spans="2:9" x14ac:dyDescent="0.25">
      <c r="B4899" s="1">
        <v>42348</v>
      </c>
      <c r="C4899" s="2">
        <v>7683.3</v>
      </c>
      <c r="D4899" s="2">
        <v>7643.3</v>
      </c>
      <c r="E4899" s="2">
        <v>7691.95</v>
      </c>
      <c r="F4899" s="2">
        <v>7610</v>
      </c>
      <c r="G4899" s="3">
        <f t="shared" si="230"/>
        <v>9.3004926108375408E-3</v>
      </c>
      <c r="H4899" s="2">
        <f t="shared" si="228"/>
        <v>81.949999999999818</v>
      </c>
      <c r="I4899" s="3">
        <f t="shared" si="229"/>
        <v>1.0721808642863661E-2</v>
      </c>
    </row>
    <row r="4900" spans="2:9" x14ac:dyDescent="0.25">
      <c r="B4900" s="1">
        <v>42349</v>
      </c>
      <c r="C4900" s="2">
        <v>7610.45</v>
      </c>
      <c r="D4900" s="2">
        <v>7699.6</v>
      </c>
      <c r="E4900" s="2">
        <v>7703.05</v>
      </c>
      <c r="F4900" s="2">
        <v>7575.3</v>
      </c>
      <c r="G4900" s="3">
        <f t="shared" si="230"/>
        <v>-9.4816029570627958E-3</v>
      </c>
      <c r="H4900" s="2">
        <f t="shared" si="228"/>
        <v>127.75</v>
      </c>
      <c r="I4900" s="3">
        <f t="shared" si="229"/>
        <v>1.6591771001090966E-2</v>
      </c>
    </row>
    <row r="4901" spans="2:9" x14ac:dyDescent="0.25">
      <c r="B4901" s="1">
        <v>42352</v>
      </c>
      <c r="C4901" s="2">
        <v>7650.05</v>
      </c>
      <c r="D4901" s="2">
        <v>7558.2</v>
      </c>
      <c r="E4901" s="2">
        <v>7663.95</v>
      </c>
      <c r="F4901" s="2">
        <v>7551.05</v>
      </c>
      <c r="G4901" s="3">
        <f t="shared" si="230"/>
        <v>5.2033716797299512E-3</v>
      </c>
      <c r="H4901" s="2">
        <f t="shared" si="228"/>
        <v>112.89999999999964</v>
      </c>
      <c r="I4901" s="3">
        <f t="shared" si="229"/>
        <v>1.4937418962186717E-2</v>
      </c>
    </row>
    <row r="4902" spans="2:9" x14ac:dyDescent="0.25">
      <c r="B4902" s="1">
        <v>42353</v>
      </c>
      <c r="C4902" s="2">
        <v>7700.9</v>
      </c>
      <c r="D4902" s="2">
        <v>7659.15</v>
      </c>
      <c r="E4902" s="2">
        <v>7705</v>
      </c>
      <c r="F4902" s="2">
        <v>7625.1</v>
      </c>
      <c r="G4902" s="3">
        <f t="shared" si="230"/>
        <v>6.6470153789843778E-3</v>
      </c>
      <c r="H4902" s="2">
        <f t="shared" si="228"/>
        <v>79.899999999999636</v>
      </c>
      <c r="I4902" s="3">
        <f t="shared" si="229"/>
        <v>1.0431966993726411E-2</v>
      </c>
    </row>
    <row r="4903" spans="2:9" x14ac:dyDescent="0.25">
      <c r="B4903" s="1">
        <v>42354</v>
      </c>
      <c r="C4903" s="2">
        <v>7750.9</v>
      </c>
      <c r="D4903" s="2">
        <v>7725.25</v>
      </c>
      <c r="E4903" s="2">
        <v>7776.6</v>
      </c>
      <c r="F4903" s="2">
        <v>7715.75</v>
      </c>
      <c r="G4903" s="3">
        <f t="shared" si="230"/>
        <v>6.4927476009297713E-3</v>
      </c>
      <c r="H4903" s="2">
        <f t="shared" si="228"/>
        <v>60.850000000000364</v>
      </c>
      <c r="I4903" s="3">
        <f t="shared" si="229"/>
        <v>7.8767677421443145E-3</v>
      </c>
    </row>
    <row r="4904" spans="2:9" x14ac:dyDescent="0.25">
      <c r="B4904" s="1">
        <v>42355</v>
      </c>
      <c r="C4904" s="2">
        <v>7844.35</v>
      </c>
      <c r="D4904" s="2">
        <v>7783.05</v>
      </c>
      <c r="E4904" s="2">
        <v>7852.9</v>
      </c>
      <c r="F4904" s="2">
        <v>7737.55</v>
      </c>
      <c r="G4904" s="3">
        <f t="shared" si="230"/>
        <v>1.2056664387361637E-2</v>
      </c>
      <c r="H4904" s="2">
        <f t="shared" si="228"/>
        <v>115.34999999999945</v>
      </c>
      <c r="I4904" s="3">
        <f t="shared" si="229"/>
        <v>1.4820667990055242E-2</v>
      </c>
    </row>
    <row r="4905" spans="2:9" x14ac:dyDescent="0.25">
      <c r="B4905" s="1">
        <v>42356</v>
      </c>
      <c r="C4905" s="2">
        <v>7761.95</v>
      </c>
      <c r="D4905" s="2">
        <v>7828.9</v>
      </c>
      <c r="E4905" s="2">
        <v>7836.15</v>
      </c>
      <c r="F4905" s="2">
        <v>7753.35</v>
      </c>
      <c r="G4905" s="3">
        <f t="shared" si="230"/>
        <v>-1.0504375760898021E-2</v>
      </c>
      <c r="H4905" s="2">
        <f t="shared" si="228"/>
        <v>82.799999999999272</v>
      </c>
      <c r="I4905" s="3">
        <f t="shared" si="229"/>
        <v>1.0576198444225788E-2</v>
      </c>
    </row>
    <row r="4906" spans="2:9" x14ac:dyDescent="0.25">
      <c r="B4906" s="1">
        <v>42359</v>
      </c>
      <c r="C4906" s="2">
        <v>7834.45</v>
      </c>
      <c r="D4906" s="2">
        <v>7745.65</v>
      </c>
      <c r="E4906" s="2">
        <v>7840.75</v>
      </c>
      <c r="F4906" s="2">
        <v>7733.45</v>
      </c>
      <c r="G4906" s="3">
        <f t="shared" si="230"/>
        <v>9.3404363594200568E-3</v>
      </c>
      <c r="H4906" s="2">
        <f t="shared" si="228"/>
        <v>107.30000000000018</v>
      </c>
      <c r="I4906" s="3">
        <f t="shared" si="229"/>
        <v>1.3852936809693206E-2</v>
      </c>
    </row>
    <row r="4907" spans="2:9" x14ac:dyDescent="0.25">
      <c r="B4907" s="1">
        <v>42360</v>
      </c>
      <c r="C4907" s="2">
        <v>7786.1</v>
      </c>
      <c r="D4907" s="2">
        <v>7829.4</v>
      </c>
      <c r="E4907" s="2">
        <v>7846.3</v>
      </c>
      <c r="F4907" s="2">
        <v>7776.85</v>
      </c>
      <c r="G4907" s="3">
        <f t="shared" si="230"/>
        <v>-6.1714606641180003E-3</v>
      </c>
      <c r="H4907" s="2">
        <f t="shared" si="228"/>
        <v>69.449999999999818</v>
      </c>
      <c r="I4907" s="3">
        <f t="shared" si="229"/>
        <v>8.8704115257873944E-3</v>
      </c>
    </row>
    <row r="4908" spans="2:9" x14ac:dyDescent="0.25">
      <c r="B4908" s="1">
        <v>42361</v>
      </c>
      <c r="C4908" s="2">
        <v>7865.95</v>
      </c>
      <c r="D4908" s="2">
        <v>7830.45</v>
      </c>
      <c r="E4908" s="2">
        <v>7871.45</v>
      </c>
      <c r="F4908" s="2">
        <v>7826.1</v>
      </c>
      <c r="G4908" s="3">
        <f t="shared" si="230"/>
        <v>1.0255455234327693E-2</v>
      </c>
      <c r="H4908" s="2">
        <f t="shared" si="228"/>
        <v>45.349999999999454</v>
      </c>
      <c r="I4908" s="3">
        <f t="shared" si="229"/>
        <v>5.7914934646156298E-3</v>
      </c>
    </row>
    <row r="4909" spans="2:9" x14ac:dyDescent="0.25">
      <c r="B4909" s="1">
        <v>42362</v>
      </c>
      <c r="C4909" s="2">
        <v>7861.05</v>
      </c>
      <c r="D4909" s="2">
        <v>7888.75</v>
      </c>
      <c r="E4909" s="2">
        <v>7888.75</v>
      </c>
      <c r="F4909" s="2">
        <v>7835.5</v>
      </c>
      <c r="G4909" s="3">
        <f t="shared" si="230"/>
        <v>-6.2293810664948435E-4</v>
      </c>
      <c r="H4909" s="2">
        <f t="shared" si="228"/>
        <v>53.25</v>
      </c>
      <c r="I4909" s="3">
        <f t="shared" si="229"/>
        <v>6.7501188401204249E-3</v>
      </c>
    </row>
    <row r="4910" spans="2:9" x14ac:dyDescent="0.25">
      <c r="B4910" s="1">
        <v>42366</v>
      </c>
      <c r="C4910" s="2">
        <v>7925.15</v>
      </c>
      <c r="D4910" s="2">
        <v>7863.2</v>
      </c>
      <c r="E4910" s="2">
        <v>7937.2</v>
      </c>
      <c r="F4910" s="2">
        <v>7863</v>
      </c>
      <c r="G4910" s="3">
        <f t="shared" si="230"/>
        <v>8.1541269932132732E-3</v>
      </c>
      <c r="H4910" s="2">
        <f t="shared" si="228"/>
        <v>74.199999999999818</v>
      </c>
      <c r="I4910" s="3">
        <f t="shared" si="229"/>
        <v>9.4363617865499821E-3</v>
      </c>
    </row>
    <row r="4911" spans="2:9" x14ac:dyDescent="0.25">
      <c r="B4911" s="1">
        <v>42367</v>
      </c>
      <c r="C4911" s="2">
        <v>7928.95</v>
      </c>
      <c r="D4911" s="2">
        <v>7929.2</v>
      </c>
      <c r="E4911" s="2">
        <v>7942.15</v>
      </c>
      <c r="F4911" s="2">
        <v>7902.75</v>
      </c>
      <c r="G4911" s="3">
        <f t="shared" si="230"/>
        <v>4.7948619269044812E-4</v>
      </c>
      <c r="H4911" s="2">
        <f t="shared" si="228"/>
        <v>39.399999999999636</v>
      </c>
      <c r="I4911" s="3">
        <f t="shared" si="229"/>
        <v>4.9689754325782723E-3</v>
      </c>
    </row>
    <row r="4912" spans="2:9" x14ac:dyDescent="0.25">
      <c r="B4912" s="1">
        <v>42368</v>
      </c>
      <c r="C4912" s="2">
        <v>7896.25</v>
      </c>
      <c r="D4912" s="2">
        <v>7938.6</v>
      </c>
      <c r="E4912" s="2">
        <v>7944.75</v>
      </c>
      <c r="F4912" s="2">
        <v>7889.85</v>
      </c>
      <c r="G4912" s="3">
        <f t="shared" si="230"/>
        <v>-4.1241274065292322E-3</v>
      </c>
      <c r="H4912" s="2">
        <f t="shared" si="228"/>
        <v>54.899999999999636</v>
      </c>
      <c r="I4912" s="3">
        <f t="shared" si="229"/>
        <v>6.915577053888549E-3</v>
      </c>
    </row>
    <row r="4913" spans="2:9" x14ac:dyDescent="0.25">
      <c r="B4913" s="1">
        <v>42369</v>
      </c>
      <c r="C4913" s="2">
        <v>7946.35</v>
      </c>
      <c r="D4913" s="2">
        <v>7897.8</v>
      </c>
      <c r="E4913" s="2">
        <v>7955.55</v>
      </c>
      <c r="F4913" s="2">
        <v>7891.15</v>
      </c>
      <c r="G4913" s="3">
        <f t="shared" si="230"/>
        <v>6.3447839164161302E-3</v>
      </c>
      <c r="H4913" s="2">
        <f t="shared" si="228"/>
        <v>64.400000000000546</v>
      </c>
      <c r="I4913" s="3">
        <f t="shared" si="229"/>
        <v>8.1541695155613637E-3</v>
      </c>
    </row>
    <row r="4914" spans="2:9" x14ac:dyDescent="0.25">
      <c r="B4914" s="1">
        <v>42370</v>
      </c>
      <c r="C4914" s="2">
        <v>7963.2</v>
      </c>
      <c r="D4914" s="2">
        <v>7938.45</v>
      </c>
      <c r="E4914" s="2">
        <v>7972.55</v>
      </c>
      <c r="F4914" s="2">
        <v>7909.8</v>
      </c>
      <c r="G4914" s="3">
        <f t="shared" si="230"/>
        <v>2.1204704046511313E-3</v>
      </c>
      <c r="H4914" s="2">
        <f t="shared" si="228"/>
        <v>62.75</v>
      </c>
      <c r="I4914" s="3">
        <f t="shared" si="229"/>
        <v>7.9045657527602991E-3</v>
      </c>
    </row>
    <row r="4915" spans="2:9" x14ac:dyDescent="0.25">
      <c r="B4915" s="1">
        <v>42373</v>
      </c>
      <c r="C4915" s="2">
        <v>7791.3</v>
      </c>
      <c r="D4915" s="2">
        <v>7924.55</v>
      </c>
      <c r="E4915" s="2">
        <v>7937.55</v>
      </c>
      <c r="F4915" s="2">
        <v>7781.1</v>
      </c>
      <c r="G4915" s="3">
        <f t="shared" si="230"/>
        <v>-2.1586799276672619E-2</v>
      </c>
      <c r="H4915" s="2">
        <f t="shared" si="228"/>
        <v>156.44999999999982</v>
      </c>
      <c r="I4915" s="3">
        <f t="shared" si="229"/>
        <v>1.9742445943302749E-2</v>
      </c>
    </row>
    <row r="4916" spans="2:9" x14ac:dyDescent="0.25">
      <c r="B4916" s="1">
        <v>42374</v>
      </c>
      <c r="C4916" s="2">
        <v>7784.65</v>
      </c>
      <c r="D4916" s="2">
        <v>7828.4</v>
      </c>
      <c r="E4916" s="2">
        <v>7831.2</v>
      </c>
      <c r="F4916" s="2">
        <v>7763.25</v>
      </c>
      <c r="G4916" s="3">
        <f t="shared" si="230"/>
        <v>-8.5351610129258404E-4</v>
      </c>
      <c r="H4916" s="2">
        <f t="shared" si="228"/>
        <v>67.949999999999818</v>
      </c>
      <c r="I4916" s="3">
        <f t="shared" si="229"/>
        <v>8.6799345971079432E-3</v>
      </c>
    </row>
    <row r="4917" spans="2:9" x14ac:dyDescent="0.25">
      <c r="B4917" s="1">
        <v>42375</v>
      </c>
      <c r="C4917" s="2">
        <v>7741</v>
      </c>
      <c r="D4917" s="2">
        <v>7788.05</v>
      </c>
      <c r="E4917" s="2">
        <v>7800.95</v>
      </c>
      <c r="F4917" s="2">
        <v>7721.2</v>
      </c>
      <c r="G4917" s="3">
        <f t="shared" si="230"/>
        <v>-5.6071885055846149E-3</v>
      </c>
      <c r="H4917" s="2">
        <f t="shared" si="228"/>
        <v>79.75</v>
      </c>
      <c r="I4917" s="3">
        <f t="shared" si="229"/>
        <v>1.0240047251879481E-2</v>
      </c>
    </row>
    <row r="4918" spans="2:9" x14ac:dyDescent="0.25">
      <c r="B4918" s="1">
        <v>42376</v>
      </c>
      <c r="C4918" s="2">
        <v>7568.3</v>
      </c>
      <c r="D4918" s="2">
        <v>7673.35</v>
      </c>
      <c r="E4918" s="2">
        <v>7674.95</v>
      </c>
      <c r="F4918" s="2">
        <v>7556.6</v>
      </c>
      <c r="G4918" s="3">
        <f t="shared" si="230"/>
        <v>-2.2309779098307669E-2</v>
      </c>
      <c r="H4918" s="2">
        <f t="shared" si="228"/>
        <v>118.34999999999945</v>
      </c>
      <c r="I4918" s="3">
        <f t="shared" si="229"/>
        <v>1.5423511243459434E-2</v>
      </c>
    </row>
    <row r="4919" spans="2:9" x14ac:dyDescent="0.25">
      <c r="B4919" s="1">
        <v>42377</v>
      </c>
      <c r="C4919" s="2">
        <v>7601.35</v>
      </c>
      <c r="D4919" s="2">
        <v>7611.65</v>
      </c>
      <c r="E4919" s="2">
        <v>7634.1</v>
      </c>
      <c r="F4919" s="2">
        <v>7581.05</v>
      </c>
      <c r="G4919" s="3">
        <f t="shared" si="230"/>
        <v>4.3668987751543931E-3</v>
      </c>
      <c r="H4919" s="2">
        <f t="shared" si="228"/>
        <v>53.050000000000182</v>
      </c>
      <c r="I4919" s="3">
        <f t="shared" si="229"/>
        <v>6.9695795261211675E-3</v>
      </c>
    </row>
    <row r="4920" spans="2:9" x14ac:dyDescent="0.25">
      <c r="B4920" s="1">
        <v>42380</v>
      </c>
      <c r="C4920" s="2">
        <v>7563.85</v>
      </c>
      <c r="D4920" s="2">
        <v>7527.45</v>
      </c>
      <c r="E4920" s="2">
        <v>7605.1</v>
      </c>
      <c r="F4920" s="2">
        <v>7494.35</v>
      </c>
      <c r="G4920" s="3">
        <f t="shared" si="230"/>
        <v>-4.9333342103705657E-3</v>
      </c>
      <c r="H4920" s="2">
        <f t="shared" si="228"/>
        <v>110.75</v>
      </c>
      <c r="I4920" s="3">
        <f t="shared" si="229"/>
        <v>1.4712817753688169E-2</v>
      </c>
    </row>
    <row r="4921" spans="2:9" x14ac:dyDescent="0.25">
      <c r="B4921" s="1">
        <v>42381</v>
      </c>
      <c r="C4921" s="2">
        <v>7510.3</v>
      </c>
      <c r="D4921" s="2">
        <v>7587.2</v>
      </c>
      <c r="E4921" s="2">
        <v>7588.3</v>
      </c>
      <c r="F4921" s="2">
        <v>7487.8</v>
      </c>
      <c r="G4921" s="3">
        <f t="shared" si="230"/>
        <v>-7.0797279163389293E-3</v>
      </c>
      <c r="H4921" s="2">
        <f t="shared" si="228"/>
        <v>100.5</v>
      </c>
      <c r="I4921" s="3">
        <f t="shared" si="229"/>
        <v>1.3245993251792492E-2</v>
      </c>
    </row>
    <row r="4922" spans="2:9" x14ac:dyDescent="0.25">
      <c r="B4922" s="1">
        <v>42382</v>
      </c>
      <c r="C4922" s="2">
        <v>7562.4</v>
      </c>
      <c r="D4922" s="2">
        <v>7557.9</v>
      </c>
      <c r="E4922" s="2">
        <v>7590.95</v>
      </c>
      <c r="F4922" s="2">
        <v>7425.8</v>
      </c>
      <c r="G4922" s="3">
        <f t="shared" si="230"/>
        <v>6.9371396615314218E-3</v>
      </c>
      <c r="H4922" s="2">
        <f t="shared" si="228"/>
        <v>165.14999999999964</v>
      </c>
      <c r="I4922" s="3">
        <f t="shared" si="229"/>
        <v>2.1851307902988878E-2</v>
      </c>
    </row>
    <row r="4923" spans="2:9" x14ac:dyDescent="0.25">
      <c r="B4923" s="1">
        <v>42383</v>
      </c>
      <c r="C4923" s="2">
        <v>7536.8</v>
      </c>
      <c r="D4923" s="2">
        <v>7467.4</v>
      </c>
      <c r="E4923" s="2">
        <v>7604.8</v>
      </c>
      <c r="F4923" s="2">
        <v>7443.8</v>
      </c>
      <c r="G4923" s="3">
        <f t="shared" si="230"/>
        <v>-3.3851687295037847E-3</v>
      </c>
      <c r="H4923" s="2">
        <f t="shared" si="228"/>
        <v>161</v>
      </c>
      <c r="I4923" s="3">
        <f t="shared" si="229"/>
        <v>2.1560382462436727E-2</v>
      </c>
    </row>
    <row r="4924" spans="2:9" x14ac:dyDescent="0.25">
      <c r="B4924" s="1">
        <v>42384</v>
      </c>
      <c r="C4924" s="2">
        <v>7437.8</v>
      </c>
      <c r="D4924" s="2">
        <v>7561.65</v>
      </c>
      <c r="E4924" s="2">
        <v>7566.5</v>
      </c>
      <c r="F4924" s="2">
        <v>7427.3</v>
      </c>
      <c r="G4924" s="3">
        <f t="shared" si="230"/>
        <v>-1.3135548243286221E-2</v>
      </c>
      <c r="H4924" s="2">
        <f t="shared" si="228"/>
        <v>139.19999999999982</v>
      </c>
      <c r="I4924" s="3">
        <f t="shared" si="229"/>
        <v>1.8408680645097278E-2</v>
      </c>
    </row>
    <row r="4925" spans="2:9" x14ac:dyDescent="0.25">
      <c r="B4925" s="1">
        <v>42387</v>
      </c>
      <c r="C4925" s="2">
        <v>7351</v>
      </c>
      <c r="D4925" s="2">
        <v>7420.35</v>
      </c>
      <c r="E4925" s="2">
        <v>7463.65</v>
      </c>
      <c r="F4925" s="2">
        <v>7336.4</v>
      </c>
      <c r="G4925" s="3">
        <f t="shared" si="230"/>
        <v>-1.1670117507865285E-2</v>
      </c>
      <c r="H4925" s="2">
        <f t="shared" si="228"/>
        <v>127.25</v>
      </c>
      <c r="I4925" s="3">
        <f t="shared" si="229"/>
        <v>1.7148786782294635E-2</v>
      </c>
    </row>
    <row r="4926" spans="2:9" x14ac:dyDescent="0.25">
      <c r="B4926" s="1">
        <v>42388</v>
      </c>
      <c r="C4926" s="2">
        <v>7435.1</v>
      </c>
      <c r="D4926" s="2">
        <v>7381.8</v>
      </c>
      <c r="E4926" s="2">
        <v>7462.75</v>
      </c>
      <c r="F4926" s="2">
        <v>7364.15</v>
      </c>
      <c r="G4926" s="3">
        <f t="shared" si="230"/>
        <v>1.1440620323765582E-2</v>
      </c>
      <c r="H4926" s="2">
        <f t="shared" si="228"/>
        <v>98.600000000000364</v>
      </c>
      <c r="I4926" s="3">
        <f t="shared" si="229"/>
        <v>1.3357175756590582E-2</v>
      </c>
    </row>
    <row r="4927" spans="2:9" x14ac:dyDescent="0.25">
      <c r="B4927" s="1">
        <v>42389</v>
      </c>
      <c r="C4927" s="2">
        <v>7309.3</v>
      </c>
      <c r="D4927" s="2">
        <v>7357</v>
      </c>
      <c r="E4927" s="2">
        <v>7470.9</v>
      </c>
      <c r="F4927" s="2">
        <v>7241.5</v>
      </c>
      <c r="G4927" s="3">
        <f t="shared" si="230"/>
        <v>-1.6919745531331132E-2</v>
      </c>
      <c r="H4927" s="2">
        <f t="shared" si="228"/>
        <v>229.39999999999964</v>
      </c>
      <c r="I4927" s="3">
        <f t="shared" si="229"/>
        <v>3.1181187984232653E-2</v>
      </c>
    </row>
    <row r="4928" spans="2:9" x14ac:dyDescent="0.25">
      <c r="B4928" s="1">
        <v>42390</v>
      </c>
      <c r="C4928" s="2">
        <v>7276.8</v>
      </c>
      <c r="D4928" s="2">
        <v>7376.65</v>
      </c>
      <c r="E4928" s="2">
        <v>7398.7</v>
      </c>
      <c r="F4928" s="2">
        <v>7250</v>
      </c>
      <c r="G4928" s="3">
        <f t="shared" si="230"/>
        <v>-4.4463902152053203E-3</v>
      </c>
      <c r="H4928" s="2">
        <f t="shared" si="228"/>
        <v>148.69999999999982</v>
      </c>
      <c r="I4928" s="3">
        <f t="shared" si="229"/>
        <v>2.0158201893813565E-2</v>
      </c>
    </row>
    <row r="4929" spans="2:9" x14ac:dyDescent="0.25">
      <c r="B4929" s="1">
        <v>42391</v>
      </c>
      <c r="C4929" s="2">
        <v>7422.45</v>
      </c>
      <c r="D4929" s="2">
        <v>7355.7</v>
      </c>
      <c r="E4929" s="2">
        <v>7433.4</v>
      </c>
      <c r="F4929" s="2">
        <v>7327.6</v>
      </c>
      <c r="G4929" s="3">
        <f t="shared" si="230"/>
        <v>2.0015666226912865E-2</v>
      </c>
      <c r="H4929" s="2">
        <f t="shared" si="228"/>
        <v>105.79999999999927</v>
      </c>
      <c r="I4929" s="3">
        <f t="shared" si="229"/>
        <v>1.4383403347064084E-2</v>
      </c>
    </row>
    <row r="4930" spans="2:9" x14ac:dyDescent="0.25">
      <c r="B4930" s="1">
        <v>42394</v>
      </c>
      <c r="C4930" s="2">
        <v>7436.15</v>
      </c>
      <c r="D4930" s="2">
        <v>7468.75</v>
      </c>
      <c r="E4930" s="2">
        <v>7487.15</v>
      </c>
      <c r="F4930" s="2">
        <v>7421.2</v>
      </c>
      <c r="G4930" s="3">
        <f t="shared" si="230"/>
        <v>1.8457517396546219E-3</v>
      </c>
      <c r="H4930" s="2">
        <f t="shared" si="228"/>
        <v>65.949999999999818</v>
      </c>
      <c r="I4930" s="3">
        <f t="shared" si="229"/>
        <v>8.8301255230125286E-3</v>
      </c>
    </row>
    <row r="4931" spans="2:9" x14ac:dyDescent="0.25">
      <c r="B4931" s="1">
        <v>42396</v>
      </c>
      <c r="C4931" s="2">
        <v>7437.75</v>
      </c>
      <c r="D4931" s="2">
        <v>7469.6</v>
      </c>
      <c r="E4931" s="2">
        <v>7477.9</v>
      </c>
      <c r="F4931" s="2">
        <v>7419.7</v>
      </c>
      <c r="G4931" s="3">
        <f t="shared" si="230"/>
        <v>2.1516510559904667E-4</v>
      </c>
      <c r="H4931" s="2">
        <f t="shared" si="228"/>
        <v>58.199999999999818</v>
      </c>
      <c r="I4931" s="3">
        <f t="shared" si="229"/>
        <v>7.7915818785476883E-3</v>
      </c>
    </row>
    <row r="4932" spans="2:9" x14ac:dyDescent="0.25">
      <c r="B4932" s="1">
        <v>42397</v>
      </c>
      <c r="C4932" s="2">
        <v>7424.65</v>
      </c>
      <c r="D4932" s="2">
        <v>7426.5</v>
      </c>
      <c r="E4932" s="2">
        <v>7468.85</v>
      </c>
      <c r="F4932" s="2">
        <v>7409.6</v>
      </c>
      <c r="G4932" s="3">
        <f t="shared" si="230"/>
        <v>-1.7612853349467938E-3</v>
      </c>
      <c r="H4932" s="2">
        <f t="shared" si="228"/>
        <v>59.25</v>
      </c>
      <c r="I4932" s="3">
        <f t="shared" si="229"/>
        <v>7.9781862250050493E-3</v>
      </c>
    </row>
    <row r="4933" spans="2:9" x14ac:dyDescent="0.25">
      <c r="B4933" s="1">
        <v>42398</v>
      </c>
      <c r="C4933" s="2">
        <v>7563.55</v>
      </c>
      <c r="D4933" s="2">
        <v>7413.35</v>
      </c>
      <c r="E4933" s="2">
        <v>7575.65</v>
      </c>
      <c r="F4933" s="2">
        <v>7402.8</v>
      </c>
      <c r="G4933" s="3">
        <f t="shared" si="230"/>
        <v>1.8707952563420616E-2</v>
      </c>
      <c r="H4933" s="2">
        <f t="shared" ref="H4933:H4996" si="231">E4933-F4933</f>
        <v>172.84999999999945</v>
      </c>
      <c r="I4933" s="3">
        <f t="shared" si="229"/>
        <v>2.3316044703136835E-2</v>
      </c>
    </row>
    <row r="4934" spans="2:9" x14ac:dyDescent="0.25">
      <c r="B4934" s="1">
        <v>42401</v>
      </c>
      <c r="C4934" s="2">
        <v>7555.95</v>
      </c>
      <c r="D4934" s="2">
        <v>7589.5</v>
      </c>
      <c r="E4934" s="2">
        <v>7600.45</v>
      </c>
      <c r="F4934" s="2">
        <v>7541.25</v>
      </c>
      <c r="G4934" s="3">
        <f t="shared" si="230"/>
        <v>-1.0048191656034655E-3</v>
      </c>
      <c r="H4934" s="2">
        <f t="shared" si="231"/>
        <v>59.199999999999818</v>
      </c>
      <c r="I4934" s="3">
        <f t="shared" ref="I4934:I4997" si="232">H4934/D4934</f>
        <v>7.8002503458725631E-3</v>
      </c>
    </row>
    <row r="4935" spans="2:9" x14ac:dyDescent="0.25">
      <c r="B4935" s="1">
        <v>42402</v>
      </c>
      <c r="C4935" s="2">
        <v>7455.55</v>
      </c>
      <c r="D4935" s="2">
        <v>7566.65</v>
      </c>
      <c r="E4935" s="2">
        <v>7576.3</v>
      </c>
      <c r="F4935" s="2">
        <v>7428.05</v>
      </c>
      <c r="G4935" s="3">
        <f t="shared" ref="G4935:G4998" si="233">C4935/C4934-1</f>
        <v>-1.3287541606283759E-2</v>
      </c>
      <c r="H4935" s="2">
        <f t="shared" si="231"/>
        <v>148.25</v>
      </c>
      <c r="I4935" s="3">
        <f t="shared" si="232"/>
        <v>1.9592554168621518E-2</v>
      </c>
    </row>
    <row r="4936" spans="2:9" x14ac:dyDescent="0.25">
      <c r="B4936" s="1">
        <v>42403</v>
      </c>
      <c r="C4936" s="2">
        <v>7361.8</v>
      </c>
      <c r="D4936" s="2">
        <v>7392.45</v>
      </c>
      <c r="E4936" s="2">
        <v>7419.4</v>
      </c>
      <c r="F4936" s="2">
        <v>7350.3</v>
      </c>
      <c r="G4936" s="3">
        <f t="shared" si="233"/>
        <v>-1.257452501827494E-2</v>
      </c>
      <c r="H4936" s="2">
        <f t="shared" si="231"/>
        <v>69.099999999999454</v>
      </c>
      <c r="I4936" s="3">
        <f t="shared" si="232"/>
        <v>9.3473746863353083E-3</v>
      </c>
    </row>
    <row r="4937" spans="2:9" x14ac:dyDescent="0.25">
      <c r="B4937" s="1">
        <v>42404</v>
      </c>
      <c r="C4937" s="2">
        <v>7404</v>
      </c>
      <c r="D4937" s="2">
        <v>7411.45</v>
      </c>
      <c r="E4937" s="2">
        <v>7457.05</v>
      </c>
      <c r="F4937" s="2">
        <v>7365.95</v>
      </c>
      <c r="G4937" s="3">
        <f t="shared" si="233"/>
        <v>5.7322937325110512E-3</v>
      </c>
      <c r="H4937" s="2">
        <f t="shared" si="231"/>
        <v>91.100000000000364</v>
      </c>
      <c r="I4937" s="3">
        <f t="shared" si="232"/>
        <v>1.229179175464995E-2</v>
      </c>
    </row>
    <row r="4938" spans="2:9" x14ac:dyDescent="0.25">
      <c r="B4938" s="1">
        <v>42405</v>
      </c>
      <c r="C4938" s="2">
        <v>7489.1</v>
      </c>
      <c r="D4938" s="2">
        <v>7418.25</v>
      </c>
      <c r="E4938" s="2">
        <v>7503.15</v>
      </c>
      <c r="F4938" s="2">
        <v>7406.65</v>
      </c>
      <c r="G4938" s="3">
        <f t="shared" si="233"/>
        <v>1.1493787142085488E-2</v>
      </c>
      <c r="H4938" s="2">
        <f t="shared" si="231"/>
        <v>96.5</v>
      </c>
      <c r="I4938" s="3">
        <f t="shared" si="232"/>
        <v>1.300845886833148E-2</v>
      </c>
    </row>
    <row r="4939" spans="2:9" x14ac:dyDescent="0.25">
      <c r="B4939" s="1">
        <v>42408</v>
      </c>
      <c r="C4939" s="2">
        <v>7387.25</v>
      </c>
      <c r="D4939" s="2">
        <v>7489.7</v>
      </c>
      <c r="E4939" s="2">
        <v>7512.55</v>
      </c>
      <c r="F4939" s="2">
        <v>7363.2</v>
      </c>
      <c r="G4939" s="3">
        <f t="shared" si="233"/>
        <v>-1.3599764991788166E-2</v>
      </c>
      <c r="H4939" s="2">
        <f t="shared" si="231"/>
        <v>149.35000000000036</v>
      </c>
      <c r="I4939" s="3">
        <f t="shared" si="232"/>
        <v>1.9940718586859335E-2</v>
      </c>
    </row>
    <row r="4940" spans="2:9" x14ac:dyDescent="0.25">
      <c r="B4940" s="1">
        <v>42409</v>
      </c>
      <c r="C4940" s="2">
        <v>7298.2</v>
      </c>
      <c r="D4940" s="2">
        <v>7303.95</v>
      </c>
      <c r="E4940" s="2">
        <v>7323.45</v>
      </c>
      <c r="F4940" s="2">
        <v>7275.15</v>
      </c>
      <c r="G4940" s="3">
        <f t="shared" si="233"/>
        <v>-1.2054553453585637E-2</v>
      </c>
      <c r="H4940" s="2">
        <f t="shared" si="231"/>
        <v>48.300000000000182</v>
      </c>
      <c r="I4940" s="3">
        <f t="shared" si="232"/>
        <v>6.6128601647054246E-3</v>
      </c>
    </row>
    <row r="4941" spans="2:9" x14ac:dyDescent="0.25">
      <c r="B4941" s="1">
        <v>42410</v>
      </c>
      <c r="C4941" s="2">
        <v>7215.7</v>
      </c>
      <c r="D4941" s="2">
        <v>7264.3</v>
      </c>
      <c r="E4941" s="2">
        <v>7271.85</v>
      </c>
      <c r="F4941" s="2">
        <v>7177.75</v>
      </c>
      <c r="G4941" s="3">
        <f t="shared" si="233"/>
        <v>-1.1304157189443997E-2</v>
      </c>
      <c r="H4941" s="2">
        <f t="shared" si="231"/>
        <v>94.100000000000364</v>
      </c>
      <c r="I4941" s="3">
        <f t="shared" si="232"/>
        <v>1.2953760169596569E-2</v>
      </c>
    </row>
    <row r="4942" spans="2:9" x14ac:dyDescent="0.25">
      <c r="B4942" s="1">
        <v>42411</v>
      </c>
      <c r="C4942" s="2">
        <v>6976.35</v>
      </c>
      <c r="D4942" s="2">
        <v>7203.6</v>
      </c>
      <c r="E4942" s="2">
        <v>7208.65</v>
      </c>
      <c r="F4942" s="2">
        <v>6959.95</v>
      </c>
      <c r="G4942" s="3">
        <f t="shared" si="233"/>
        <v>-3.3170724946990471E-2</v>
      </c>
      <c r="H4942" s="2">
        <f t="shared" si="231"/>
        <v>248.69999999999982</v>
      </c>
      <c r="I4942" s="3">
        <f t="shared" si="232"/>
        <v>3.4524404464434423E-2</v>
      </c>
    </row>
    <row r="4943" spans="2:9" x14ac:dyDescent="0.25">
      <c r="B4943" s="1">
        <v>42412</v>
      </c>
      <c r="C4943" s="2">
        <v>6980.95</v>
      </c>
      <c r="D4943" s="2">
        <v>7023.65</v>
      </c>
      <c r="E4943" s="2">
        <v>7034.8</v>
      </c>
      <c r="F4943" s="2">
        <v>6869</v>
      </c>
      <c r="G4943" s="3">
        <f t="shared" si="233"/>
        <v>6.5937058777154611E-4</v>
      </c>
      <c r="H4943" s="2">
        <f t="shared" si="231"/>
        <v>165.80000000000018</v>
      </c>
      <c r="I4943" s="3">
        <f t="shared" si="232"/>
        <v>2.3605959864173215E-2</v>
      </c>
    </row>
    <row r="4944" spans="2:9" x14ac:dyDescent="0.25">
      <c r="B4944" s="1">
        <v>42415</v>
      </c>
      <c r="C4944" s="2">
        <v>7162.95</v>
      </c>
      <c r="D4944" s="2">
        <v>7057.35</v>
      </c>
      <c r="E4944" s="2">
        <v>7182.8</v>
      </c>
      <c r="F4944" s="2">
        <v>7056.8</v>
      </c>
      <c r="G4944" s="3">
        <f t="shared" si="233"/>
        <v>2.6070950228836987E-2</v>
      </c>
      <c r="H4944" s="2">
        <f t="shared" si="231"/>
        <v>126</v>
      </c>
      <c r="I4944" s="3">
        <f t="shared" si="232"/>
        <v>1.7853726965504049E-2</v>
      </c>
    </row>
    <row r="4945" spans="2:9" x14ac:dyDescent="0.25">
      <c r="B4945" s="1">
        <v>42416</v>
      </c>
      <c r="C4945" s="2">
        <v>7048.25</v>
      </c>
      <c r="D4945" s="2">
        <v>7201.25</v>
      </c>
      <c r="E4945" s="2">
        <v>7204.65</v>
      </c>
      <c r="F4945" s="2">
        <v>7037.7</v>
      </c>
      <c r="G4945" s="3">
        <f t="shared" si="233"/>
        <v>-1.6012955556020891E-2</v>
      </c>
      <c r="H4945" s="2">
        <f t="shared" si="231"/>
        <v>166.94999999999982</v>
      </c>
      <c r="I4945" s="3">
        <f t="shared" si="232"/>
        <v>2.3183475091129987E-2</v>
      </c>
    </row>
    <row r="4946" spans="2:9" x14ac:dyDescent="0.25">
      <c r="B4946" s="1">
        <v>42417</v>
      </c>
      <c r="C4946" s="2">
        <v>7108.45</v>
      </c>
      <c r="D4946" s="2">
        <v>7058.85</v>
      </c>
      <c r="E4946" s="2">
        <v>7123.7</v>
      </c>
      <c r="F4946" s="2">
        <v>6960.65</v>
      </c>
      <c r="G4946" s="3">
        <f t="shared" si="233"/>
        <v>8.5411272301634256E-3</v>
      </c>
      <c r="H4946" s="2">
        <f t="shared" si="231"/>
        <v>163.05000000000018</v>
      </c>
      <c r="I4946" s="3">
        <f t="shared" si="232"/>
        <v>2.309866338001235E-2</v>
      </c>
    </row>
    <row r="4947" spans="2:9" x14ac:dyDescent="0.25">
      <c r="B4947" s="1">
        <v>42418</v>
      </c>
      <c r="C4947" s="2">
        <v>7191.75</v>
      </c>
      <c r="D4947" s="2">
        <v>7177.4</v>
      </c>
      <c r="E4947" s="2">
        <v>7215.1</v>
      </c>
      <c r="F4947" s="2">
        <v>7127.85</v>
      </c>
      <c r="G4947" s="3">
        <f t="shared" si="233"/>
        <v>1.1718447762873785E-2</v>
      </c>
      <c r="H4947" s="2">
        <f t="shared" si="231"/>
        <v>87.25</v>
      </c>
      <c r="I4947" s="3">
        <f t="shared" si="232"/>
        <v>1.2156212556078804E-2</v>
      </c>
    </row>
    <row r="4948" spans="2:9" x14ac:dyDescent="0.25">
      <c r="B4948" s="1">
        <v>42419</v>
      </c>
      <c r="C4948" s="2">
        <v>7210.75</v>
      </c>
      <c r="D4948" s="2">
        <v>7170.55</v>
      </c>
      <c r="E4948" s="2">
        <v>7226.85</v>
      </c>
      <c r="F4948" s="2">
        <v>7145.95</v>
      </c>
      <c r="G4948" s="3">
        <f t="shared" si="233"/>
        <v>2.6419160844022294E-3</v>
      </c>
      <c r="H4948" s="2">
        <f t="shared" si="231"/>
        <v>80.900000000000546</v>
      </c>
      <c r="I4948" s="3">
        <f t="shared" si="232"/>
        <v>1.1282258683085753E-2</v>
      </c>
    </row>
    <row r="4949" spans="2:9" x14ac:dyDescent="0.25">
      <c r="B4949" s="1">
        <v>42422</v>
      </c>
      <c r="C4949" s="2">
        <v>7234.55</v>
      </c>
      <c r="D4949" s="2">
        <v>7208.85</v>
      </c>
      <c r="E4949" s="2">
        <v>7252.4</v>
      </c>
      <c r="F4949" s="2">
        <v>7200.7</v>
      </c>
      <c r="G4949" s="3">
        <f t="shared" si="233"/>
        <v>3.3006275352771564E-3</v>
      </c>
      <c r="H4949" s="2">
        <f t="shared" si="231"/>
        <v>51.699999999999818</v>
      </c>
      <c r="I4949" s="3">
        <f t="shared" si="232"/>
        <v>7.1717402914472927E-3</v>
      </c>
    </row>
    <row r="4950" spans="2:9" x14ac:dyDescent="0.25">
      <c r="B4950" s="1">
        <v>42423</v>
      </c>
      <c r="C4950" s="2">
        <v>7109.55</v>
      </c>
      <c r="D4950" s="2">
        <v>7240.3</v>
      </c>
      <c r="E4950" s="2">
        <v>7241.7</v>
      </c>
      <c r="F4950" s="2">
        <v>7090.7</v>
      </c>
      <c r="G4950" s="3">
        <f t="shared" si="233"/>
        <v>-1.7278199749811707E-2</v>
      </c>
      <c r="H4950" s="2">
        <f t="shared" si="231"/>
        <v>151</v>
      </c>
      <c r="I4950" s="3">
        <f t="shared" si="232"/>
        <v>2.0855489413422097E-2</v>
      </c>
    </row>
    <row r="4951" spans="2:9" x14ac:dyDescent="0.25">
      <c r="B4951" s="1">
        <v>42424</v>
      </c>
      <c r="C4951" s="2">
        <v>7018.7</v>
      </c>
      <c r="D4951" s="2">
        <v>7075</v>
      </c>
      <c r="E4951" s="2">
        <v>7090.8</v>
      </c>
      <c r="F4951" s="2">
        <v>7009.75</v>
      </c>
      <c r="G4951" s="3">
        <f t="shared" si="233"/>
        <v>-1.2778586549078375E-2</v>
      </c>
      <c r="H4951" s="2">
        <f t="shared" si="231"/>
        <v>81.050000000000182</v>
      </c>
      <c r="I4951" s="3">
        <f t="shared" si="232"/>
        <v>1.1455830388692606E-2</v>
      </c>
    </row>
    <row r="4952" spans="2:9" x14ac:dyDescent="0.25">
      <c r="B4952" s="1">
        <v>42425</v>
      </c>
      <c r="C4952" s="2">
        <v>6970.6</v>
      </c>
      <c r="D4952" s="2">
        <v>7029.85</v>
      </c>
      <c r="E4952" s="2">
        <v>7034.2</v>
      </c>
      <c r="F4952" s="2">
        <v>6961.4</v>
      </c>
      <c r="G4952" s="3">
        <f t="shared" si="233"/>
        <v>-6.8531209483236877E-3</v>
      </c>
      <c r="H4952" s="2">
        <f t="shared" si="231"/>
        <v>72.800000000000182</v>
      </c>
      <c r="I4952" s="3">
        <f t="shared" si="232"/>
        <v>1.0355839740535029E-2</v>
      </c>
    </row>
    <row r="4953" spans="2:9" x14ac:dyDescent="0.25">
      <c r="B4953" s="1">
        <v>42426</v>
      </c>
      <c r="C4953" s="2">
        <v>7029.75</v>
      </c>
      <c r="D4953" s="2">
        <v>7039.3</v>
      </c>
      <c r="E4953" s="2">
        <v>7052.9</v>
      </c>
      <c r="F4953" s="2">
        <v>6985.1</v>
      </c>
      <c r="G4953" s="3">
        <f t="shared" si="233"/>
        <v>8.4856396866839212E-3</v>
      </c>
      <c r="H4953" s="2">
        <f t="shared" si="231"/>
        <v>67.799999999999272</v>
      </c>
      <c r="I4953" s="3">
        <f t="shared" si="232"/>
        <v>9.6316395096102264E-3</v>
      </c>
    </row>
    <row r="4954" spans="2:9" x14ac:dyDescent="0.25">
      <c r="B4954" s="1">
        <v>42429</v>
      </c>
      <c r="C4954" s="2">
        <v>6987.05</v>
      </c>
      <c r="D4954" s="2">
        <v>7050.45</v>
      </c>
      <c r="E4954" s="2">
        <v>7094.6</v>
      </c>
      <c r="F4954" s="2">
        <v>6825.8</v>
      </c>
      <c r="G4954" s="3">
        <f t="shared" si="233"/>
        <v>-6.0741847149613504E-3</v>
      </c>
      <c r="H4954" s="2">
        <f t="shared" si="231"/>
        <v>268.80000000000018</v>
      </c>
      <c r="I4954" s="3">
        <f t="shared" si="232"/>
        <v>3.8125226049401127E-2</v>
      </c>
    </row>
    <row r="4955" spans="2:9" x14ac:dyDescent="0.25">
      <c r="B4955" s="1">
        <v>42430</v>
      </c>
      <c r="C4955" s="2">
        <v>7222.3</v>
      </c>
      <c r="D4955" s="2">
        <v>7038.25</v>
      </c>
      <c r="E4955" s="2">
        <v>7235.5</v>
      </c>
      <c r="F4955" s="2">
        <v>7035.1</v>
      </c>
      <c r="G4955" s="3">
        <f t="shared" si="233"/>
        <v>3.3669431305057174E-2</v>
      </c>
      <c r="H4955" s="2">
        <f t="shared" si="231"/>
        <v>200.39999999999964</v>
      </c>
      <c r="I4955" s="3">
        <f t="shared" si="232"/>
        <v>2.8472986893048648E-2</v>
      </c>
    </row>
    <row r="4956" spans="2:9" x14ac:dyDescent="0.25">
      <c r="B4956" s="1">
        <v>42431</v>
      </c>
      <c r="C4956" s="2">
        <v>7368.85</v>
      </c>
      <c r="D4956" s="2">
        <v>7321.7</v>
      </c>
      <c r="E4956" s="2">
        <v>7380.35</v>
      </c>
      <c r="F4956" s="2">
        <v>7308.15</v>
      </c>
      <c r="G4956" s="3">
        <f t="shared" si="233"/>
        <v>2.0291319939631514E-2</v>
      </c>
      <c r="H4956" s="2">
        <f t="shared" si="231"/>
        <v>72.200000000000728</v>
      </c>
      <c r="I4956" s="3">
        <f t="shared" si="232"/>
        <v>9.861097832470701E-3</v>
      </c>
    </row>
    <row r="4957" spans="2:9" x14ac:dyDescent="0.25">
      <c r="B4957" s="1">
        <v>42432</v>
      </c>
      <c r="C4957" s="2">
        <v>7475.6</v>
      </c>
      <c r="D4957" s="2">
        <v>7429.55</v>
      </c>
      <c r="E4957" s="2">
        <v>7483.95</v>
      </c>
      <c r="F4957" s="2">
        <v>7406.05</v>
      </c>
      <c r="G4957" s="3">
        <f t="shared" si="233"/>
        <v>1.4486656669629561E-2</v>
      </c>
      <c r="H4957" s="2">
        <f t="shared" si="231"/>
        <v>77.899999999999636</v>
      </c>
      <c r="I4957" s="3">
        <f t="shared" si="232"/>
        <v>1.0485157243709194E-2</v>
      </c>
    </row>
    <row r="4958" spans="2:9" x14ac:dyDescent="0.25">
      <c r="B4958" s="1">
        <v>42433</v>
      </c>
      <c r="C4958" s="2">
        <v>7485.35</v>
      </c>
      <c r="D4958" s="2">
        <v>7505.4</v>
      </c>
      <c r="E4958" s="2">
        <v>7505.9</v>
      </c>
      <c r="F4958" s="2">
        <v>7444.1</v>
      </c>
      <c r="G4958" s="3">
        <f t="shared" si="233"/>
        <v>1.3042431376746322E-3</v>
      </c>
      <c r="H4958" s="2">
        <f t="shared" si="231"/>
        <v>61.799999999999272</v>
      </c>
      <c r="I4958" s="3">
        <f t="shared" si="232"/>
        <v>8.2340714685425528E-3</v>
      </c>
    </row>
    <row r="4959" spans="2:9" x14ac:dyDescent="0.25">
      <c r="B4959" s="1">
        <v>42437</v>
      </c>
      <c r="C4959" s="2">
        <v>7485.3</v>
      </c>
      <c r="D4959" s="2">
        <v>7486.4</v>
      </c>
      <c r="E4959" s="2">
        <v>7527.15</v>
      </c>
      <c r="F4959" s="2">
        <v>7442.15</v>
      </c>
      <c r="G4959" s="3">
        <f t="shared" si="233"/>
        <v>-6.679714375401602E-6</v>
      </c>
      <c r="H4959" s="2">
        <f t="shared" si="231"/>
        <v>85</v>
      </c>
      <c r="I4959" s="3">
        <f t="shared" si="232"/>
        <v>1.1353921778157727E-2</v>
      </c>
    </row>
    <row r="4960" spans="2:9" x14ac:dyDescent="0.25">
      <c r="B4960" s="1">
        <v>42438</v>
      </c>
      <c r="C4960" s="2">
        <v>7531.8</v>
      </c>
      <c r="D4960" s="2">
        <v>7436.1</v>
      </c>
      <c r="E4960" s="2">
        <v>7539</v>
      </c>
      <c r="F4960" s="2">
        <v>7424.3</v>
      </c>
      <c r="G4960" s="3">
        <f t="shared" si="233"/>
        <v>6.2121758646946912E-3</v>
      </c>
      <c r="H4960" s="2">
        <f t="shared" si="231"/>
        <v>114.69999999999982</v>
      </c>
      <c r="I4960" s="3">
        <f t="shared" si="232"/>
        <v>1.5424752222267024E-2</v>
      </c>
    </row>
    <row r="4961" spans="2:9" x14ac:dyDescent="0.25">
      <c r="B4961" s="1">
        <v>42439</v>
      </c>
      <c r="C4961" s="2">
        <v>7486.15</v>
      </c>
      <c r="D4961" s="2">
        <v>7545.35</v>
      </c>
      <c r="E4961" s="2">
        <v>7547.1</v>
      </c>
      <c r="F4961" s="2">
        <v>7447.4</v>
      </c>
      <c r="G4961" s="3">
        <f t="shared" si="233"/>
        <v>-6.0609681616613509E-3</v>
      </c>
      <c r="H4961" s="2">
        <f t="shared" si="231"/>
        <v>99.700000000000728</v>
      </c>
      <c r="I4961" s="3">
        <f t="shared" si="232"/>
        <v>1.3213436089777243E-2</v>
      </c>
    </row>
    <row r="4962" spans="2:9" x14ac:dyDescent="0.25">
      <c r="B4962" s="1">
        <v>42440</v>
      </c>
      <c r="C4962" s="2">
        <v>7510.2</v>
      </c>
      <c r="D4962" s="2">
        <v>7484.85</v>
      </c>
      <c r="E4962" s="2">
        <v>7543.95</v>
      </c>
      <c r="F4962" s="2">
        <v>7460.6</v>
      </c>
      <c r="G4962" s="3">
        <f t="shared" si="233"/>
        <v>3.2125992666458547E-3</v>
      </c>
      <c r="H4962" s="2">
        <f t="shared" si="231"/>
        <v>83.349999999999454</v>
      </c>
      <c r="I4962" s="3">
        <f t="shared" si="232"/>
        <v>1.1135827705297962E-2</v>
      </c>
    </row>
    <row r="4963" spans="2:9" x14ac:dyDescent="0.25">
      <c r="B4963" s="1">
        <v>42443</v>
      </c>
      <c r="C4963" s="2">
        <v>7538.75</v>
      </c>
      <c r="D4963" s="2">
        <v>7542.6</v>
      </c>
      <c r="E4963" s="2">
        <v>7583.7</v>
      </c>
      <c r="F4963" s="2">
        <v>7515.05</v>
      </c>
      <c r="G4963" s="3">
        <f t="shared" si="233"/>
        <v>3.8014966312482912E-3</v>
      </c>
      <c r="H4963" s="2">
        <f t="shared" si="231"/>
        <v>68.649999999999636</v>
      </c>
      <c r="I4963" s="3">
        <f t="shared" si="232"/>
        <v>9.1016360406225485E-3</v>
      </c>
    </row>
    <row r="4964" spans="2:9" x14ac:dyDescent="0.25">
      <c r="B4964" s="1">
        <v>42444</v>
      </c>
      <c r="C4964" s="2">
        <v>7460.6</v>
      </c>
      <c r="D4964" s="2">
        <v>7535.85</v>
      </c>
      <c r="E4964" s="2">
        <v>7545.2</v>
      </c>
      <c r="F4964" s="2">
        <v>7452.8</v>
      </c>
      <c r="G4964" s="3">
        <f t="shared" si="233"/>
        <v>-1.0366440059691562E-2</v>
      </c>
      <c r="H4964" s="2">
        <f t="shared" si="231"/>
        <v>92.399999999999636</v>
      </c>
      <c r="I4964" s="3">
        <f t="shared" si="232"/>
        <v>1.2261390553155865E-2</v>
      </c>
    </row>
    <row r="4965" spans="2:9" x14ac:dyDescent="0.25">
      <c r="B4965" s="1">
        <v>42445</v>
      </c>
      <c r="C4965" s="2">
        <v>7498.75</v>
      </c>
      <c r="D4965" s="2">
        <v>7457.05</v>
      </c>
      <c r="E4965" s="2">
        <v>7508</v>
      </c>
      <c r="F4965" s="2">
        <v>7405.15</v>
      </c>
      <c r="G4965" s="3">
        <f t="shared" si="233"/>
        <v>5.1135297429161231E-3</v>
      </c>
      <c r="H4965" s="2">
        <f t="shared" si="231"/>
        <v>102.85000000000036</v>
      </c>
      <c r="I4965" s="3">
        <f t="shared" si="232"/>
        <v>1.37923173372849E-2</v>
      </c>
    </row>
    <row r="4966" spans="2:9" x14ac:dyDescent="0.25">
      <c r="B4966" s="1">
        <v>42446</v>
      </c>
      <c r="C4966" s="2">
        <v>7512.55</v>
      </c>
      <c r="D4966" s="2">
        <v>7557.4</v>
      </c>
      <c r="E4966" s="2">
        <v>7585.3</v>
      </c>
      <c r="F4966" s="2">
        <v>7479.4</v>
      </c>
      <c r="G4966" s="3">
        <f t="shared" si="233"/>
        <v>1.8403067177863441E-3</v>
      </c>
      <c r="H4966" s="2">
        <f t="shared" si="231"/>
        <v>105.90000000000055</v>
      </c>
      <c r="I4966" s="3">
        <f t="shared" si="232"/>
        <v>1.4012755709635661E-2</v>
      </c>
    </row>
    <row r="4967" spans="2:9" x14ac:dyDescent="0.25">
      <c r="B4967" s="1">
        <v>42447</v>
      </c>
      <c r="C4967" s="2">
        <v>7604.35</v>
      </c>
      <c r="D4967" s="2">
        <v>7534.65</v>
      </c>
      <c r="E4967" s="2">
        <v>7613.6</v>
      </c>
      <c r="F4967" s="2">
        <v>7517.9</v>
      </c>
      <c r="G4967" s="3">
        <f t="shared" si="233"/>
        <v>1.2219552615290397E-2</v>
      </c>
      <c r="H4967" s="2">
        <f t="shared" si="231"/>
        <v>95.700000000000728</v>
      </c>
      <c r="I4967" s="3">
        <f t="shared" si="232"/>
        <v>1.2701319902052614E-2</v>
      </c>
    </row>
    <row r="4968" spans="2:9" x14ac:dyDescent="0.25">
      <c r="B4968" s="1">
        <v>42450</v>
      </c>
      <c r="C4968" s="2">
        <v>7704.25</v>
      </c>
      <c r="D4968" s="2">
        <v>7619.2</v>
      </c>
      <c r="E4968" s="2">
        <v>7713.55</v>
      </c>
      <c r="F4968" s="2">
        <v>7617.7</v>
      </c>
      <c r="G4968" s="3">
        <f t="shared" si="233"/>
        <v>1.3137217513659927E-2</v>
      </c>
      <c r="H4968" s="2">
        <f t="shared" si="231"/>
        <v>95.850000000000364</v>
      </c>
      <c r="I4968" s="3">
        <f t="shared" si="232"/>
        <v>1.2580060898782072E-2</v>
      </c>
    </row>
    <row r="4969" spans="2:9" x14ac:dyDescent="0.25">
      <c r="B4969" s="1">
        <v>42451</v>
      </c>
      <c r="C4969" s="2">
        <v>7714.9</v>
      </c>
      <c r="D4969" s="2">
        <v>7695.55</v>
      </c>
      <c r="E4969" s="2">
        <v>7728.2</v>
      </c>
      <c r="F4969" s="2">
        <v>7643.8</v>
      </c>
      <c r="G4969" s="3">
        <f t="shared" si="233"/>
        <v>1.3823538955770598E-3</v>
      </c>
      <c r="H4969" s="2">
        <f t="shared" si="231"/>
        <v>84.399999999999636</v>
      </c>
      <c r="I4969" s="3">
        <f t="shared" si="232"/>
        <v>1.0967377250488871E-2</v>
      </c>
    </row>
    <row r="4970" spans="2:9" x14ac:dyDescent="0.25">
      <c r="B4970" s="1">
        <v>42452</v>
      </c>
      <c r="C4970" s="2">
        <v>7716.5</v>
      </c>
      <c r="D4970" s="2">
        <v>7717.45</v>
      </c>
      <c r="E4970" s="2">
        <v>7726.85</v>
      </c>
      <c r="F4970" s="2">
        <v>7670.6</v>
      </c>
      <c r="G4970" s="3">
        <f t="shared" si="233"/>
        <v>2.073908929474122E-4</v>
      </c>
      <c r="H4970" s="2">
        <f t="shared" si="231"/>
        <v>56.25</v>
      </c>
      <c r="I4970" s="3">
        <f t="shared" si="232"/>
        <v>7.2886769593583376E-3</v>
      </c>
    </row>
    <row r="4971" spans="2:9" x14ac:dyDescent="0.25">
      <c r="B4971" s="1">
        <v>42457</v>
      </c>
      <c r="C4971" s="2">
        <v>7615.1</v>
      </c>
      <c r="D4971" s="2">
        <v>7741</v>
      </c>
      <c r="E4971" s="2">
        <v>7749.4</v>
      </c>
      <c r="F4971" s="2">
        <v>7587.7</v>
      </c>
      <c r="G4971" s="3">
        <f t="shared" si="233"/>
        <v>-1.3140672584720958E-2</v>
      </c>
      <c r="H4971" s="2">
        <f t="shared" si="231"/>
        <v>161.69999999999982</v>
      </c>
      <c r="I4971" s="3">
        <f t="shared" si="232"/>
        <v>2.0888774060198918E-2</v>
      </c>
    </row>
    <row r="4972" spans="2:9" x14ac:dyDescent="0.25">
      <c r="B4972" s="1">
        <v>42458</v>
      </c>
      <c r="C4972" s="2">
        <v>7597</v>
      </c>
      <c r="D4972" s="2">
        <v>7606.55</v>
      </c>
      <c r="E4972" s="2">
        <v>7652.9</v>
      </c>
      <c r="F4972" s="2">
        <v>7582.25</v>
      </c>
      <c r="G4972" s="3">
        <f t="shared" si="233"/>
        <v>-2.3768565087786131E-3</v>
      </c>
      <c r="H4972" s="2">
        <f t="shared" si="231"/>
        <v>70.649999999999636</v>
      </c>
      <c r="I4972" s="3">
        <f t="shared" si="232"/>
        <v>9.2880478009083802E-3</v>
      </c>
    </row>
    <row r="4973" spans="2:9" x14ac:dyDescent="0.25">
      <c r="B4973" s="1">
        <v>42459</v>
      </c>
      <c r="C4973" s="2">
        <v>7735.2</v>
      </c>
      <c r="D4973" s="2">
        <v>7651.1</v>
      </c>
      <c r="E4973" s="2">
        <v>7741.95</v>
      </c>
      <c r="F4973" s="2">
        <v>7643.45</v>
      </c>
      <c r="G4973" s="3">
        <f t="shared" si="233"/>
        <v>1.8191391338686191E-2</v>
      </c>
      <c r="H4973" s="2">
        <f t="shared" si="231"/>
        <v>98.5</v>
      </c>
      <c r="I4973" s="3">
        <f t="shared" si="232"/>
        <v>1.2873965834977977E-2</v>
      </c>
    </row>
    <row r="4974" spans="2:9" x14ac:dyDescent="0.25">
      <c r="B4974" s="1">
        <v>42460</v>
      </c>
      <c r="C4974" s="2">
        <v>7738.4</v>
      </c>
      <c r="D4974" s="2">
        <v>7727.65</v>
      </c>
      <c r="E4974" s="2">
        <v>7777.6</v>
      </c>
      <c r="F4974" s="2">
        <v>7702</v>
      </c>
      <c r="G4974" s="3">
        <f t="shared" si="233"/>
        <v>4.1369324645779137E-4</v>
      </c>
      <c r="H4974" s="2">
        <f t="shared" si="231"/>
        <v>75.600000000000364</v>
      </c>
      <c r="I4974" s="3">
        <f t="shared" si="232"/>
        <v>9.7830517686489891E-3</v>
      </c>
    </row>
    <row r="4975" spans="2:9" x14ac:dyDescent="0.25">
      <c r="B4975" s="1">
        <v>42461</v>
      </c>
      <c r="C4975" s="2">
        <v>7713.05</v>
      </c>
      <c r="D4975" s="2">
        <v>7718.05</v>
      </c>
      <c r="E4975" s="2">
        <v>7740.15</v>
      </c>
      <c r="F4975" s="2">
        <v>7666.1</v>
      </c>
      <c r="G4975" s="3">
        <f t="shared" si="233"/>
        <v>-3.2758709810812858E-3</v>
      </c>
      <c r="H4975" s="2">
        <f t="shared" si="231"/>
        <v>74.049999999999272</v>
      </c>
      <c r="I4975" s="3">
        <f t="shared" si="232"/>
        <v>9.5943923659472623E-3</v>
      </c>
    </row>
    <row r="4976" spans="2:9" x14ac:dyDescent="0.25">
      <c r="B4976" s="1">
        <v>42464</v>
      </c>
      <c r="C4976" s="2">
        <v>7758.8</v>
      </c>
      <c r="D4976" s="2">
        <v>7733.15</v>
      </c>
      <c r="E4976" s="2">
        <v>7764.45</v>
      </c>
      <c r="F4976" s="2">
        <v>7704.4</v>
      </c>
      <c r="G4976" s="3">
        <f t="shared" si="233"/>
        <v>5.9315056948936462E-3</v>
      </c>
      <c r="H4976" s="2">
        <f t="shared" si="231"/>
        <v>60.050000000000182</v>
      </c>
      <c r="I4976" s="3">
        <f t="shared" si="232"/>
        <v>7.7652702973562112E-3</v>
      </c>
    </row>
    <row r="4977" spans="2:9" x14ac:dyDescent="0.25">
      <c r="B4977" s="1">
        <v>42465</v>
      </c>
      <c r="C4977" s="2">
        <v>7603.2</v>
      </c>
      <c r="D4977" s="2">
        <v>7736.3</v>
      </c>
      <c r="E4977" s="2">
        <v>7736.3</v>
      </c>
      <c r="F4977" s="2">
        <v>7588.65</v>
      </c>
      <c r="G4977" s="3">
        <f t="shared" si="233"/>
        <v>-2.0054647625921573E-2</v>
      </c>
      <c r="H4977" s="2">
        <f t="shared" si="231"/>
        <v>147.65000000000055</v>
      </c>
      <c r="I4977" s="3">
        <f t="shared" si="232"/>
        <v>1.9085350878326919E-2</v>
      </c>
    </row>
    <row r="4978" spans="2:9" x14ac:dyDescent="0.25">
      <c r="B4978" s="1">
        <v>42466</v>
      </c>
      <c r="C4978" s="2">
        <v>7614.35</v>
      </c>
      <c r="D4978" s="2">
        <v>7636.05</v>
      </c>
      <c r="E4978" s="2">
        <v>7638.65</v>
      </c>
      <c r="F4978" s="2">
        <v>7591.75</v>
      </c>
      <c r="G4978" s="3">
        <f t="shared" si="233"/>
        <v>1.4664877946128918E-3</v>
      </c>
      <c r="H4978" s="2">
        <f t="shared" si="231"/>
        <v>46.899999999999636</v>
      </c>
      <c r="I4978" s="3">
        <f t="shared" si="232"/>
        <v>6.1419189240509995E-3</v>
      </c>
    </row>
    <row r="4979" spans="2:9" x14ac:dyDescent="0.25">
      <c r="B4979" s="1">
        <v>42467</v>
      </c>
      <c r="C4979" s="2">
        <v>7546.45</v>
      </c>
      <c r="D4979" s="2">
        <v>7630.4</v>
      </c>
      <c r="E4979" s="2">
        <v>7630.75</v>
      </c>
      <c r="F4979" s="2">
        <v>7535.85</v>
      </c>
      <c r="G4979" s="3">
        <f t="shared" si="233"/>
        <v>-8.9173731178630034E-3</v>
      </c>
      <c r="H4979" s="2">
        <f t="shared" si="231"/>
        <v>94.899999999999636</v>
      </c>
      <c r="I4979" s="3">
        <f t="shared" si="232"/>
        <v>1.2437093730341743E-2</v>
      </c>
    </row>
    <row r="4980" spans="2:9" x14ac:dyDescent="0.25">
      <c r="B4980" s="1">
        <v>42468</v>
      </c>
      <c r="C4980" s="2">
        <v>7555.2</v>
      </c>
      <c r="D4980" s="2">
        <v>7542.35</v>
      </c>
      <c r="E4980" s="2">
        <v>7569.35</v>
      </c>
      <c r="F4980" s="2">
        <v>7526.7</v>
      </c>
      <c r="G4980" s="3">
        <f t="shared" si="233"/>
        <v>1.1594855859378139E-3</v>
      </c>
      <c r="H4980" s="2">
        <f t="shared" si="231"/>
        <v>42.650000000000546</v>
      </c>
      <c r="I4980" s="3">
        <f t="shared" si="232"/>
        <v>5.6547362559415228E-3</v>
      </c>
    </row>
    <row r="4981" spans="2:9" x14ac:dyDescent="0.25">
      <c r="B4981" s="1">
        <v>42471</v>
      </c>
      <c r="C4981" s="2">
        <v>7671.4</v>
      </c>
      <c r="D4981" s="2">
        <v>7577.8</v>
      </c>
      <c r="E4981" s="2">
        <v>7678.8</v>
      </c>
      <c r="F4981" s="2">
        <v>7516.85</v>
      </c>
      <c r="G4981" s="3">
        <f t="shared" si="233"/>
        <v>1.5380135535789874E-2</v>
      </c>
      <c r="H4981" s="2">
        <f t="shared" si="231"/>
        <v>161.94999999999982</v>
      </c>
      <c r="I4981" s="3">
        <f t="shared" si="232"/>
        <v>2.1371638206339548E-2</v>
      </c>
    </row>
    <row r="4982" spans="2:9" x14ac:dyDescent="0.25">
      <c r="B4982" s="1">
        <v>42472</v>
      </c>
      <c r="C4982" s="2">
        <v>7708.95</v>
      </c>
      <c r="D4982" s="2">
        <v>7669.25</v>
      </c>
      <c r="E4982" s="2">
        <v>7717.4</v>
      </c>
      <c r="F4982" s="2">
        <v>7663.35</v>
      </c>
      <c r="G4982" s="3">
        <f t="shared" si="233"/>
        <v>4.8948040774825508E-3</v>
      </c>
      <c r="H4982" s="2">
        <f t="shared" si="231"/>
        <v>54.049999999999272</v>
      </c>
      <c r="I4982" s="3">
        <f t="shared" si="232"/>
        <v>7.0476252567068841E-3</v>
      </c>
    </row>
    <row r="4983" spans="2:9" x14ac:dyDescent="0.25">
      <c r="B4983" s="1">
        <v>42473</v>
      </c>
      <c r="C4983" s="2">
        <v>7850.45</v>
      </c>
      <c r="D4983" s="2">
        <v>7777.15</v>
      </c>
      <c r="E4983" s="2">
        <v>7864.8</v>
      </c>
      <c r="F4983" s="2">
        <v>7772.2</v>
      </c>
      <c r="G4983" s="3">
        <f t="shared" si="233"/>
        <v>1.8355288333690156E-2</v>
      </c>
      <c r="H4983" s="2">
        <f t="shared" si="231"/>
        <v>92.600000000000364</v>
      </c>
      <c r="I4983" s="3">
        <f t="shared" si="232"/>
        <v>1.1906675324508382E-2</v>
      </c>
    </row>
    <row r="4984" spans="2:9" x14ac:dyDescent="0.25">
      <c r="B4984" s="1">
        <v>42478</v>
      </c>
      <c r="C4984" s="2">
        <v>7914.7</v>
      </c>
      <c r="D4984" s="2">
        <v>7908.15</v>
      </c>
      <c r="E4984" s="2">
        <v>7920.6</v>
      </c>
      <c r="F4984" s="2">
        <v>7842.75</v>
      </c>
      <c r="G4984" s="3">
        <f t="shared" si="233"/>
        <v>8.1842442152997297E-3</v>
      </c>
      <c r="H4984" s="2">
        <f t="shared" si="231"/>
        <v>77.850000000000364</v>
      </c>
      <c r="I4984" s="3">
        <f t="shared" si="232"/>
        <v>9.8442745774928869E-3</v>
      </c>
    </row>
    <row r="4985" spans="2:9" x14ac:dyDescent="0.25">
      <c r="B4985" s="1">
        <v>42480</v>
      </c>
      <c r="C4985" s="2">
        <v>7914.75</v>
      </c>
      <c r="D4985" s="2">
        <v>7950.05</v>
      </c>
      <c r="E4985" s="2">
        <v>7950.4</v>
      </c>
      <c r="F4985" s="2">
        <v>7877.55</v>
      </c>
      <c r="G4985" s="3">
        <f t="shared" si="233"/>
        <v>6.3173588387144264E-6</v>
      </c>
      <c r="H4985" s="2">
        <f t="shared" si="231"/>
        <v>72.849999999999454</v>
      </c>
      <c r="I4985" s="3">
        <f t="shared" si="232"/>
        <v>9.1634643807270971E-3</v>
      </c>
    </row>
    <row r="4986" spans="2:9" x14ac:dyDescent="0.25">
      <c r="B4986" s="1">
        <v>42481</v>
      </c>
      <c r="C4986" s="2">
        <v>7912.05</v>
      </c>
      <c r="D4986" s="2">
        <v>7953.65</v>
      </c>
      <c r="E4986" s="2">
        <v>7978.45</v>
      </c>
      <c r="F4986" s="2">
        <v>7884.1</v>
      </c>
      <c r="G4986" s="3">
        <f t="shared" si="233"/>
        <v>-3.4113522221168591E-4</v>
      </c>
      <c r="H4986" s="2">
        <f t="shared" si="231"/>
        <v>94.349999999999454</v>
      </c>
      <c r="I4986" s="3">
        <f t="shared" si="232"/>
        <v>1.1862478233263906E-2</v>
      </c>
    </row>
    <row r="4987" spans="2:9" x14ac:dyDescent="0.25">
      <c r="B4987" s="1">
        <v>42482</v>
      </c>
      <c r="C4987" s="2">
        <v>7899.3</v>
      </c>
      <c r="D4987" s="2">
        <v>7891.8</v>
      </c>
      <c r="E4987" s="2">
        <v>7923.35</v>
      </c>
      <c r="F4987" s="2">
        <v>7873.35</v>
      </c>
      <c r="G4987" s="3">
        <f t="shared" si="233"/>
        <v>-1.6114660549415571E-3</v>
      </c>
      <c r="H4987" s="2">
        <f t="shared" si="231"/>
        <v>50</v>
      </c>
      <c r="I4987" s="3">
        <f t="shared" si="232"/>
        <v>6.3356902100914873E-3</v>
      </c>
    </row>
    <row r="4988" spans="2:9" x14ac:dyDescent="0.25">
      <c r="B4988" s="1">
        <v>42485</v>
      </c>
      <c r="C4988" s="2">
        <v>7855.05</v>
      </c>
      <c r="D4988" s="2">
        <v>7894.8</v>
      </c>
      <c r="E4988" s="2">
        <v>7911</v>
      </c>
      <c r="F4988" s="2">
        <v>7827</v>
      </c>
      <c r="G4988" s="3">
        <f t="shared" si="233"/>
        <v>-5.6017621814591356E-3</v>
      </c>
      <c r="H4988" s="2">
        <f t="shared" si="231"/>
        <v>84</v>
      </c>
      <c r="I4988" s="3">
        <f t="shared" si="232"/>
        <v>1.0639914880680954E-2</v>
      </c>
    </row>
    <row r="4989" spans="2:9" x14ac:dyDescent="0.25">
      <c r="B4989" s="1">
        <v>42486</v>
      </c>
      <c r="C4989" s="2">
        <v>7962.65</v>
      </c>
      <c r="D4989" s="2">
        <v>7828.15</v>
      </c>
      <c r="E4989" s="2">
        <v>7974.5</v>
      </c>
      <c r="F4989" s="2">
        <v>7822.55</v>
      </c>
      <c r="G4989" s="3">
        <f t="shared" si="233"/>
        <v>1.3698194155352228E-2</v>
      </c>
      <c r="H4989" s="2">
        <f t="shared" si="231"/>
        <v>151.94999999999982</v>
      </c>
      <c r="I4989" s="3">
        <f t="shared" si="232"/>
        <v>1.9410716452801725E-2</v>
      </c>
    </row>
    <row r="4990" spans="2:9" x14ac:dyDescent="0.25">
      <c r="B4990" s="1">
        <v>42487</v>
      </c>
      <c r="C4990" s="2">
        <v>7979.9</v>
      </c>
      <c r="D4990" s="2">
        <v>7942</v>
      </c>
      <c r="E4990" s="2">
        <v>7991</v>
      </c>
      <c r="F4990" s="2">
        <v>7940.55</v>
      </c>
      <c r="G4990" s="3">
        <f t="shared" si="233"/>
        <v>2.1663642129190475E-3</v>
      </c>
      <c r="H4990" s="2">
        <f t="shared" si="231"/>
        <v>50.449999999999818</v>
      </c>
      <c r="I4990" s="3">
        <f t="shared" si="232"/>
        <v>6.3523042054897784E-3</v>
      </c>
    </row>
    <row r="4991" spans="2:9" x14ac:dyDescent="0.25">
      <c r="B4991" s="1">
        <v>42488</v>
      </c>
      <c r="C4991" s="2">
        <v>7847.25</v>
      </c>
      <c r="D4991" s="2">
        <v>7967.4</v>
      </c>
      <c r="E4991" s="2">
        <v>7992</v>
      </c>
      <c r="F4991" s="2">
        <v>7834.45</v>
      </c>
      <c r="G4991" s="3">
        <f t="shared" si="233"/>
        <v>-1.6623015326006518E-2</v>
      </c>
      <c r="H4991" s="2">
        <f t="shared" si="231"/>
        <v>157.55000000000018</v>
      </c>
      <c r="I4991" s="3">
        <f t="shared" si="232"/>
        <v>1.9774330396365211E-2</v>
      </c>
    </row>
    <row r="4992" spans="2:9" x14ac:dyDescent="0.25">
      <c r="B4992" s="1">
        <v>42489</v>
      </c>
      <c r="C4992" s="2">
        <v>7849.8</v>
      </c>
      <c r="D4992" s="2">
        <v>7844.25</v>
      </c>
      <c r="E4992" s="2">
        <v>7889.05</v>
      </c>
      <c r="F4992" s="2">
        <v>7788.7</v>
      </c>
      <c r="G4992" s="3">
        <f t="shared" si="233"/>
        <v>3.2495460193060488E-4</v>
      </c>
      <c r="H4992" s="2">
        <f t="shared" si="231"/>
        <v>100.35000000000036</v>
      </c>
      <c r="I4992" s="3">
        <f t="shared" si="232"/>
        <v>1.2792810020078448E-2</v>
      </c>
    </row>
    <row r="4993" spans="2:9" x14ac:dyDescent="0.25">
      <c r="B4993" s="1">
        <v>42492</v>
      </c>
      <c r="C4993" s="2">
        <v>7805.9</v>
      </c>
      <c r="D4993" s="2">
        <v>7822.7</v>
      </c>
      <c r="E4993" s="2">
        <v>7829.8</v>
      </c>
      <c r="F4993" s="2">
        <v>7777.3</v>
      </c>
      <c r="G4993" s="3">
        <f t="shared" si="233"/>
        <v>-5.59249917195348E-3</v>
      </c>
      <c r="H4993" s="2">
        <f t="shared" si="231"/>
        <v>52.5</v>
      </c>
      <c r="I4993" s="3">
        <f t="shared" si="232"/>
        <v>6.7112378079179826E-3</v>
      </c>
    </row>
    <row r="4994" spans="2:9" x14ac:dyDescent="0.25">
      <c r="B4994" s="1">
        <v>42493</v>
      </c>
      <c r="C4994" s="2">
        <v>7747</v>
      </c>
      <c r="D4994" s="2">
        <v>7824.8</v>
      </c>
      <c r="E4994" s="2">
        <v>7890.25</v>
      </c>
      <c r="F4994" s="2">
        <v>7735.15</v>
      </c>
      <c r="G4994" s="3">
        <f t="shared" si="233"/>
        <v>-7.5455745013386366E-3</v>
      </c>
      <c r="H4994" s="2">
        <f t="shared" si="231"/>
        <v>155.10000000000036</v>
      </c>
      <c r="I4994" s="3">
        <f t="shared" si="232"/>
        <v>1.9821592884163221E-2</v>
      </c>
    </row>
    <row r="4995" spans="2:9" x14ac:dyDescent="0.25">
      <c r="B4995" s="1">
        <v>42494</v>
      </c>
      <c r="C4995" s="2">
        <v>7706.55</v>
      </c>
      <c r="D4995" s="2">
        <v>7724.15</v>
      </c>
      <c r="E4995" s="2">
        <v>7749</v>
      </c>
      <c r="F4995" s="2">
        <v>7697.25</v>
      </c>
      <c r="G4995" s="3">
        <f t="shared" si="233"/>
        <v>-5.2213760165225054E-3</v>
      </c>
      <c r="H4995" s="2">
        <f t="shared" si="231"/>
        <v>51.75</v>
      </c>
      <c r="I4995" s="3">
        <f t="shared" si="232"/>
        <v>6.6997663173294156E-3</v>
      </c>
    </row>
    <row r="4996" spans="2:9" x14ac:dyDescent="0.25">
      <c r="B4996" s="1">
        <v>42495</v>
      </c>
      <c r="C4996" s="2">
        <v>7735.5</v>
      </c>
      <c r="D4996" s="2">
        <v>7731</v>
      </c>
      <c r="E4996" s="2">
        <v>7777.55</v>
      </c>
      <c r="F4996" s="2">
        <v>7706.85</v>
      </c>
      <c r="G4996" s="3">
        <f t="shared" si="233"/>
        <v>3.7565447573817412E-3</v>
      </c>
      <c r="H4996" s="2">
        <f t="shared" si="231"/>
        <v>70.699999999999818</v>
      </c>
      <c r="I4996" s="3">
        <f t="shared" si="232"/>
        <v>9.1450006467468405E-3</v>
      </c>
    </row>
    <row r="4997" spans="2:9" x14ac:dyDescent="0.25">
      <c r="B4997" s="1">
        <v>42496</v>
      </c>
      <c r="C4997" s="2">
        <v>7733.45</v>
      </c>
      <c r="D4997" s="2">
        <v>7717.65</v>
      </c>
      <c r="E4997" s="2">
        <v>7738.9</v>
      </c>
      <c r="F4997" s="2">
        <v>7678.35</v>
      </c>
      <c r="G4997" s="3">
        <f t="shared" si="233"/>
        <v>-2.6501195785666454E-4</v>
      </c>
      <c r="H4997" s="2">
        <f t="shared" ref="H4997:H5060" si="234">E4997-F4997</f>
        <v>60.549999999999272</v>
      </c>
      <c r="I4997" s="3">
        <f t="shared" si="232"/>
        <v>7.8456524978457523E-3</v>
      </c>
    </row>
    <row r="4998" spans="2:9" x14ac:dyDescent="0.25">
      <c r="B4998" s="1">
        <v>42499</v>
      </c>
      <c r="C4998" s="2">
        <v>7866.05</v>
      </c>
      <c r="D4998" s="2">
        <v>7755.25</v>
      </c>
      <c r="E4998" s="2">
        <v>7873.65</v>
      </c>
      <c r="F4998" s="2">
        <v>7753.55</v>
      </c>
      <c r="G4998" s="3">
        <f t="shared" si="233"/>
        <v>1.7146293051613526E-2</v>
      </c>
      <c r="H4998" s="2">
        <f t="shared" si="234"/>
        <v>120.09999999999945</v>
      </c>
      <c r="I4998" s="3">
        <f t="shared" ref="I4998:I5061" si="235">H4998/D4998</f>
        <v>1.5486283485380802E-2</v>
      </c>
    </row>
    <row r="4999" spans="2:9" x14ac:dyDescent="0.25">
      <c r="B4999" s="1">
        <v>42500</v>
      </c>
      <c r="C4999" s="2">
        <v>7887.8</v>
      </c>
      <c r="D4999" s="2">
        <v>7873.55</v>
      </c>
      <c r="E4999" s="2">
        <v>7896.9</v>
      </c>
      <c r="F4999" s="2">
        <v>7837.7</v>
      </c>
      <c r="G4999" s="3">
        <f t="shared" ref="G4999:G5062" si="236">C4999/C4998-1</f>
        <v>2.7650472600606602E-3</v>
      </c>
      <c r="H4999" s="2">
        <f t="shared" si="234"/>
        <v>59.199999999999818</v>
      </c>
      <c r="I4999" s="3">
        <f t="shared" si="235"/>
        <v>7.5188447396663284E-3</v>
      </c>
    </row>
    <row r="5000" spans="2:9" x14ac:dyDescent="0.25">
      <c r="B5000" s="1">
        <v>42501</v>
      </c>
      <c r="C5000" s="2">
        <v>7848.85</v>
      </c>
      <c r="D5000" s="2">
        <v>7804.65</v>
      </c>
      <c r="E5000" s="2">
        <v>7893.1</v>
      </c>
      <c r="F5000" s="2">
        <v>7780.9</v>
      </c>
      <c r="G5000" s="3">
        <f t="shared" si="236"/>
        <v>-4.9380055275235479E-3</v>
      </c>
      <c r="H5000" s="2">
        <f t="shared" si="234"/>
        <v>112.20000000000073</v>
      </c>
      <c r="I5000" s="3">
        <f t="shared" si="235"/>
        <v>1.4376045050066401E-2</v>
      </c>
    </row>
    <row r="5001" spans="2:9" x14ac:dyDescent="0.25">
      <c r="B5001" s="1">
        <v>42502</v>
      </c>
      <c r="C5001" s="2">
        <v>7900.4</v>
      </c>
      <c r="D5001" s="2">
        <v>7871.45</v>
      </c>
      <c r="E5001" s="2">
        <v>7916.05</v>
      </c>
      <c r="F5001" s="2">
        <v>7849.65</v>
      </c>
      <c r="G5001" s="3">
        <f t="shared" si="236"/>
        <v>6.5678411487031241E-3</v>
      </c>
      <c r="H5001" s="2">
        <f t="shared" si="234"/>
        <v>66.400000000000546</v>
      </c>
      <c r="I5001" s="3">
        <f t="shared" si="235"/>
        <v>8.4355487235516381E-3</v>
      </c>
    </row>
    <row r="5002" spans="2:9" x14ac:dyDescent="0.25">
      <c r="B5002" s="1">
        <v>42503</v>
      </c>
      <c r="C5002" s="2">
        <v>7814.9</v>
      </c>
      <c r="D5002" s="2">
        <v>7881</v>
      </c>
      <c r="E5002" s="2">
        <v>7881</v>
      </c>
      <c r="F5002" s="2">
        <v>7784.2</v>
      </c>
      <c r="G5002" s="3">
        <f t="shared" si="236"/>
        <v>-1.0822236848767153E-2</v>
      </c>
      <c r="H5002" s="2">
        <f t="shared" si="234"/>
        <v>96.800000000000182</v>
      </c>
      <c r="I5002" s="3">
        <f t="shared" si="235"/>
        <v>1.2282705240451743E-2</v>
      </c>
    </row>
    <row r="5003" spans="2:9" x14ac:dyDescent="0.25">
      <c r="B5003" s="1">
        <v>42506</v>
      </c>
      <c r="C5003" s="2">
        <v>7860.75</v>
      </c>
      <c r="D5003" s="2">
        <v>7831.2</v>
      </c>
      <c r="E5003" s="2">
        <v>7873.9</v>
      </c>
      <c r="F5003" s="2">
        <v>7772.15</v>
      </c>
      <c r="G5003" s="3">
        <f t="shared" si="236"/>
        <v>5.8669976583194394E-3</v>
      </c>
      <c r="H5003" s="2">
        <f t="shared" si="234"/>
        <v>101.75</v>
      </c>
      <c r="I5003" s="3">
        <f t="shared" si="235"/>
        <v>1.2992900194095413E-2</v>
      </c>
    </row>
    <row r="5004" spans="2:9" x14ac:dyDescent="0.25">
      <c r="B5004" s="1">
        <v>42507</v>
      </c>
      <c r="C5004" s="2">
        <v>7890.75</v>
      </c>
      <c r="D5004" s="2">
        <v>7896.85</v>
      </c>
      <c r="E5004" s="2">
        <v>7940.1</v>
      </c>
      <c r="F5004" s="2">
        <v>7879.7</v>
      </c>
      <c r="G5004" s="3">
        <f t="shared" si="236"/>
        <v>3.816429729987636E-3</v>
      </c>
      <c r="H5004" s="2">
        <f t="shared" si="234"/>
        <v>60.400000000000546</v>
      </c>
      <c r="I5004" s="3">
        <f t="shared" si="235"/>
        <v>7.6486193862110264E-3</v>
      </c>
    </row>
    <row r="5005" spans="2:9" x14ac:dyDescent="0.25">
      <c r="B5005" s="1">
        <v>42508</v>
      </c>
      <c r="C5005" s="2">
        <v>7870.15</v>
      </c>
      <c r="D5005" s="2">
        <v>7846.75</v>
      </c>
      <c r="E5005" s="2">
        <v>7882.05</v>
      </c>
      <c r="F5005" s="2">
        <v>7810.75</v>
      </c>
      <c r="G5005" s="3">
        <f t="shared" si="236"/>
        <v>-2.6106517124481199E-3</v>
      </c>
      <c r="H5005" s="2">
        <f t="shared" si="234"/>
        <v>71.300000000000182</v>
      </c>
      <c r="I5005" s="3">
        <f t="shared" si="235"/>
        <v>9.0865645012266454E-3</v>
      </c>
    </row>
    <row r="5006" spans="2:9" x14ac:dyDescent="0.25">
      <c r="B5006" s="1">
        <v>42509</v>
      </c>
      <c r="C5006" s="2">
        <v>7783.4</v>
      </c>
      <c r="D5006" s="2">
        <v>7875.5</v>
      </c>
      <c r="E5006" s="2">
        <v>7876.2</v>
      </c>
      <c r="F5006" s="2">
        <v>7766.8</v>
      </c>
      <c r="G5006" s="3">
        <f t="shared" si="236"/>
        <v>-1.1022661575700643E-2</v>
      </c>
      <c r="H5006" s="2">
        <f t="shared" si="234"/>
        <v>109.39999999999964</v>
      </c>
      <c r="I5006" s="3">
        <f t="shared" si="235"/>
        <v>1.3891181512284889E-2</v>
      </c>
    </row>
    <row r="5007" spans="2:9" x14ac:dyDescent="0.25">
      <c r="B5007" s="1">
        <v>42510</v>
      </c>
      <c r="C5007" s="2">
        <v>7749.7</v>
      </c>
      <c r="D5007" s="2">
        <v>7792.2</v>
      </c>
      <c r="E5007" s="2">
        <v>7812.4</v>
      </c>
      <c r="F5007" s="2">
        <v>7735.75</v>
      </c>
      <c r="G5007" s="3">
        <f t="shared" si="236"/>
        <v>-4.3297273685021231E-3</v>
      </c>
      <c r="H5007" s="2">
        <f t="shared" si="234"/>
        <v>76.649999999999636</v>
      </c>
      <c r="I5007" s="3">
        <f t="shared" si="235"/>
        <v>9.8367598367597904E-3</v>
      </c>
    </row>
    <row r="5008" spans="2:9" x14ac:dyDescent="0.25">
      <c r="B5008" s="1">
        <v>42513</v>
      </c>
      <c r="C5008" s="2">
        <v>7731.05</v>
      </c>
      <c r="D5008" s="2">
        <v>7813.95</v>
      </c>
      <c r="E5008" s="2">
        <v>7820.6</v>
      </c>
      <c r="F5008" s="2">
        <v>7722.2</v>
      </c>
      <c r="G5008" s="3">
        <f t="shared" si="236"/>
        <v>-2.4065447694748832E-3</v>
      </c>
      <c r="H5008" s="2">
        <f t="shared" si="234"/>
        <v>98.400000000000546</v>
      </c>
      <c r="I5008" s="3">
        <f t="shared" si="235"/>
        <v>1.2592862764670948E-2</v>
      </c>
    </row>
    <row r="5009" spans="2:9" x14ac:dyDescent="0.25">
      <c r="B5009" s="1">
        <v>42514</v>
      </c>
      <c r="C5009" s="2">
        <v>7748.85</v>
      </c>
      <c r="D5009" s="2">
        <v>7738.05</v>
      </c>
      <c r="E5009" s="2">
        <v>7761.55</v>
      </c>
      <c r="F5009" s="2">
        <v>7715.8</v>
      </c>
      <c r="G5009" s="3">
        <f t="shared" si="236"/>
        <v>2.3024039425434406E-3</v>
      </c>
      <c r="H5009" s="2">
        <f t="shared" si="234"/>
        <v>45.75</v>
      </c>
      <c r="I5009" s="3">
        <f t="shared" si="235"/>
        <v>5.9123422567701166E-3</v>
      </c>
    </row>
    <row r="5010" spans="2:9" x14ac:dyDescent="0.25">
      <c r="B5010" s="1">
        <v>42515</v>
      </c>
      <c r="C5010" s="2">
        <v>7934.9</v>
      </c>
      <c r="D5010" s="2">
        <v>7811.8</v>
      </c>
      <c r="E5010" s="2">
        <v>7941.2</v>
      </c>
      <c r="F5010" s="2">
        <v>7809.3</v>
      </c>
      <c r="G5010" s="3">
        <f t="shared" si="236"/>
        <v>2.4010014389231893E-2</v>
      </c>
      <c r="H5010" s="2">
        <f t="shared" si="234"/>
        <v>131.89999999999964</v>
      </c>
      <c r="I5010" s="3">
        <f t="shared" si="235"/>
        <v>1.6884712870273131E-2</v>
      </c>
    </row>
    <row r="5011" spans="2:9" x14ac:dyDescent="0.25">
      <c r="B5011" s="1">
        <v>42516</v>
      </c>
      <c r="C5011" s="2">
        <v>8069.65</v>
      </c>
      <c r="D5011" s="2">
        <v>7974.45</v>
      </c>
      <c r="E5011" s="2">
        <v>8083</v>
      </c>
      <c r="F5011" s="2">
        <v>7948.5</v>
      </c>
      <c r="G5011" s="3">
        <f t="shared" si="236"/>
        <v>1.698194054115354E-2</v>
      </c>
      <c r="H5011" s="2">
        <f t="shared" si="234"/>
        <v>134.5</v>
      </c>
      <c r="I5011" s="3">
        <f t="shared" si="235"/>
        <v>1.6866366959476829E-2</v>
      </c>
    </row>
    <row r="5012" spans="2:9" x14ac:dyDescent="0.25">
      <c r="B5012" s="1">
        <v>42517</v>
      </c>
      <c r="C5012" s="2">
        <v>8156.65</v>
      </c>
      <c r="D5012" s="2">
        <v>8081.95</v>
      </c>
      <c r="E5012" s="2">
        <v>8164.2</v>
      </c>
      <c r="F5012" s="2">
        <v>8077.05</v>
      </c>
      <c r="G5012" s="3">
        <f t="shared" si="236"/>
        <v>1.0781136728358787E-2</v>
      </c>
      <c r="H5012" s="2">
        <f t="shared" si="234"/>
        <v>87.149999999999636</v>
      </c>
      <c r="I5012" s="3">
        <f t="shared" si="235"/>
        <v>1.0783288686517442E-2</v>
      </c>
    </row>
    <row r="5013" spans="2:9" x14ac:dyDescent="0.25">
      <c r="B5013" s="1">
        <v>42520</v>
      </c>
      <c r="C5013" s="2">
        <v>8178.5</v>
      </c>
      <c r="D5013" s="2">
        <v>8166.5</v>
      </c>
      <c r="E5013" s="2">
        <v>8200</v>
      </c>
      <c r="F5013" s="2">
        <v>8150.8</v>
      </c>
      <c r="G5013" s="3">
        <f t="shared" si="236"/>
        <v>2.6787958291700775E-3</v>
      </c>
      <c r="H5013" s="2">
        <f t="shared" si="234"/>
        <v>49.199999999999818</v>
      </c>
      <c r="I5013" s="3">
        <f t="shared" si="235"/>
        <v>6.0246127471989003E-3</v>
      </c>
    </row>
    <row r="5014" spans="2:9" x14ac:dyDescent="0.25">
      <c r="B5014" s="1">
        <v>42521</v>
      </c>
      <c r="C5014" s="2">
        <v>8160.1</v>
      </c>
      <c r="D5014" s="2">
        <v>8209.85</v>
      </c>
      <c r="E5014" s="2">
        <v>8213.6</v>
      </c>
      <c r="F5014" s="2">
        <v>8134.3</v>
      </c>
      <c r="G5014" s="3">
        <f t="shared" si="236"/>
        <v>-2.249801308308319E-3</v>
      </c>
      <c r="H5014" s="2">
        <f t="shared" si="234"/>
        <v>79.300000000000182</v>
      </c>
      <c r="I5014" s="3">
        <f t="shared" si="235"/>
        <v>9.6591289731237703E-3</v>
      </c>
    </row>
    <row r="5015" spans="2:9" x14ac:dyDescent="0.25">
      <c r="B5015" s="1">
        <v>42522</v>
      </c>
      <c r="C5015" s="2">
        <v>8179.95</v>
      </c>
      <c r="D5015" s="2">
        <v>8179.2</v>
      </c>
      <c r="E5015" s="2">
        <v>8215.35</v>
      </c>
      <c r="F5015" s="2">
        <v>8171.05</v>
      </c>
      <c r="G5015" s="3">
        <f t="shared" si="236"/>
        <v>2.4325682283303784E-3</v>
      </c>
      <c r="H5015" s="2">
        <f t="shared" si="234"/>
        <v>44.300000000000182</v>
      </c>
      <c r="I5015" s="3">
        <f t="shared" si="235"/>
        <v>5.4161776212832777E-3</v>
      </c>
    </row>
    <row r="5016" spans="2:9" x14ac:dyDescent="0.25">
      <c r="B5016" s="1">
        <v>42523</v>
      </c>
      <c r="C5016" s="2">
        <v>8218.9500000000007</v>
      </c>
      <c r="D5016" s="2">
        <v>8156.9</v>
      </c>
      <c r="E5016" s="2">
        <v>8229.5</v>
      </c>
      <c r="F5016" s="2">
        <v>8154.75</v>
      </c>
      <c r="G5016" s="3">
        <f t="shared" si="236"/>
        <v>4.7677553041278742E-3</v>
      </c>
      <c r="H5016" s="2">
        <f t="shared" si="234"/>
        <v>74.75</v>
      </c>
      <c r="I5016" s="3">
        <f t="shared" si="235"/>
        <v>9.1640206450980151E-3</v>
      </c>
    </row>
    <row r="5017" spans="2:9" x14ac:dyDescent="0.25">
      <c r="B5017" s="1">
        <v>42524</v>
      </c>
      <c r="C5017" s="2">
        <v>8220.7999999999993</v>
      </c>
      <c r="D5017" s="2">
        <v>8246.2000000000007</v>
      </c>
      <c r="E5017" s="2">
        <v>8262</v>
      </c>
      <c r="F5017" s="2">
        <v>8209.85</v>
      </c>
      <c r="G5017" s="3">
        <f t="shared" si="236"/>
        <v>2.2508957956901554E-4</v>
      </c>
      <c r="H5017" s="2">
        <f t="shared" si="234"/>
        <v>52.149999999999636</v>
      </c>
      <c r="I5017" s="3">
        <f t="shared" si="235"/>
        <v>6.324125051538846E-3</v>
      </c>
    </row>
    <row r="5018" spans="2:9" x14ac:dyDescent="0.25">
      <c r="B5018" s="1">
        <v>42527</v>
      </c>
      <c r="C5018" s="2">
        <v>8201.0499999999993</v>
      </c>
      <c r="D5018" s="2">
        <v>8228.75</v>
      </c>
      <c r="E5018" s="2">
        <v>8234.7000000000007</v>
      </c>
      <c r="F5018" s="2">
        <v>8186.05</v>
      </c>
      <c r="G5018" s="3">
        <f t="shared" si="236"/>
        <v>-2.4024425846632669E-3</v>
      </c>
      <c r="H5018" s="2">
        <f t="shared" si="234"/>
        <v>48.650000000000546</v>
      </c>
      <c r="I5018" s="3">
        <f t="shared" si="235"/>
        <v>5.9121980859791036E-3</v>
      </c>
    </row>
    <row r="5019" spans="2:9" x14ac:dyDescent="0.25">
      <c r="B5019" s="1">
        <v>42528</v>
      </c>
      <c r="C5019" s="2">
        <v>8266.4500000000007</v>
      </c>
      <c r="D5019" s="2">
        <v>8235.5499999999993</v>
      </c>
      <c r="E5019" s="2">
        <v>8294.9500000000007</v>
      </c>
      <c r="F5019" s="2">
        <v>8216.4</v>
      </c>
      <c r="G5019" s="3">
        <f t="shared" si="236"/>
        <v>7.9745886197499782E-3</v>
      </c>
      <c r="H5019" s="2">
        <f t="shared" si="234"/>
        <v>78.550000000001091</v>
      </c>
      <c r="I5019" s="3">
        <f t="shared" si="235"/>
        <v>9.5379179289787688E-3</v>
      </c>
    </row>
    <row r="5020" spans="2:9" x14ac:dyDescent="0.25">
      <c r="B5020" s="1">
        <v>42529</v>
      </c>
      <c r="C5020" s="2">
        <v>8273.0499999999993</v>
      </c>
      <c r="D5020" s="2">
        <v>8285.5</v>
      </c>
      <c r="E5020" s="2">
        <v>8288.9</v>
      </c>
      <c r="F5020" s="2">
        <v>8252.0499999999993</v>
      </c>
      <c r="G5020" s="3">
        <f t="shared" si="236"/>
        <v>7.9840802279074197E-4</v>
      </c>
      <c r="H5020" s="2">
        <f t="shared" si="234"/>
        <v>36.850000000000364</v>
      </c>
      <c r="I5020" s="3">
        <f t="shared" si="235"/>
        <v>4.4475288154004426E-3</v>
      </c>
    </row>
    <row r="5021" spans="2:9" x14ac:dyDescent="0.25">
      <c r="B5021" s="1">
        <v>42530</v>
      </c>
      <c r="C5021" s="2">
        <v>8203.6</v>
      </c>
      <c r="D5021" s="2">
        <v>8273.35</v>
      </c>
      <c r="E5021" s="2">
        <v>8273.35</v>
      </c>
      <c r="F5021" s="2">
        <v>8184.6</v>
      </c>
      <c r="G5021" s="3">
        <f t="shared" si="236"/>
        <v>-8.3947274584341702E-3</v>
      </c>
      <c r="H5021" s="2">
        <f t="shared" si="234"/>
        <v>88.75</v>
      </c>
      <c r="I5021" s="3">
        <f t="shared" si="235"/>
        <v>1.0727214489898287E-2</v>
      </c>
    </row>
    <row r="5022" spans="2:9" x14ac:dyDescent="0.25">
      <c r="B5022" s="1">
        <v>42531</v>
      </c>
      <c r="C5022" s="2">
        <v>8170.05</v>
      </c>
      <c r="D5022" s="2">
        <v>8180.25</v>
      </c>
      <c r="E5022" s="2">
        <v>8265.6</v>
      </c>
      <c r="F5022" s="2">
        <v>8162.85</v>
      </c>
      <c r="G5022" s="3">
        <f t="shared" si="236"/>
        <v>-4.0896679506557954E-3</v>
      </c>
      <c r="H5022" s="2">
        <f t="shared" si="234"/>
        <v>102.75</v>
      </c>
      <c r="I5022" s="3">
        <f t="shared" si="235"/>
        <v>1.2560740808654993E-2</v>
      </c>
    </row>
    <row r="5023" spans="2:9" x14ac:dyDescent="0.25">
      <c r="B5023" s="1">
        <v>42534</v>
      </c>
      <c r="C5023" s="2">
        <v>8110.6</v>
      </c>
      <c r="D5023" s="2">
        <v>8102.25</v>
      </c>
      <c r="E5023" s="2">
        <v>8125.25</v>
      </c>
      <c r="F5023" s="2">
        <v>8063.9</v>
      </c>
      <c r="G5023" s="3">
        <f t="shared" si="236"/>
        <v>-7.2765772547291885E-3</v>
      </c>
      <c r="H5023" s="2">
        <f t="shared" si="234"/>
        <v>61.350000000000364</v>
      </c>
      <c r="I5023" s="3">
        <f t="shared" si="235"/>
        <v>7.571970748866101E-3</v>
      </c>
    </row>
    <row r="5024" spans="2:9" x14ac:dyDescent="0.25">
      <c r="B5024" s="1">
        <v>42535</v>
      </c>
      <c r="C5024" s="2">
        <v>8108.85</v>
      </c>
      <c r="D5024" s="2">
        <v>8134.4</v>
      </c>
      <c r="E5024" s="2">
        <v>8134.95</v>
      </c>
      <c r="F5024" s="2">
        <v>8069.5</v>
      </c>
      <c r="G5024" s="3">
        <f t="shared" si="236"/>
        <v>-2.1576702093561995E-4</v>
      </c>
      <c r="H5024" s="2">
        <f t="shared" si="234"/>
        <v>65.449999999999818</v>
      </c>
      <c r="I5024" s="3">
        <f t="shared" si="235"/>
        <v>8.0460759244689005E-3</v>
      </c>
    </row>
    <row r="5025" spans="2:9" x14ac:dyDescent="0.25">
      <c r="B5025" s="1">
        <v>42536</v>
      </c>
      <c r="C5025" s="2">
        <v>8206.6</v>
      </c>
      <c r="D5025" s="2">
        <v>8139.4</v>
      </c>
      <c r="E5025" s="2">
        <v>8213.2000000000007</v>
      </c>
      <c r="F5025" s="2">
        <v>8123.15</v>
      </c>
      <c r="G5025" s="3">
        <f t="shared" si="236"/>
        <v>1.2054730325508523E-2</v>
      </c>
      <c r="H5025" s="2">
        <f t="shared" si="234"/>
        <v>90.050000000001091</v>
      </c>
      <c r="I5025" s="3">
        <f t="shared" si="235"/>
        <v>1.1063469051772993E-2</v>
      </c>
    </row>
    <row r="5026" spans="2:9" x14ac:dyDescent="0.25">
      <c r="B5026" s="1">
        <v>42537</v>
      </c>
      <c r="C5026" s="2">
        <v>8140.75</v>
      </c>
      <c r="D5026" s="2">
        <v>8180.65</v>
      </c>
      <c r="E5026" s="2">
        <v>8180.65</v>
      </c>
      <c r="F5026" s="2">
        <v>8074.45</v>
      </c>
      <c r="G5026" s="3">
        <f t="shared" si="236"/>
        <v>-8.0240294397192491E-3</v>
      </c>
      <c r="H5026" s="2">
        <f t="shared" si="234"/>
        <v>106.19999999999982</v>
      </c>
      <c r="I5026" s="3">
        <f t="shared" si="235"/>
        <v>1.2981853520197029E-2</v>
      </c>
    </row>
    <row r="5027" spans="2:9" x14ac:dyDescent="0.25">
      <c r="B5027" s="1">
        <v>42538</v>
      </c>
      <c r="C5027" s="2">
        <v>8170.2</v>
      </c>
      <c r="D5027" s="2">
        <v>8176.65</v>
      </c>
      <c r="E5027" s="2">
        <v>8195.25</v>
      </c>
      <c r="F5027" s="2">
        <v>8135.8</v>
      </c>
      <c r="G5027" s="3">
        <f t="shared" si="236"/>
        <v>3.6176028007246508E-3</v>
      </c>
      <c r="H5027" s="2">
        <f t="shared" si="234"/>
        <v>59.449999999999818</v>
      </c>
      <c r="I5027" s="3">
        <f t="shared" si="235"/>
        <v>7.2707037723272758E-3</v>
      </c>
    </row>
    <row r="5028" spans="2:9" x14ac:dyDescent="0.25">
      <c r="B5028" s="1">
        <v>42541</v>
      </c>
      <c r="C5028" s="2">
        <v>8238.5</v>
      </c>
      <c r="D5028" s="2">
        <v>8115.75</v>
      </c>
      <c r="E5028" s="2">
        <v>8244.15</v>
      </c>
      <c r="F5028" s="2">
        <v>8107.35</v>
      </c>
      <c r="G5028" s="3">
        <f t="shared" si="236"/>
        <v>8.3596484786174763E-3</v>
      </c>
      <c r="H5028" s="2">
        <f t="shared" si="234"/>
        <v>136.79999999999927</v>
      </c>
      <c r="I5028" s="3">
        <f t="shared" si="235"/>
        <v>1.6856113113390539E-2</v>
      </c>
    </row>
    <row r="5029" spans="2:9" x14ac:dyDescent="0.25">
      <c r="B5029" s="1">
        <v>42542</v>
      </c>
      <c r="C5029" s="2">
        <v>8219.9</v>
      </c>
      <c r="D5029" s="2">
        <v>8255.4</v>
      </c>
      <c r="E5029" s="2">
        <v>8257.25</v>
      </c>
      <c r="F5029" s="2">
        <v>8202.15</v>
      </c>
      <c r="G5029" s="3">
        <f t="shared" si="236"/>
        <v>-2.2576925411179616E-3</v>
      </c>
      <c r="H5029" s="2">
        <f t="shared" si="234"/>
        <v>55.100000000000364</v>
      </c>
      <c r="I5029" s="3">
        <f t="shared" si="235"/>
        <v>6.6744191680597389E-3</v>
      </c>
    </row>
    <row r="5030" spans="2:9" x14ac:dyDescent="0.25">
      <c r="B5030" s="1">
        <v>42543</v>
      </c>
      <c r="C5030" s="2">
        <v>8203.7000000000007</v>
      </c>
      <c r="D5030" s="2">
        <v>8213.65</v>
      </c>
      <c r="E5030" s="2">
        <v>8238.35</v>
      </c>
      <c r="F5030" s="2">
        <v>8153.25</v>
      </c>
      <c r="G5030" s="3">
        <f t="shared" si="236"/>
        <v>-1.9708268957041586E-3</v>
      </c>
      <c r="H5030" s="2">
        <f t="shared" si="234"/>
        <v>85.100000000000364</v>
      </c>
      <c r="I5030" s="3">
        <f t="shared" si="235"/>
        <v>1.0360801835968219E-2</v>
      </c>
    </row>
    <row r="5031" spans="2:9" x14ac:dyDescent="0.25">
      <c r="B5031" s="1">
        <v>42544</v>
      </c>
      <c r="C5031" s="2">
        <v>8270.4500000000007</v>
      </c>
      <c r="D5031" s="2">
        <v>8201.15</v>
      </c>
      <c r="E5031" s="2">
        <v>8285.6</v>
      </c>
      <c r="F5031" s="2">
        <v>8188.3</v>
      </c>
      <c r="G5031" s="3">
        <f t="shared" si="236"/>
        <v>8.1365725221547169E-3</v>
      </c>
      <c r="H5031" s="2">
        <f t="shared" si="234"/>
        <v>97.300000000000182</v>
      </c>
      <c r="I5031" s="3">
        <f t="shared" si="235"/>
        <v>1.1864189778262828E-2</v>
      </c>
    </row>
    <row r="5032" spans="2:9" x14ac:dyDescent="0.25">
      <c r="B5032" s="1">
        <v>42545</v>
      </c>
      <c r="C5032" s="2">
        <v>8088.6</v>
      </c>
      <c r="D5032" s="2">
        <v>8029.1</v>
      </c>
      <c r="E5032" s="2">
        <v>8100.7</v>
      </c>
      <c r="F5032" s="2">
        <v>7927.05</v>
      </c>
      <c r="G5032" s="3">
        <f t="shared" si="236"/>
        <v>-2.1987920850739751E-2</v>
      </c>
      <c r="H5032" s="2">
        <f t="shared" si="234"/>
        <v>173.64999999999964</v>
      </c>
      <c r="I5032" s="3">
        <f t="shared" si="235"/>
        <v>2.1627579678917888E-2</v>
      </c>
    </row>
    <row r="5033" spans="2:9" x14ac:dyDescent="0.25">
      <c r="B5033" s="1">
        <v>42548</v>
      </c>
      <c r="C5033" s="2">
        <v>8094.7</v>
      </c>
      <c r="D5033" s="2">
        <v>8039.35</v>
      </c>
      <c r="E5033" s="2">
        <v>8120.65</v>
      </c>
      <c r="F5033" s="2">
        <v>8039.35</v>
      </c>
      <c r="G5033" s="3">
        <f t="shared" si="236"/>
        <v>7.541478129713397E-4</v>
      </c>
      <c r="H5033" s="2">
        <f t="shared" si="234"/>
        <v>81.299999999999272</v>
      </c>
      <c r="I5033" s="3">
        <f t="shared" si="235"/>
        <v>1.0112757872215947E-2</v>
      </c>
    </row>
    <row r="5034" spans="2:9" x14ac:dyDescent="0.25">
      <c r="B5034" s="1">
        <v>42549</v>
      </c>
      <c r="C5034" s="2">
        <v>8127.85</v>
      </c>
      <c r="D5034" s="2">
        <v>8096.05</v>
      </c>
      <c r="E5034" s="2">
        <v>8146.35</v>
      </c>
      <c r="F5034" s="2">
        <v>8086.85</v>
      </c>
      <c r="G5034" s="3">
        <f t="shared" si="236"/>
        <v>4.0952722151532672E-3</v>
      </c>
      <c r="H5034" s="2">
        <f t="shared" si="234"/>
        <v>59.5</v>
      </c>
      <c r="I5034" s="3">
        <f t="shared" si="235"/>
        <v>7.3492629121608682E-3</v>
      </c>
    </row>
    <row r="5035" spans="2:9" x14ac:dyDescent="0.25">
      <c r="B5035" s="1">
        <v>42550</v>
      </c>
      <c r="C5035" s="2">
        <v>8204</v>
      </c>
      <c r="D5035" s="2">
        <v>8173.1</v>
      </c>
      <c r="E5035" s="2">
        <v>8212.4</v>
      </c>
      <c r="F5035" s="2">
        <v>8157.65</v>
      </c>
      <c r="G5035" s="3">
        <f t="shared" si="236"/>
        <v>9.369021327903404E-3</v>
      </c>
      <c r="H5035" s="2">
        <f t="shared" si="234"/>
        <v>54.75</v>
      </c>
      <c r="I5035" s="3">
        <f t="shared" si="235"/>
        <v>6.6988046151399095E-3</v>
      </c>
    </row>
    <row r="5036" spans="2:9" x14ac:dyDescent="0.25">
      <c r="B5036" s="1">
        <v>42551</v>
      </c>
      <c r="C5036" s="2">
        <v>8287.75</v>
      </c>
      <c r="D5036" s="2">
        <v>8260.25</v>
      </c>
      <c r="E5036" s="2">
        <v>8308.15</v>
      </c>
      <c r="F5036" s="2">
        <v>8242.1</v>
      </c>
      <c r="G5036" s="3">
        <f t="shared" si="236"/>
        <v>1.0208434909800168E-2</v>
      </c>
      <c r="H5036" s="2">
        <f t="shared" si="234"/>
        <v>66.049999999999272</v>
      </c>
      <c r="I5036" s="3">
        <f t="shared" si="235"/>
        <v>7.9961260252412788E-3</v>
      </c>
    </row>
    <row r="5037" spans="2:9" x14ac:dyDescent="0.25">
      <c r="B5037" s="1">
        <v>42552</v>
      </c>
      <c r="C5037" s="2">
        <v>8328.35</v>
      </c>
      <c r="D5037" s="2">
        <v>8313.0499999999993</v>
      </c>
      <c r="E5037" s="2">
        <v>8356.75</v>
      </c>
      <c r="F5037" s="2">
        <v>8308.65</v>
      </c>
      <c r="G5037" s="3">
        <f t="shared" si="236"/>
        <v>4.8987964163977882E-3</v>
      </c>
      <c r="H5037" s="2">
        <f t="shared" si="234"/>
        <v>48.100000000000364</v>
      </c>
      <c r="I5037" s="3">
        <f t="shared" si="235"/>
        <v>5.7860833268175184E-3</v>
      </c>
    </row>
    <row r="5038" spans="2:9" x14ac:dyDescent="0.25">
      <c r="B5038" s="1">
        <v>42555</v>
      </c>
      <c r="C5038" s="2">
        <v>8370.7000000000007</v>
      </c>
      <c r="D5038" s="2">
        <v>8376.75</v>
      </c>
      <c r="E5038" s="2">
        <v>8398.4500000000007</v>
      </c>
      <c r="F5038" s="2">
        <v>8364.7000000000007</v>
      </c>
      <c r="G5038" s="3">
        <f t="shared" si="236"/>
        <v>5.0850408544309555E-3</v>
      </c>
      <c r="H5038" s="2">
        <f t="shared" si="234"/>
        <v>33.75</v>
      </c>
      <c r="I5038" s="3">
        <f t="shared" si="235"/>
        <v>4.0290088638195E-3</v>
      </c>
    </row>
    <row r="5039" spans="2:9" x14ac:dyDescent="0.25">
      <c r="B5039" s="1">
        <v>42556</v>
      </c>
      <c r="C5039" s="2">
        <v>8335.9500000000007</v>
      </c>
      <c r="D5039" s="2">
        <v>8379.2999999999993</v>
      </c>
      <c r="E5039" s="2">
        <v>8381.4500000000007</v>
      </c>
      <c r="F5039" s="2">
        <v>8319.9500000000007</v>
      </c>
      <c r="G5039" s="3">
        <f t="shared" si="236"/>
        <v>-4.1513851888133058E-3</v>
      </c>
      <c r="H5039" s="2">
        <f t="shared" si="234"/>
        <v>61.5</v>
      </c>
      <c r="I5039" s="3">
        <f t="shared" si="235"/>
        <v>7.339515233969425E-3</v>
      </c>
    </row>
    <row r="5040" spans="2:9" x14ac:dyDescent="0.25">
      <c r="B5040" s="1">
        <v>42558</v>
      </c>
      <c r="C5040" s="2">
        <v>8337.9</v>
      </c>
      <c r="D5040" s="2">
        <v>8342</v>
      </c>
      <c r="E5040" s="2">
        <v>8361.9500000000007</v>
      </c>
      <c r="F5040" s="2">
        <v>8317.7000000000007</v>
      </c>
      <c r="G5040" s="3">
        <f t="shared" si="236"/>
        <v>2.3392654706411165E-4</v>
      </c>
      <c r="H5040" s="2">
        <f t="shared" si="234"/>
        <v>44.25</v>
      </c>
      <c r="I5040" s="3">
        <f t="shared" si="235"/>
        <v>5.3044833373291781E-3</v>
      </c>
    </row>
    <row r="5041" spans="2:9" x14ac:dyDescent="0.25">
      <c r="B5041" s="1">
        <v>42559</v>
      </c>
      <c r="C5041" s="2">
        <v>8323.2000000000007</v>
      </c>
      <c r="D5041" s="2">
        <v>8350</v>
      </c>
      <c r="E5041" s="2">
        <v>8353.2999999999993</v>
      </c>
      <c r="F5041" s="2">
        <v>8287.5499999999993</v>
      </c>
      <c r="G5041" s="3">
        <f t="shared" si="236"/>
        <v>-1.763033857446028E-3</v>
      </c>
      <c r="H5041" s="2">
        <f t="shared" si="234"/>
        <v>65.75</v>
      </c>
      <c r="I5041" s="3">
        <f t="shared" si="235"/>
        <v>7.8742514970059872E-3</v>
      </c>
    </row>
    <row r="5042" spans="2:9" x14ac:dyDescent="0.25">
      <c r="B5042" s="1">
        <v>42562</v>
      </c>
      <c r="C5042" s="2">
        <v>8467.9</v>
      </c>
      <c r="D5042" s="2">
        <v>8413.35</v>
      </c>
      <c r="E5042" s="2">
        <v>8475.25</v>
      </c>
      <c r="F5042" s="2">
        <v>8407.0499999999993</v>
      </c>
      <c r="G5042" s="3">
        <f t="shared" si="236"/>
        <v>1.7385140330641979E-2</v>
      </c>
      <c r="H5042" s="2">
        <f t="shared" si="234"/>
        <v>68.200000000000728</v>
      </c>
      <c r="I5042" s="3">
        <f t="shared" si="235"/>
        <v>8.1061646074394537E-3</v>
      </c>
    </row>
    <row r="5043" spans="2:9" x14ac:dyDescent="0.25">
      <c r="B5043" s="1">
        <v>42563</v>
      </c>
      <c r="C5043" s="2">
        <v>8521.0499999999993</v>
      </c>
      <c r="D5043" s="2">
        <v>8502.6</v>
      </c>
      <c r="E5043" s="2">
        <v>8526.6</v>
      </c>
      <c r="F5043" s="2">
        <v>8479.2000000000007</v>
      </c>
      <c r="G5043" s="3">
        <f t="shared" si="236"/>
        <v>6.2766447407267556E-3</v>
      </c>
      <c r="H5043" s="2">
        <f t="shared" si="234"/>
        <v>47.399999999999636</v>
      </c>
      <c r="I5043" s="3">
        <f t="shared" si="235"/>
        <v>5.5747653658880384E-3</v>
      </c>
    </row>
    <row r="5044" spans="2:9" x14ac:dyDescent="0.25">
      <c r="B5044" s="1">
        <v>42564</v>
      </c>
      <c r="C5044" s="2">
        <v>8519.5</v>
      </c>
      <c r="D5044" s="2">
        <v>8540.4500000000007</v>
      </c>
      <c r="E5044" s="2">
        <v>8550.25</v>
      </c>
      <c r="F5044" s="2">
        <v>8493.5499999999993</v>
      </c>
      <c r="G5044" s="3">
        <f t="shared" si="236"/>
        <v>-1.8190246507165941E-4</v>
      </c>
      <c r="H5044" s="2">
        <f t="shared" si="234"/>
        <v>56.700000000000728</v>
      </c>
      <c r="I5044" s="3">
        <f t="shared" si="235"/>
        <v>6.6389944323777695E-3</v>
      </c>
    </row>
    <row r="5045" spans="2:9" x14ac:dyDescent="0.25">
      <c r="B5045" s="1">
        <v>42565</v>
      </c>
      <c r="C5045" s="2">
        <v>8565</v>
      </c>
      <c r="D5045" s="2">
        <v>8515.75</v>
      </c>
      <c r="E5045" s="2">
        <v>8571.4</v>
      </c>
      <c r="F5045" s="2">
        <v>8500.7000000000007</v>
      </c>
      <c r="G5045" s="3">
        <f t="shared" si="236"/>
        <v>5.3406890075708979E-3</v>
      </c>
      <c r="H5045" s="2">
        <f t="shared" si="234"/>
        <v>70.699999999998909</v>
      </c>
      <c r="I5045" s="3">
        <f t="shared" si="235"/>
        <v>8.3022634530134053E-3</v>
      </c>
    </row>
    <row r="5046" spans="2:9" x14ac:dyDescent="0.25">
      <c r="B5046" s="1">
        <v>42566</v>
      </c>
      <c r="C5046" s="2">
        <v>8541.4</v>
      </c>
      <c r="D5046" s="2">
        <v>8565.4500000000007</v>
      </c>
      <c r="E5046" s="2">
        <v>8594.7999999999993</v>
      </c>
      <c r="F5046" s="2">
        <v>8510.0499999999993</v>
      </c>
      <c r="G5046" s="3">
        <f t="shared" si="236"/>
        <v>-2.7553998832458015E-3</v>
      </c>
      <c r="H5046" s="2">
        <f t="shared" si="234"/>
        <v>84.75</v>
      </c>
      <c r="I5046" s="3">
        <f t="shared" si="235"/>
        <v>9.8944013449380943E-3</v>
      </c>
    </row>
    <row r="5047" spans="2:9" x14ac:dyDescent="0.25">
      <c r="B5047" s="1">
        <v>42569</v>
      </c>
      <c r="C5047" s="2">
        <v>8508.7000000000007</v>
      </c>
      <c r="D5047" s="2">
        <v>8564.0499999999993</v>
      </c>
      <c r="E5047" s="2">
        <v>8587.1</v>
      </c>
      <c r="F5047" s="2">
        <v>8494.35</v>
      </c>
      <c r="G5047" s="3">
        <f t="shared" si="236"/>
        <v>-3.8284122040882496E-3</v>
      </c>
      <c r="H5047" s="2">
        <f t="shared" si="234"/>
        <v>92.75</v>
      </c>
      <c r="I5047" s="3">
        <f t="shared" si="235"/>
        <v>1.0830156292875452E-2</v>
      </c>
    </row>
    <row r="5048" spans="2:9" x14ac:dyDescent="0.25">
      <c r="B5048" s="1">
        <v>42570</v>
      </c>
      <c r="C5048" s="2">
        <v>8528.5499999999993</v>
      </c>
      <c r="D5048" s="2">
        <v>8514.2999999999993</v>
      </c>
      <c r="E5048" s="2">
        <v>8540.0499999999993</v>
      </c>
      <c r="F5048" s="2">
        <v>8476.7000000000007</v>
      </c>
      <c r="G5048" s="3">
        <f t="shared" si="236"/>
        <v>2.3329063194141852E-3</v>
      </c>
      <c r="H5048" s="2">
        <f t="shared" si="234"/>
        <v>63.349999999998545</v>
      </c>
      <c r="I5048" s="3">
        <f t="shared" si="235"/>
        <v>7.4404237576780885E-3</v>
      </c>
    </row>
    <row r="5049" spans="2:9" x14ac:dyDescent="0.25">
      <c r="B5049" s="1">
        <v>42571</v>
      </c>
      <c r="C5049" s="2">
        <v>8565.85</v>
      </c>
      <c r="D5049" s="2">
        <v>8515.4500000000007</v>
      </c>
      <c r="E5049" s="2">
        <v>8569.9</v>
      </c>
      <c r="F5049" s="2">
        <v>8512.5499999999993</v>
      </c>
      <c r="G5049" s="3">
        <f t="shared" si="236"/>
        <v>4.3735453271660507E-3</v>
      </c>
      <c r="H5049" s="2">
        <f t="shared" si="234"/>
        <v>57.350000000000364</v>
      </c>
      <c r="I5049" s="3">
        <f t="shared" si="235"/>
        <v>6.7348173026675461E-3</v>
      </c>
    </row>
    <row r="5050" spans="2:9" x14ac:dyDescent="0.25">
      <c r="B5050" s="1">
        <v>42572</v>
      </c>
      <c r="C5050" s="2">
        <v>8510.1</v>
      </c>
      <c r="D5050" s="2">
        <v>8582.7000000000007</v>
      </c>
      <c r="E5050" s="2">
        <v>8585.25</v>
      </c>
      <c r="F5050" s="2">
        <v>8503.4500000000007</v>
      </c>
      <c r="G5050" s="3">
        <f t="shared" si="236"/>
        <v>-6.5084025519942523E-3</v>
      </c>
      <c r="H5050" s="2">
        <f t="shared" si="234"/>
        <v>81.799999999999272</v>
      </c>
      <c r="I5050" s="3">
        <f t="shared" si="235"/>
        <v>9.5308003308981169E-3</v>
      </c>
    </row>
    <row r="5051" spans="2:9" x14ac:dyDescent="0.25">
      <c r="B5051" s="1">
        <v>42573</v>
      </c>
      <c r="C5051" s="2">
        <v>8541.2000000000007</v>
      </c>
      <c r="D5051" s="2">
        <v>8519.65</v>
      </c>
      <c r="E5051" s="2">
        <v>8548.9500000000007</v>
      </c>
      <c r="F5051" s="2">
        <v>8489.7999999999993</v>
      </c>
      <c r="G5051" s="3">
        <f t="shared" si="236"/>
        <v>3.6544811459324755E-3</v>
      </c>
      <c r="H5051" s="2">
        <f t="shared" si="234"/>
        <v>59.150000000001455</v>
      </c>
      <c r="I5051" s="3">
        <f t="shared" si="235"/>
        <v>6.9427734707413402E-3</v>
      </c>
    </row>
    <row r="5052" spans="2:9" x14ac:dyDescent="0.25">
      <c r="B5052" s="1">
        <v>42576</v>
      </c>
      <c r="C5052" s="2">
        <v>8635.65</v>
      </c>
      <c r="D5052" s="2">
        <v>8519.9500000000007</v>
      </c>
      <c r="E5052" s="2">
        <v>8641.15</v>
      </c>
      <c r="F5052" s="2">
        <v>8517.2000000000007</v>
      </c>
      <c r="G5052" s="3">
        <f t="shared" si="236"/>
        <v>1.105816512902158E-2</v>
      </c>
      <c r="H5052" s="2">
        <f t="shared" si="234"/>
        <v>123.94999999999891</v>
      </c>
      <c r="I5052" s="3">
        <f t="shared" si="235"/>
        <v>1.454820744253181E-2</v>
      </c>
    </row>
    <row r="5053" spans="2:9" x14ac:dyDescent="0.25">
      <c r="B5053" s="1">
        <v>42577</v>
      </c>
      <c r="C5053" s="2">
        <v>8590.65</v>
      </c>
      <c r="D5053" s="2">
        <v>8633.75</v>
      </c>
      <c r="E5053" s="2">
        <v>8644.9</v>
      </c>
      <c r="F5053" s="2">
        <v>8577.15</v>
      </c>
      <c r="G5053" s="3">
        <f t="shared" si="236"/>
        <v>-5.2109569053864213E-3</v>
      </c>
      <c r="H5053" s="2">
        <f t="shared" si="234"/>
        <v>67.75</v>
      </c>
      <c r="I5053" s="3">
        <f t="shared" si="235"/>
        <v>7.847111625886782E-3</v>
      </c>
    </row>
    <row r="5054" spans="2:9" x14ac:dyDescent="0.25">
      <c r="B5054" s="1">
        <v>42578</v>
      </c>
      <c r="C5054" s="2">
        <v>8615.7999999999993</v>
      </c>
      <c r="D5054" s="2">
        <v>8599.4</v>
      </c>
      <c r="E5054" s="2">
        <v>8665</v>
      </c>
      <c r="F5054" s="2">
        <v>8572.0499999999993</v>
      </c>
      <c r="G5054" s="3">
        <f t="shared" si="236"/>
        <v>2.9276015202575056E-3</v>
      </c>
      <c r="H5054" s="2">
        <f t="shared" si="234"/>
        <v>92.950000000000728</v>
      </c>
      <c r="I5054" s="3">
        <f t="shared" si="235"/>
        <v>1.0808893643742672E-2</v>
      </c>
    </row>
    <row r="5055" spans="2:9" x14ac:dyDescent="0.25">
      <c r="B5055" s="1">
        <v>42579</v>
      </c>
      <c r="C5055" s="2">
        <v>8666.2999999999993</v>
      </c>
      <c r="D5055" s="2">
        <v>8636.9500000000007</v>
      </c>
      <c r="E5055" s="2">
        <v>8674.7000000000007</v>
      </c>
      <c r="F5055" s="2">
        <v>8625.25</v>
      </c>
      <c r="G5055" s="3">
        <f t="shared" si="236"/>
        <v>5.8613245432810324E-3</v>
      </c>
      <c r="H5055" s="2">
        <f t="shared" si="234"/>
        <v>49.450000000000728</v>
      </c>
      <c r="I5055" s="3">
        <f t="shared" si="235"/>
        <v>5.7254007491071178E-3</v>
      </c>
    </row>
    <row r="5056" spans="2:9" x14ac:dyDescent="0.25">
      <c r="B5056" s="1">
        <v>42580</v>
      </c>
      <c r="C5056" s="2">
        <v>8638.5</v>
      </c>
      <c r="D5056" s="2">
        <v>8668.2999999999993</v>
      </c>
      <c r="E5056" s="2">
        <v>8670.35</v>
      </c>
      <c r="F5056" s="2">
        <v>8631.15</v>
      </c>
      <c r="G5056" s="3">
        <f t="shared" si="236"/>
        <v>-3.2078280234931755E-3</v>
      </c>
      <c r="H5056" s="2">
        <f t="shared" si="234"/>
        <v>39.200000000000728</v>
      </c>
      <c r="I5056" s="3">
        <f t="shared" si="235"/>
        <v>4.5222246576607558E-3</v>
      </c>
    </row>
    <row r="5057" spans="2:9" x14ac:dyDescent="0.25">
      <c r="B5057" s="1">
        <v>42583</v>
      </c>
      <c r="C5057" s="2">
        <v>8636.5499999999993</v>
      </c>
      <c r="D5057" s="2">
        <v>8654.2999999999993</v>
      </c>
      <c r="E5057" s="2">
        <v>8711.2999999999993</v>
      </c>
      <c r="F5057" s="2">
        <v>8590.5</v>
      </c>
      <c r="G5057" s="3">
        <f t="shared" si="236"/>
        <v>-2.2573363431155347E-4</v>
      </c>
      <c r="H5057" s="2">
        <f t="shared" si="234"/>
        <v>120.79999999999927</v>
      </c>
      <c r="I5057" s="3">
        <f t="shared" si="235"/>
        <v>1.395837907167527E-2</v>
      </c>
    </row>
    <row r="5058" spans="2:9" x14ac:dyDescent="0.25">
      <c r="B5058" s="1">
        <v>42584</v>
      </c>
      <c r="C5058" s="2">
        <v>8622.9</v>
      </c>
      <c r="D5058" s="2">
        <v>8647.4500000000007</v>
      </c>
      <c r="E5058" s="2">
        <v>8687.2000000000007</v>
      </c>
      <c r="F5058" s="2">
        <v>8611.4</v>
      </c>
      <c r="G5058" s="3">
        <f t="shared" si="236"/>
        <v>-1.5804922104312169E-3</v>
      </c>
      <c r="H5058" s="2">
        <f t="shared" si="234"/>
        <v>75.800000000001091</v>
      </c>
      <c r="I5058" s="3">
        <f t="shared" si="235"/>
        <v>8.7655898559692268E-3</v>
      </c>
    </row>
    <row r="5059" spans="2:9" x14ac:dyDescent="0.25">
      <c r="B5059" s="1">
        <v>42585</v>
      </c>
      <c r="C5059" s="2">
        <v>8544.85</v>
      </c>
      <c r="D5059" s="2">
        <v>8635.2000000000007</v>
      </c>
      <c r="E5059" s="2">
        <v>8635.4500000000007</v>
      </c>
      <c r="F5059" s="2">
        <v>8529.6</v>
      </c>
      <c r="G5059" s="3">
        <f t="shared" si="236"/>
        <v>-9.0514792007327927E-3</v>
      </c>
      <c r="H5059" s="2">
        <f t="shared" si="234"/>
        <v>105.85000000000036</v>
      </c>
      <c r="I5059" s="3">
        <f t="shared" si="235"/>
        <v>1.2257967389290388E-2</v>
      </c>
    </row>
    <row r="5060" spans="2:9" x14ac:dyDescent="0.25">
      <c r="B5060" s="1">
        <v>42586</v>
      </c>
      <c r="C5060" s="2">
        <v>8551.1</v>
      </c>
      <c r="D5060" s="2">
        <v>8599.9500000000007</v>
      </c>
      <c r="E5060" s="2">
        <v>8601.4</v>
      </c>
      <c r="F5060" s="2">
        <v>8518.15</v>
      </c>
      <c r="G5060" s="3">
        <f t="shared" si="236"/>
        <v>7.3143472383940811E-4</v>
      </c>
      <c r="H5060" s="2">
        <f t="shared" si="234"/>
        <v>83.25</v>
      </c>
      <c r="I5060" s="3">
        <f t="shared" si="235"/>
        <v>9.6802888388885979E-3</v>
      </c>
    </row>
    <row r="5061" spans="2:9" x14ac:dyDescent="0.25">
      <c r="B5061" s="1">
        <v>42587</v>
      </c>
      <c r="C5061" s="2">
        <v>8683.15</v>
      </c>
      <c r="D5061" s="2">
        <v>8600.2000000000007</v>
      </c>
      <c r="E5061" s="2">
        <v>8689.4</v>
      </c>
      <c r="F5061" s="2">
        <v>8590.15</v>
      </c>
      <c r="G5061" s="3">
        <f t="shared" si="236"/>
        <v>1.5442457695501011E-2</v>
      </c>
      <c r="H5061" s="2">
        <f t="shared" ref="H5061:H5124" si="237">E5061-F5061</f>
        <v>99.25</v>
      </c>
      <c r="I5061" s="3">
        <f t="shared" si="235"/>
        <v>1.1540429292342037E-2</v>
      </c>
    </row>
    <row r="5062" spans="2:9" x14ac:dyDescent="0.25">
      <c r="B5062" s="1">
        <v>42590</v>
      </c>
      <c r="C5062" s="2">
        <v>8711.35</v>
      </c>
      <c r="D5062" s="2">
        <v>8712.85</v>
      </c>
      <c r="E5062" s="2">
        <v>8723.5</v>
      </c>
      <c r="F5062" s="2">
        <v>8697.6</v>
      </c>
      <c r="G5062" s="3">
        <f t="shared" si="236"/>
        <v>3.247669336588821E-3</v>
      </c>
      <c r="H5062" s="2">
        <f t="shared" si="237"/>
        <v>25.899999999999636</v>
      </c>
      <c r="I5062" s="3">
        <f t="shared" ref="I5062:I5125" si="238">H5062/D5062</f>
        <v>2.9726208990169273E-3</v>
      </c>
    </row>
    <row r="5063" spans="2:9" x14ac:dyDescent="0.25">
      <c r="B5063" s="1">
        <v>42591</v>
      </c>
      <c r="C5063" s="2">
        <v>8678.25</v>
      </c>
      <c r="D5063" s="2">
        <v>8727.7999999999993</v>
      </c>
      <c r="E5063" s="2">
        <v>8728.35</v>
      </c>
      <c r="F5063" s="2">
        <v>8638.2000000000007</v>
      </c>
      <c r="G5063" s="3">
        <f t="shared" ref="G5063:G5126" si="239">C5063/C5062-1</f>
        <v>-3.7996406986288145E-3</v>
      </c>
      <c r="H5063" s="2">
        <f t="shared" si="237"/>
        <v>90.149999999999636</v>
      </c>
      <c r="I5063" s="3">
        <f t="shared" si="238"/>
        <v>1.0329063452416376E-2</v>
      </c>
    </row>
    <row r="5064" spans="2:9" x14ac:dyDescent="0.25">
      <c r="B5064" s="1">
        <v>42592</v>
      </c>
      <c r="C5064" s="2">
        <v>8575.2999999999993</v>
      </c>
      <c r="D5064" s="2">
        <v>8686.7000000000007</v>
      </c>
      <c r="E5064" s="2">
        <v>8690.1</v>
      </c>
      <c r="F5064" s="2">
        <v>8564.6</v>
      </c>
      <c r="G5064" s="3">
        <f t="shared" si="239"/>
        <v>-1.1862990810359353E-2</v>
      </c>
      <c r="H5064" s="2">
        <f t="shared" si="237"/>
        <v>125.5</v>
      </c>
      <c r="I5064" s="3">
        <f t="shared" si="238"/>
        <v>1.4447373571091437E-2</v>
      </c>
    </row>
    <row r="5065" spans="2:9" x14ac:dyDescent="0.25">
      <c r="B5065" s="1">
        <v>42593</v>
      </c>
      <c r="C5065" s="2">
        <v>8592.15</v>
      </c>
      <c r="D5065" s="2">
        <v>8572.7999999999993</v>
      </c>
      <c r="E5065" s="2">
        <v>8601.15</v>
      </c>
      <c r="F5065" s="2">
        <v>8540.0499999999993</v>
      </c>
      <c r="G5065" s="3">
        <f t="shared" si="239"/>
        <v>1.9649458327988256E-3</v>
      </c>
      <c r="H5065" s="2">
        <f t="shared" si="237"/>
        <v>61.100000000000364</v>
      </c>
      <c r="I5065" s="3">
        <f t="shared" si="238"/>
        <v>7.1271929824561833E-3</v>
      </c>
    </row>
    <row r="5066" spans="2:9" x14ac:dyDescent="0.25">
      <c r="B5066" s="1">
        <v>42594</v>
      </c>
      <c r="C5066" s="2">
        <v>8672.15</v>
      </c>
      <c r="D5066" s="2">
        <v>8605.4500000000007</v>
      </c>
      <c r="E5066" s="2">
        <v>8684.2999999999993</v>
      </c>
      <c r="F5066" s="2">
        <v>8604.4500000000007</v>
      </c>
      <c r="G5066" s="3">
        <f t="shared" si="239"/>
        <v>9.3108244153092823E-3</v>
      </c>
      <c r="H5066" s="2">
        <f t="shared" si="237"/>
        <v>79.849999999998545</v>
      </c>
      <c r="I5066" s="3">
        <f t="shared" si="238"/>
        <v>9.2790034222496841E-3</v>
      </c>
    </row>
    <row r="5067" spans="2:9" x14ac:dyDescent="0.25">
      <c r="B5067" s="1">
        <v>42598</v>
      </c>
      <c r="C5067" s="2">
        <v>8642.5499999999993</v>
      </c>
      <c r="D5067" s="2">
        <v>8670.25</v>
      </c>
      <c r="E5067" s="2">
        <v>8682.35</v>
      </c>
      <c r="F5067" s="2">
        <v>8600.4500000000007</v>
      </c>
      <c r="G5067" s="3">
        <f t="shared" si="239"/>
        <v>-3.4132250941232289E-3</v>
      </c>
      <c r="H5067" s="2">
        <f t="shared" si="237"/>
        <v>81.899999999999636</v>
      </c>
      <c r="I5067" s="3">
        <f t="shared" si="238"/>
        <v>9.4460944032755262E-3</v>
      </c>
    </row>
    <row r="5068" spans="2:9" x14ac:dyDescent="0.25">
      <c r="B5068" s="1">
        <v>42599</v>
      </c>
      <c r="C5068" s="2">
        <v>8624.0499999999993</v>
      </c>
      <c r="D5068" s="2">
        <v>8639.7999999999993</v>
      </c>
      <c r="E5068" s="2">
        <v>8667.1</v>
      </c>
      <c r="F5068" s="2">
        <v>8603.6</v>
      </c>
      <c r="G5068" s="3">
        <f t="shared" si="239"/>
        <v>-2.1405719376804688E-3</v>
      </c>
      <c r="H5068" s="2">
        <f t="shared" si="237"/>
        <v>63.5</v>
      </c>
      <c r="I5068" s="3">
        <f t="shared" si="238"/>
        <v>7.3497071691474344E-3</v>
      </c>
    </row>
    <row r="5069" spans="2:9" x14ac:dyDescent="0.25">
      <c r="B5069" s="1">
        <v>42600</v>
      </c>
      <c r="C5069" s="2">
        <v>8673.25</v>
      </c>
      <c r="D5069" s="2">
        <v>8648.85</v>
      </c>
      <c r="E5069" s="2">
        <v>8690.7000000000007</v>
      </c>
      <c r="F5069" s="2">
        <v>8645.0499999999993</v>
      </c>
      <c r="G5069" s="3">
        <f t="shared" si="239"/>
        <v>5.704976200277212E-3</v>
      </c>
      <c r="H5069" s="2">
        <f t="shared" si="237"/>
        <v>45.650000000001455</v>
      </c>
      <c r="I5069" s="3">
        <f t="shared" si="238"/>
        <v>5.2781583678756655E-3</v>
      </c>
    </row>
    <row r="5070" spans="2:9" x14ac:dyDescent="0.25">
      <c r="B5070" s="1">
        <v>42601</v>
      </c>
      <c r="C5070" s="2">
        <v>8666.9</v>
      </c>
      <c r="D5070" s="2">
        <v>8694.2999999999993</v>
      </c>
      <c r="E5070" s="2">
        <v>8696.6</v>
      </c>
      <c r="F5070" s="2">
        <v>8647.1</v>
      </c>
      <c r="G5070" s="3">
        <f t="shared" si="239"/>
        <v>-7.3213616579714813E-4</v>
      </c>
      <c r="H5070" s="2">
        <f t="shared" si="237"/>
        <v>49.5</v>
      </c>
      <c r="I5070" s="3">
        <f t="shared" si="238"/>
        <v>5.6933853214174808E-3</v>
      </c>
    </row>
    <row r="5071" spans="2:9" x14ac:dyDescent="0.25">
      <c r="B5071" s="1">
        <v>42604</v>
      </c>
      <c r="C5071" s="2">
        <v>8629.15</v>
      </c>
      <c r="D5071" s="2">
        <v>8667</v>
      </c>
      <c r="E5071" s="2">
        <v>8684.85</v>
      </c>
      <c r="F5071" s="2">
        <v>8614</v>
      </c>
      <c r="G5071" s="3">
        <f t="shared" si="239"/>
        <v>-4.3556519632164115E-3</v>
      </c>
      <c r="H5071" s="2">
        <f t="shared" si="237"/>
        <v>70.850000000000364</v>
      </c>
      <c r="I5071" s="3">
        <f t="shared" si="238"/>
        <v>8.1746855890158492E-3</v>
      </c>
    </row>
    <row r="5072" spans="2:9" x14ac:dyDescent="0.25">
      <c r="B5072" s="1">
        <v>42605</v>
      </c>
      <c r="C5072" s="2">
        <v>8632.6</v>
      </c>
      <c r="D5072" s="2">
        <v>8628.35</v>
      </c>
      <c r="E5072" s="2">
        <v>8642.15</v>
      </c>
      <c r="F5072" s="2">
        <v>8580</v>
      </c>
      <c r="G5072" s="3">
        <f t="shared" si="239"/>
        <v>3.9980762879321396E-4</v>
      </c>
      <c r="H5072" s="2">
        <f t="shared" si="237"/>
        <v>62.149999999999636</v>
      </c>
      <c r="I5072" s="3">
        <f t="shared" si="238"/>
        <v>7.2029994147200377E-3</v>
      </c>
    </row>
    <row r="5073" spans="2:9" x14ac:dyDescent="0.25">
      <c r="B5073" s="1">
        <v>42606</v>
      </c>
      <c r="C5073" s="2">
        <v>8650.2999999999993</v>
      </c>
      <c r="D5073" s="2">
        <v>8648.5</v>
      </c>
      <c r="E5073" s="2">
        <v>8661.0499999999993</v>
      </c>
      <c r="F5073" s="2">
        <v>8620.9</v>
      </c>
      <c r="G5073" s="3">
        <f t="shared" si="239"/>
        <v>2.0503672126588324E-3</v>
      </c>
      <c r="H5073" s="2">
        <f t="shared" si="237"/>
        <v>40.149999999999636</v>
      </c>
      <c r="I5073" s="3">
        <f t="shared" si="238"/>
        <v>4.6424235416545803E-3</v>
      </c>
    </row>
    <row r="5074" spans="2:9" x14ac:dyDescent="0.25">
      <c r="B5074" s="1">
        <v>42607</v>
      </c>
      <c r="C5074" s="2">
        <v>8592.2000000000007</v>
      </c>
      <c r="D5074" s="2">
        <v>8668.85</v>
      </c>
      <c r="E5074" s="2">
        <v>8683.0499999999993</v>
      </c>
      <c r="F5074" s="2">
        <v>8583.65</v>
      </c>
      <c r="G5074" s="3">
        <f t="shared" si="239"/>
        <v>-6.7165300625410262E-3</v>
      </c>
      <c r="H5074" s="2">
        <f t="shared" si="237"/>
        <v>99.399999999999636</v>
      </c>
      <c r="I5074" s="3">
        <f t="shared" si="238"/>
        <v>1.146634213303952E-2</v>
      </c>
    </row>
    <row r="5075" spans="2:9" x14ac:dyDescent="0.25">
      <c r="B5075" s="1">
        <v>42608</v>
      </c>
      <c r="C5075" s="2">
        <v>8572.5499999999993</v>
      </c>
      <c r="D5075" s="2">
        <v>8614.35</v>
      </c>
      <c r="E5075" s="2">
        <v>8622.9500000000007</v>
      </c>
      <c r="F5075" s="2">
        <v>8547.5499999999993</v>
      </c>
      <c r="G5075" s="3">
        <f t="shared" si="239"/>
        <v>-2.2869579385956795E-3</v>
      </c>
      <c r="H5075" s="2">
        <f t="shared" si="237"/>
        <v>75.400000000001455</v>
      </c>
      <c r="I5075" s="3">
        <f t="shared" si="238"/>
        <v>8.7528368362095165E-3</v>
      </c>
    </row>
    <row r="5076" spans="2:9" x14ac:dyDescent="0.25">
      <c r="B5076" s="1">
        <v>42611</v>
      </c>
      <c r="C5076" s="2">
        <v>8607.4500000000007</v>
      </c>
      <c r="D5076" s="2">
        <v>8583.75</v>
      </c>
      <c r="E5076" s="2">
        <v>8622</v>
      </c>
      <c r="F5076" s="2">
        <v>8543.75</v>
      </c>
      <c r="G5076" s="3">
        <f t="shared" si="239"/>
        <v>4.0711340266317286E-3</v>
      </c>
      <c r="H5076" s="2">
        <f t="shared" si="237"/>
        <v>78.25</v>
      </c>
      <c r="I5076" s="3">
        <f t="shared" si="238"/>
        <v>9.1160623270715013E-3</v>
      </c>
    </row>
    <row r="5077" spans="2:9" x14ac:dyDescent="0.25">
      <c r="B5077" s="1">
        <v>42612</v>
      </c>
      <c r="C5077" s="2">
        <v>8744.35</v>
      </c>
      <c r="D5077" s="2">
        <v>8646.75</v>
      </c>
      <c r="E5077" s="2">
        <v>8750.6</v>
      </c>
      <c r="F5077" s="2">
        <v>8642.25</v>
      </c>
      <c r="G5077" s="3">
        <f t="shared" si="239"/>
        <v>1.5904826632742619E-2</v>
      </c>
      <c r="H5077" s="2">
        <f t="shared" si="237"/>
        <v>108.35000000000036</v>
      </c>
      <c r="I5077" s="3">
        <f t="shared" si="238"/>
        <v>1.2530719634544813E-2</v>
      </c>
    </row>
    <row r="5078" spans="2:9" x14ac:dyDescent="0.25">
      <c r="B5078" s="1">
        <v>42613</v>
      </c>
      <c r="C5078" s="2">
        <v>8786.2000000000007</v>
      </c>
      <c r="D5078" s="2">
        <v>8754.0499999999993</v>
      </c>
      <c r="E5078" s="2">
        <v>8819.2000000000007</v>
      </c>
      <c r="F5078" s="2">
        <v>8754.0499999999993</v>
      </c>
      <c r="G5078" s="3">
        <f t="shared" si="239"/>
        <v>4.7859474975269212E-3</v>
      </c>
      <c r="H5078" s="2">
        <f t="shared" si="237"/>
        <v>65.150000000001455</v>
      </c>
      <c r="I5078" s="3">
        <f t="shared" si="238"/>
        <v>7.4422695780811694E-3</v>
      </c>
    </row>
    <row r="5079" spans="2:9" x14ac:dyDescent="0.25">
      <c r="B5079" s="1">
        <v>42614</v>
      </c>
      <c r="C5079" s="2">
        <v>8774.65</v>
      </c>
      <c r="D5079" s="2">
        <v>8793.6</v>
      </c>
      <c r="E5079" s="2">
        <v>8813.25</v>
      </c>
      <c r="F5079" s="2">
        <v>8759.9500000000007</v>
      </c>
      <c r="G5079" s="3">
        <f t="shared" si="239"/>
        <v>-1.3145614713984122E-3</v>
      </c>
      <c r="H5079" s="2">
        <f t="shared" si="237"/>
        <v>53.299999999999272</v>
      </c>
      <c r="I5079" s="3">
        <f t="shared" si="238"/>
        <v>6.0612263464336867E-3</v>
      </c>
    </row>
    <row r="5080" spans="2:9" x14ac:dyDescent="0.25">
      <c r="B5080" s="1">
        <v>42615</v>
      </c>
      <c r="C5080" s="2">
        <v>8809.65</v>
      </c>
      <c r="D5080" s="2">
        <v>8796.35</v>
      </c>
      <c r="E5080" s="2">
        <v>8824.1</v>
      </c>
      <c r="F5080" s="2">
        <v>8768.2000000000007</v>
      </c>
      <c r="G5080" s="3">
        <f t="shared" si="239"/>
        <v>3.9887630845674149E-3</v>
      </c>
      <c r="H5080" s="2">
        <f t="shared" si="237"/>
        <v>55.899999999999636</v>
      </c>
      <c r="I5080" s="3">
        <f t="shared" si="238"/>
        <v>6.3549085700318466E-3</v>
      </c>
    </row>
    <row r="5081" spans="2:9" x14ac:dyDescent="0.25">
      <c r="B5081" s="1">
        <v>42619</v>
      </c>
      <c r="C5081" s="2">
        <v>8943</v>
      </c>
      <c r="D5081" s="2">
        <v>8852.7000000000007</v>
      </c>
      <c r="E5081" s="2">
        <v>8950.85</v>
      </c>
      <c r="F5081" s="2">
        <v>8848.4500000000007</v>
      </c>
      <c r="G5081" s="3">
        <f t="shared" si="239"/>
        <v>1.5136810202448503E-2</v>
      </c>
      <c r="H5081" s="2">
        <f t="shared" si="237"/>
        <v>102.39999999999964</v>
      </c>
      <c r="I5081" s="3">
        <f t="shared" si="238"/>
        <v>1.1567092525444172E-2</v>
      </c>
    </row>
    <row r="5082" spans="2:9" x14ac:dyDescent="0.25">
      <c r="B5082" s="1">
        <v>42620</v>
      </c>
      <c r="C5082" s="2">
        <v>8917.9500000000007</v>
      </c>
      <c r="D5082" s="2">
        <v>8968.7000000000007</v>
      </c>
      <c r="E5082" s="2">
        <v>8968.7000000000007</v>
      </c>
      <c r="F5082" s="2">
        <v>8913.35</v>
      </c>
      <c r="G5082" s="3">
        <f t="shared" si="239"/>
        <v>-2.801073465280024E-3</v>
      </c>
      <c r="H5082" s="2">
        <f t="shared" si="237"/>
        <v>55.350000000000364</v>
      </c>
      <c r="I5082" s="3">
        <f t="shared" si="238"/>
        <v>6.1714629767971232E-3</v>
      </c>
    </row>
    <row r="5083" spans="2:9" x14ac:dyDescent="0.25">
      <c r="B5083" s="1">
        <v>42621</v>
      </c>
      <c r="C5083" s="2">
        <v>8952.5</v>
      </c>
      <c r="D5083" s="2">
        <v>8915.5</v>
      </c>
      <c r="E5083" s="2">
        <v>8960.35</v>
      </c>
      <c r="F5083" s="2">
        <v>8896</v>
      </c>
      <c r="G5083" s="3">
        <f t="shared" si="239"/>
        <v>3.8742087587393392E-3</v>
      </c>
      <c r="H5083" s="2">
        <f t="shared" si="237"/>
        <v>64.350000000000364</v>
      </c>
      <c r="I5083" s="3">
        <f t="shared" si="238"/>
        <v>7.2177668106107751E-3</v>
      </c>
    </row>
    <row r="5084" spans="2:9" x14ac:dyDescent="0.25">
      <c r="B5084" s="1">
        <v>42622</v>
      </c>
      <c r="C5084" s="2">
        <v>8866.7000000000007</v>
      </c>
      <c r="D5084" s="2">
        <v>8934.2999999999993</v>
      </c>
      <c r="E5084" s="2">
        <v>8939.15</v>
      </c>
      <c r="F5084" s="2">
        <v>8858.7000000000007</v>
      </c>
      <c r="G5084" s="3">
        <f t="shared" si="239"/>
        <v>-9.5839151075117757E-3</v>
      </c>
      <c r="H5084" s="2">
        <f t="shared" si="237"/>
        <v>80.449999999998909</v>
      </c>
      <c r="I5084" s="3">
        <f t="shared" si="238"/>
        <v>9.004622634117828E-3</v>
      </c>
    </row>
    <row r="5085" spans="2:9" x14ac:dyDescent="0.25">
      <c r="B5085" s="1">
        <v>42625</v>
      </c>
      <c r="C5085" s="2">
        <v>8715.6</v>
      </c>
      <c r="D5085" s="2">
        <v>8732.9500000000007</v>
      </c>
      <c r="E5085" s="2">
        <v>8746.9500000000007</v>
      </c>
      <c r="F5085" s="2">
        <v>8699.4</v>
      </c>
      <c r="G5085" s="3">
        <f t="shared" si="239"/>
        <v>-1.7041289318461272E-2</v>
      </c>
      <c r="H5085" s="2">
        <f t="shared" si="237"/>
        <v>47.550000000001091</v>
      </c>
      <c r="I5085" s="3">
        <f t="shared" si="238"/>
        <v>5.4448954820537259E-3</v>
      </c>
    </row>
    <row r="5086" spans="2:9" x14ac:dyDescent="0.25">
      <c r="B5086" s="1">
        <v>42627</v>
      </c>
      <c r="C5086" s="2">
        <v>8726.6</v>
      </c>
      <c r="D5086" s="2">
        <v>8710.65</v>
      </c>
      <c r="E5086" s="2">
        <v>8739.85</v>
      </c>
      <c r="F5086" s="2">
        <v>8688.9</v>
      </c>
      <c r="G5086" s="3">
        <f t="shared" si="239"/>
        <v>1.2621047317453726E-3</v>
      </c>
      <c r="H5086" s="2">
        <f t="shared" si="237"/>
        <v>50.950000000000728</v>
      </c>
      <c r="I5086" s="3">
        <f t="shared" si="238"/>
        <v>5.8491616584297069E-3</v>
      </c>
    </row>
    <row r="5087" spans="2:9" x14ac:dyDescent="0.25">
      <c r="B5087" s="1">
        <v>42628</v>
      </c>
      <c r="C5087" s="2">
        <v>8742.5499999999993</v>
      </c>
      <c r="D5087" s="2">
        <v>8743.85</v>
      </c>
      <c r="E5087" s="2">
        <v>8751.9500000000007</v>
      </c>
      <c r="F5087" s="2">
        <v>8704.35</v>
      </c>
      <c r="G5087" s="3">
        <f t="shared" si="239"/>
        <v>1.8277450553478847E-3</v>
      </c>
      <c r="H5087" s="2">
        <f t="shared" si="237"/>
        <v>47.600000000000364</v>
      </c>
      <c r="I5087" s="3">
        <f t="shared" si="238"/>
        <v>5.4438262321517827E-3</v>
      </c>
    </row>
    <row r="5088" spans="2:9" x14ac:dyDescent="0.25">
      <c r="B5088" s="1">
        <v>42629</v>
      </c>
      <c r="C5088" s="2">
        <v>8779.85</v>
      </c>
      <c r="D5088" s="2">
        <v>8780.85</v>
      </c>
      <c r="E5088" s="2">
        <v>8847.65</v>
      </c>
      <c r="F5088" s="2">
        <v>8750.5</v>
      </c>
      <c r="G5088" s="3">
        <f t="shared" si="239"/>
        <v>4.2664897541335733E-3</v>
      </c>
      <c r="H5088" s="2">
        <f t="shared" si="237"/>
        <v>97.149999999999636</v>
      </c>
      <c r="I5088" s="3">
        <f t="shared" si="238"/>
        <v>1.1063849171777178E-2</v>
      </c>
    </row>
    <row r="5089" spans="2:9" x14ac:dyDescent="0.25">
      <c r="B5089" s="1">
        <v>42632</v>
      </c>
      <c r="C5089" s="2">
        <v>8808.4</v>
      </c>
      <c r="D5089" s="2">
        <v>8788.4500000000007</v>
      </c>
      <c r="E5089" s="2">
        <v>8824.2999999999993</v>
      </c>
      <c r="F5089" s="2">
        <v>8774.2000000000007</v>
      </c>
      <c r="G5089" s="3">
        <f t="shared" si="239"/>
        <v>3.2517639823002042E-3</v>
      </c>
      <c r="H5089" s="2">
        <f t="shared" si="237"/>
        <v>50.099999999998545</v>
      </c>
      <c r="I5089" s="3">
        <f t="shared" si="238"/>
        <v>5.7006639396023802E-3</v>
      </c>
    </row>
    <row r="5090" spans="2:9" x14ac:dyDescent="0.25">
      <c r="B5090" s="1">
        <v>42633</v>
      </c>
      <c r="C5090" s="2">
        <v>8775.9</v>
      </c>
      <c r="D5090" s="2">
        <v>8816.1</v>
      </c>
      <c r="E5090" s="2">
        <v>8816.4500000000007</v>
      </c>
      <c r="F5090" s="2">
        <v>8759.2999999999993</v>
      </c>
      <c r="G5090" s="3">
        <f t="shared" si="239"/>
        <v>-3.6896598701239292E-3</v>
      </c>
      <c r="H5090" s="2">
        <f t="shared" si="237"/>
        <v>57.150000000001455</v>
      </c>
      <c r="I5090" s="3">
        <f t="shared" si="238"/>
        <v>6.4824582298296813E-3</v>
      </c>
    </row>
    <row r="5091" spans="2:9" x14ac:dyDescent="0.25">
      <c r="B5091" s="1">
        <v>42634</v>
      </c>
      <c r="C5091" s="2">
        <v>8777.15</v>
      </c>
      <c r="D5091" s="2">
        <v>8790.2999999999993</v>
      </c>
      <c r="E5091" s="2">
        <v>8826.85</v>
      </c>
      <c r="F5091" s="2">
        <v>8757.2999999999993</v>
      </c>
      <c r="G5091" s="3">
        <f t="shared" si="239"/>
        <v>1.4243553367743189E-4</v>
      </c>
      <c r="H5091" s="2">
        <f t="shared" si="237"/>
        <v>69.550000000001091</v>
      </c>
      <c r="I5091" s="3">
        <f t="shared" si="238"/>
        <v>7.9121304164819287E-3</v>
      </c>
    </row>
    <row r="5092" spans="2:9" x14ac:dyDescent="0.25">
      <c r="B5092" s="1">
        <v>42635</v>
      </c>
      <c r="C5092" s="2">
        <v>8867.4500000000007</v>
      </c>
      <c r="D5092" s="2">
        <v>8873.35</v>
      </c>
      <c r="E5092" s="2">
        <v>8893.35</v>
      </c>
      <c r="F5092" s="2">
        <v>8837.7999999999993</v>
      </c>
      <c r="G5092" s="3">
        <f t="shared" si="239"/>
        <v>1.0288077565041132E-2</v>
      </c>
      <c r="H5092" s="2">
        <f t="shared" si="237"/>
        <v>55.550000000001091</v>
      </c>
      <c r="I5092" s="3">
        <f t="shared" si="238"/>
        <v>6.2603188198370498E-3</v>
      </c>
    </row>
    <row r="5093" spans="2:9" x14ac:dyDescent="0.25">
      <c r="B5093" s="1">
        <v>42636</v>
      </c>
      <c r="C5093" s="2">
        <v>8831.5499999999993</v>
      </c>
      <c r="D5093" s="2">
        <v>8880.75</v>
      </c>
      <c r="E5093" s="2">
        <v>8885.2000000000007</v>
      </c>
      <c r="F5093" s="2">
        <v>8820.2999999999993</v>
      </c>
      <c r="G5093" s="3">
        <f t="shared" si="239"/>
        <v>-4.0485145109362408E-3</v>
      </c>
      <c r="H5093" s="2">
        <f t="shared" si="237"/>
        <v>64.900000000001455</v>
      </c>
      <c r="I5093" s="3">
        <f t="shared" si="238"/>
        <v>7.3079413337839095E-3</v>
      </c>
    </row>
    <row r="5094" spans="2:9" x14ac:dyDescent="0.25">
      <c r="B5094" s="1">
        <v>42639</v>
      </c>
      <c r="C5094" s="2">
        <v>8723.0499999999993</v>
      </c>
      <c r="D5094" s="2">
        <v>8807.9</v>
      </c>
      <c r="E5094" s="2">
        <v>8809.5499999999993</v>
      </c>
      <c r="F5094" s="2">
        <v>8715.1</v>
      </c>
      <c r="G5094" s="3">
        <f t="shared" si="239"/>
        <v>-1.2285499147941192E-2</v>
      </c>
      <c r="H5094" s="2">
        <f t="shared" si="237"/>
        <v>94.449999999998909</v>
      </c>
      <c r="I5094" s="3">
        <f t="shared" si="238"/>
        <v>1.0723327921524872E-2</v>
      </c>
    </row>
    <row r="5095" spans="2:9" x14ac:dyDescent="0.25">
      <c r="B5095" s="1">
        <v>42640</v>
      </c>
      <c r="C5095" s="2">
        <v>8706.4</v>
      </c>
      <c r="D5095" s="2">
        <v>8748.9</v>
      </c>
      <c r="E5095" s="2">
        <v>8768.5</v>
      </c>
      <c r="F5095" s="2">
        <v>8690.5</v>
      </c>
      <c r="G5095" s="3">
        <f t="shared" si="239"/>
        <v>-1.9087360498907247E-3</v>
      </c>
      <c r="H5095" s="2">
        <f t="shared" si="237"/>
        <v>78</v>
      </c>
      <c r="I5095" s="3">
        <f t="shared" si="238"/>
        <v>8.915406508246751E-3</v>
      </c>
    </row>
    <row r="5096" spans="2:9" x14ac:dyDescent="0.25">
      <c r="B5096" s="1">
        <v>42641</v>
      </c>
      <c r="C5096" s="2">
        <v>8745.15</v>
      </c>
      <c r="D5096" s="2">
        <v>8711.2000000000007</v>
      </c>
      <c r="E5096" s="2">
        <v>8767.0499999999993</v>
      </c>
      <c r="F5096" s="2">
        <v>8703.15</v>
      </c>
      <c r="G5096" s="3">
        <f t="shared" si="239"/>
        <v>4.4507488743912305E-3</v>
      </c>
      <c r="H5096" s="2">
        <f t="shared" si="237"/>
        <v>63.899999999999636</v>
      </c>
      <c r="I5096" s="3">
        <f t="shared" si="238"/>
        <v>7.3353843328128878E-3</v>
      </c>
    </row>
    <row r="5097" spans="2:9" x14ac:dyDescent="0.25">
      <c r="B5097" s="1">
        <v>42642</v>
      </c>
      <c r="C5097" s="2">
        <v>8591.25</v>
      </c>
      <c r="D5097" s="2">
        <v>8792.7000000000007</v>
      </c>
      <c r="E5097" s="2">
        <v>8800.65</v>
      </c>
      <c r="F5097" s="2">
        <v>8558.25</v>
      </c>
      <c r="G5097" s="3">
        <f t="shared" si="239"/>
        <v>-1.7598325929229275E-2</v>
      </c>
      <c r="H5097" s="2">
        <f t="shared" si="237"/>
        <v>242.39999999999964</v>
      </c>
      <c r="I5097" s="3">
        <f t="shared" si="238"/>
        <v>2.7568323723088428E-2</v>
      </c>
    </row>
    <row r="5098" spans="2:9" x14ac:dyDescent="0.25">
      <c r="B5098" s="1">
        <v>42643</v>
      </c>
      <c r="C5098" s="2">
        <v>8611.15</v>
      </c>
      <c r="D5098" s="2">
        <v>8581.5</v>
      </c>
      <c r="E5098" s="2">
        <v>8637.15</v>
      </c>
      <c r="F5098" s="2">
        <v>8555.2000000000007</v>
      </c>
      <c r="G5098" s="3">
        <f t="shared" si="239"/>
        <v>2.3163101993306512E-3</v>
      </c>
      <c r="H5098" s="2">
        <f t="shared" si="237"/>
        <v>81.949999999998909</v>
      </c>
      <c r="I5098" s="3">
        <f t="shared" si="238"/>
        <v>9.5496125386003508E-3</v>
      </c>
    </row>
    <row r="5099" spans="2:9" x14ac:dyDescent="0.25">
      <c r="B5099" s="1">
        <v>42646</v>
      </c>
      <c r="C5099" s="2">
        <v>8738.1</v>
      </c>
      <c r="D5099" s="2">
        <v>8666.15</v>
      </c>
      <c r="E5099" s="2">
        <v>8745.2000000000007</v>
      </c>
      <c r="F5099" s="2">
        <v>8635</v>
      </c>
      <c r="G5099" s="3">
        <f t="shared" si="239"/>
        <v>1.4742514066065526E-2</v>
      </c>
      <c r="H5099" s="2">
        <f t="shared" si="237"/>
        <v>110.20000000000073</v>
      </c>
      <c r="I5099" s="3">
        <f t="shared" si="238"/>
        <v>1.2716142693122174E-2</v>
      </c>
    </row>
    <row r="5100" spans="2:9" x14ac:dyDescent="0.25">
      <c r="B5100" s="1">
        <v>42647</v>
      </c>
      <c r="C5100" s="2">
        <v>8769.15</v>
      </c>
      <c r="D5100" s="2">
        <v>8770</v>
      </c>
      <c r="E5100" s="2">
        <v>8783.65</v>
      </c>
      <c r="F5100" s="2">
        <v>8736.1</v>
      </c>
      <c r="G5100" s="3">
        <f t="shared" si="239"/>
        <v>3.5534040580904591E-3</v>
      </c>
      <c r="H5100" s="2">
        <f t="shared" si="237"/>
        <v>47.549999999999272</v>
      </c>
      <c r="I5100" s="3">
        <f t="shared" si="238"/>
        <v>5.4218928164195294E-3</v>
      </c>
    </row>
    <row r="5101" spans="2:9" x14ac:dyDescent="0.25">
      <c r="B5101" s="1">
        <v>42648</v>
      </c>
      <c r="C5101" s="2">
        <v>8743.9500000000007</v>
      </c>
      <c r="D5101" s="2">
        <v>8806.35</v>
      </c>
      <c r="E5101" s="2">
        <v>8806.9500000000007</v>
      </c>
      <c r="F5101" s="2">
        <v>8731.4</v>
      </c>
      <c r="G5101" s="3">
        <f t="shared" si="239"/>
        <v>-2.8737106789140654E-3</v>
      </c>
      <c r="H5101" s="2">
        <f t="shared" si="237"/>
        <v>75.550000000001091</v>
      </c>
      <c r="I5101" s="3">
        <f t="shared" si="238"/>
        <v>8.5790367178230579E-3</v>
      </c>
    </row>
    <row r="5102" spans="2:9" x14ac:dyDescent="0.25">
      <c r="B5102" s="1">
        <v>42649</v>
      </c>
      <c r="C5102" s="2">
        <v>8709.5499999999993</v>
      </c>
      <c r="D5102" s="2">
        <v>8768.7000000000007</v>
      </c>
      <c r="E5102" s="2">
        <v>8781.15</v>
      </c>
      <c r="F5102" s="2">
        <v>8684.65</v>
      </c>
      <c r="G5102" s="3">
        <f t="shared" si="239"/>
        <v>-3.9341487542816633E-3</v>
      </c>
      <c r="H5102" s="2">
        <f t="shared" si="237"/>
        <v>96.5</v>
      </c>
      <c r="I5102" s="3">
        <f t="shared" si="238"/>
        <v>1.1005052060168554E-2</v>
      </c>
    </row>
    <row r="5103" spans="2:9" x14ac:dyDescent="0.25">
      <c r="B5103" s="1">
        <v>42650</v>
      </c>
      <c r="C5103" s="2">
        <v>8697.6</v>
      </c>
      <c r="D5103" s="2">
        <v>8721.7000000000007</v>
      </c>
      <c r="E5103" s="2">
        <v>8723.7000000000007</v>
      </c>
      <c r="F5103" s="2">
        <v>8663.7999999999993</v>
      </c>
      <c r="G5103" s="3">
        <f t="shared" si="239"/>
        <v>-1.3720571097242118E-3</v>
      </c>
      <c r="H5103" s="2">
        <f t="shared" si="237"/>
        <v>59.900000000001455</v>
      </c>
      <c r="I5103" s="3">
        <f t="shared" si="238"/>
        <v>6.867927124299328E-3</v>
      </c>
    </row>
    <row r="5104" spans="2:9" x14ac:dyDescent="0.25">
      <c r="B5104" s="1">
        <v>42653</v>
      </c>
      <c r="C5104" s="2">
        <v>8708.7999999999993</v>
      </c>
      <c r="D5104" s="2">
        <v>8735.35</v>
      </c>
      <c r="E5104" s="2">
        <v>8745.7999999999993</v>
      </c>
      <c r="F5104" s="2">
        <v>8703.9500000000007</v>
      </c>
      <c r="G5104" s="3">
        <f t="shared" si="239"/>
        <v>1.2877115526119809E-3</v>
      </c>
      <c r="H5104" s="2">
        <f t="shared" si="237"/>
        <v>41.849999999998545</v>
      </c>
      <c r="I5104" s="3">
        <f t="shared" si="238"/>
        <v>4.7908784421916168E-3</v>
      </c>
    </row>
    <row r="5105" spans="2:9" x14ac:dyDescent="0.25">
      <c r="B5105" s="1">
        <v>42656</v>
      </c>
      <c r="C5105" s="2">
        <v>8573.35</v>
      </c>
      <c r="D5105" s="2">
        <v>8671.5</v>
      </c>
      <c r="E5105" s="2">
        <v>8681.5499999999993</v>
      </c>
      <c r="F5105" s="2">
        <v>8541.35</v>
      </c>
      <c r="G5105" s="3">
        <f t="shared" si="239"/>
        <v>-1.5553233510931297E-2</v>
      </c>
      <c r="H5105" s="2">
        <f t="shared" si="237"/>
        <v>140.19999999999891</v>
      </c>
      <c r="I5105" s="3">
        <f t="shared" si="238"/>
        <v>1.6167906359914538E-2</v>
      </c>
    </row>
    <row r="5106" spans="2:9" x14ac:dyDescent="0.25">
      <c r="B5106" s="1">
        <v>42657</v>
      </c>
      <c r="C5106" s="2">
        <v>8583.4</v>
      </c>
      <c r="D5106" s="2">
        <v>8594</v>
      </c>
      <c r="E5106" s="2">
        <v>8604.4500000000007</v>
      </c>
      <c r="F5106" s="2">
        <v>8549.7999999999993</v>
      </c>
      <c r="G5106" s="3">
        <f t="shared" si="239"/>
        <v>1.1722372234890255E-3</v>
      </c>
      <c r="H5106" s="2">
        <f t="shared" si="237"/>
        <v>54.650000000001455</v>
      </c>
      <c r="I5106" s="3">
        <f t="shared" si="238"/>
        <v>6.3590877356296781E-3</v>
      </c>
    </row>
    <row r="5107" spans="2:9" x14ac:dyDescent="0.25">
      <c r="B5107" s="1">
        <v>42660</v>
      </c>
      <c r="C5107" s="2">
        <v>8520.4</v>
      </c>
      <c r="D5107" s="2">
        <v>8612.9500000000007</v>
      </c>
      <c r="E5107" s="2">
        <v>8615.4</v>
      </c>
      <c r="F5107" s="2">
        <v>8506.15</v>
      </c>
      <c r="G5107" s="3">
        <f t="shared" si="239"/>
        <v>-7.3397488174848924E-3</v>
      </c>
      <c r="H5107" s="2">
        <f t="shared" si="237"/>
        <v>109.25</v>
      </c>
      <c r="I5107" s="3">
        <f t="shared" si="238"/>
        <v>1.2684388043585531E-2</v>
      </c>
    </row>
    <row r="5108" spans="2:9" x14ac:dyDescent="0.25">
      <c r="B5108" s="1">
        <v>42661</v>
      </c>
      <c r="C5108" s="2">
        <v>8677.9</v>
      </c>
      <c r="D5108" s="2">
        <v>8556.0499999999993</v>
      </c>
      <c r="E5108" s="2">
        <v>8685.1</v>
      </c>
      <c r="F5108" s="2">
        <v>8555.9</v>
      </c>
      <c r="G5108" s="3">
        <f t="shared" si="239"/>
        <v>1.8485047650345088E-2</v>
      </c>
      <c r="H5108" s="2">
        <f t="shared" si="237"/>
        <v>129.20000000000073</v>
      </c>
      <c r="I5108" s="3">
        <f t="shared" si="238"/>
        <v>1.5100426014340815E-2</v>
      </c>
    </row>
    <row r="5109" spans="2:9" x14ac:dyDescent="0.25">
      <c r="B5109" s="1">
        <v>42662</v>
      </c>
      <c r="C5109" s="2">
        <v>8659.1</v>
      </c>
      <c r="D5109" s="2">
        <v>8697.5</v>
      </c>
      <c r="E5109" s="2">
        <v>8698.75</v>
      </c>
      <c r="F5109" s="2">
        <v>8636.7000000000007</v>
      </c>
      <c r="G5109" s="3">
        <f t="shared" si="239"/>
        <v>-2.1664227520482582E-3</v>
      </c>
      <c r="H5109" s="2">
        <f t="shared" si="237"/>
        <v>62.049999999999272</v>
      </c>
      <c r="I5109" s="3">
        <f t="shared" si="238"/>
        <v>7.1342339752801694E-3</v>
      </c>
    </row>
    <row r="5110" spans="2:9" x14ac:dyDescent="0.25">
      <c r="B5110" s="1">
        <v>42663</v>
      </c>
      <c r="C5110" s="2">
        <v>8699.4</v>
      </c>
      <c r="D5110" s="2">
        <v>8693.35</v>
      </c>
      <c r="E5110" s="2">
        <v>8727</v>
      </c>
      <c r="F5110" s="2">
        <v>8678.2999999999993</v>
      </c>
      <c r="G5110" s="3">
        <f t="shared" si="239"/>
        <v>4.654063355314042E-3</v>
      </c>
      <c r="H5110" s="2">
        <f t="shared" si="237"/>
        <v>48.700000000000728</v>
      </c>
      <c r="I5110" s="3">
        <f t="shared" si="238"/>
        <v>5.6019831250324354E-3</v>
      </c>
    </row>
    <row r="5111" spans="2:9" x14ac:dyDescent="0.25">
      <c r="B5111" s="1">
        <v>42664</v>
      </c>
      <c r="C5111" s="2">
        <v>8693.0499999999993</v>
      </c>
      <c r="D5111" s="2">
        <v>8708.6</v>
      </c>
      <c r="E5111" s="2">
        <v>8709.1</v>
      </c>
      <c r="F5111" s="2">
        <v>8652.0499999999993</v>
      </c>
      <c r="G5111" s="3">
        <f t="shared" si="239"/>
        <v>-7.2993539784360628E-4</v>
      </c>
      <c r="H5111" s="2">
        <f t="shared" si="237"/>
        <v>57.050000000001091</v>
      </c>
      <c r="I5111" s="3">
        <f t="shared" si="238"/>
        <v>6.5509955675999692E-3</v>
      </c>
    </row>
    <row r="5112" spans="2:9" x14ac:dyDescent="0.25">
      <c r="B5112" s="1">
        <v>42667</v>
      </c>
      <c r="C5112" s="2">
        <v>8708.9500000000007</v>
      </c>
      <c r="D5112" s="2">
        <v>8709.85</v>
      </c>
      <c r="E5112" s="2">
        <v>8736.9500000000007</v>
      </c>
      <c r="F5112" s="2">
        <v>8684.15</v>
      </c>
      <c r="G5112" s="3">
        <f t="shared" si="239"/>
        <v>1.8290473424174003E-3</v>
      </c>
      <c r="H5112" s="2">
        <f t="shared" si="237"/>
        <v>52.800000000001091</v>
      </c>
      <c r="I5112" s="3">
        <f t="shared" si="238"/>
        <v>6.0621021027917922E-3</v>
      </c>
    </row>
    <row r="5113" spans="2:9" x14ac:dyDescent="0.25">
      <c r="B5113" s="1">
        <v>42668</v>
      </c>
      <c r="C5113" s="2">
        <v>8691.2999999999993</v>
      </c>
      <c r="D5113" s="2">
        <v>8721.7000000000007</v>
      </c>
      <c r="E5113" s="2">
        <v>8722.65</v>
      </c>
      <c r="F5113" s="2">
        <v>8663.4500000000007</v>
      </c>
      <c r="G5113" s="3">
        <f t="shared" si="239"/>
        <v>-2.0266507443493786E-3</v>
      </c>
      <c r="H5113" s="2">
        <f t="shared" si="237"/>
        <v>59.199999999998909</v>
      </c>
      <c r="I5113" s="3">
        <f t="shared" si="238"/>
        <v>6.7876675418781776E-3</v>
      </c>
    </row>
    <row r="5114" spans="2:9" x14ac:dyDescent="0.25">
      <c r="B5114" s="1">
        <v>42669</v>
      </c>
      <c r="C5114" s="2">
        <v>8615.25</v>
      </c>
      <c r="D5114" s="2">
        <v>8657.2999999999993</v>
      </c>
      <c r="E5114" s="2">
        <v>8657.2999999999993</v>
      </c>
      <c r="F5114" s="2">
        <v>8596.6</v>
      </c>
      <c r="G5114" s="3">
        <f t="shared" si="239"/>
        <v>-8.750129439784482E-3</v>
      </c>
      <c r="H5114" s="2">
        <f t="shared" si="237"/>
        <v>60.699999999998909</v>
      </c>
      <c r="I5114" s="3">
        <f t="shared" si="238"/>
        <v>7.0114238850448657E-3</v>
      </c>
    </row>
    <row r="5115" spans="2:9" x14ac:dyDescent="0.25">
      <c r="B5115" s="1">
        <v>42670</v>
      </c>
      <c r="C5115" s="2">
        <v>8615.25</v>
      </c>
      <c r="D5115" s="2">
        <v>8607.1</v>
      </c>
      <c r="E5115" s="2">
        <v>8624.85</v>
      </c>
      <c r="F5115" s="2">
        <v>8550.25</v>
      </c>
      <c r="G5115" s="3">
        <f t="shared" si="239"/>
        <v>0</v>
      </c>
      <c r="H5115" s="2">
        <f t="shared" si="237"/>
        <v>74.600000000000364</v>
      </c>
      <c r="I5115" s="3">
        <f t="shared" si="238"/>
        <v>8.6672630735091221E-3</v>
      </c>
    </row>
    <row r="5116" spans="2:9" x14ac:dyDescent="0.25">
      <c r="B5116" s="1">
        <v>42671</v>
      </c>
      <c r="C5116" s="2">
        <v>8638</v>
      </c>
      <c r="D5116" s="2">
        <v>8625</v>
      </c>
      <c r="E5116" s="2">
        <v>8653.75</v>
      </c>
      <c r="F5116" s="2">
        <v>8581.75</v>
      </c>
      <c r="G5116" s="3">
        <f t="shared" si="239"/>
        <v>2.6406662604103737E-3</v>
      </c>
      <c r="H5116" s="2">
        <f t="shared" si="237"/>
        <v>72</v>
      </c>
      <c r="I5116" s="3">
        <f t="shared" si="238"/>
        <v>8.347826086956521E-3</v>
      </c>
    </row>
    <row r="5117" spans="2:9" x14ac:dyDescent="0.25">
      <c r="B5117" s="1">
        <v>42673</v>
      </c>
      <c r="C5117" s="2">
        <v>8625.7000000000007</v>
      </c>
      <c r="D5117" s="2">
        <v>8672.35</v>
      </c>
      <c r="E5117" s="2">
        <v>8678.25</v>
      </c>
      <c r="F5117" s="2">
        <v>8616.25</v>
      </c>
      <c r="G5117" s="3">
        <f t="shared" si="239"/>
        <v>-1.4239407270200122E-3</v>
      </c>
      <c r="H5117" s="2">
        <f t="shared" si="237"/>
        <v>62</v>
      </c>
      <c r="I5117" s="3">
        <f t="shared" si="238"/>
        <v>7.1491579560326781E-3</v>
      </c>
    </row>
    <row r="5118" spans="2:9" x14ac:dyDescent="0.25">
      <c r="B5118" s="1">
        <v>42675</v>
      </c>
      <c r="C5118" s="2">
        <v>8626.25</v>
      </c>
      <c r="D5118" s="2">
        <v>8653.15</v>
      </c>
      <c r="E5118" s="2">
        <v>8669.6</v>
      </c>
      <c r="F5118" s="2">
        <v>8614.5</v>
      </c>
      <c r="G5118" s="3">
        <f t="shared" si="239"/>
        <v>6.3762940978540072E-5</v>
      </c>
      <c r="H5118" s="2">
        <f t="shared" si="237"/>
        <v>55.100000000000364</v>
      </c>
      <c r="I5118" s="3">
        <f t="shared" si="238"/>
        <v>6.3676233510340588E-3</v>
      </c>
    </row>
    <row r="5119" spans="2:9" x14ac:dyDescent="0.25">
      <c r="B5119" s="1">
        <v>42676</v>
      </c>
      <c r="C5119" s="2">
        <v>8514</v>
      </c>
      <c r="D5119" s="2">
        <v>8542.7999999999993</v>
      </c>
      <c r="E5119" s="2">
        <v>8549.5</v>
      </c>
      <c r="F5119" s="2">
        <v>8504.85</v>
      </c>
      <c r="G5119" s="3">
        <f t="shared" si="239"/>
        <v>-1.3012606868569754E-2</v>
      </c>
      <c r="H5119" s="2">
        <f t="shared" si="237"/>
        <v>44.649999999999636</v>
      </c>
      <c r="I5119" s="3">
        <f t="shared" si="238"/>
        <v>5.226623589455406E-3</v>
      </c>
    </row>
    <row r="5120" spans="2:9" x14ac:dyDescent="0.25">
      <c r="B5120" s="1">
        <v>42677</v>
      </c>
      <c r="C5120" s="2">
        <v>8484.9500000000007</v>
      </c>
      <c r="D5120" s="2">
        <v>8499.85</v>
      </c>
      <c r="E5120" s="2">
        <v>8537.65</v>
      </c>
      <c r="F5120" s="2">
        <v>8476.15</v>
      </c>
      <c r="G5120" s="3">
        <f t="shared" si="239"/>
        <v>-3.4120272492365045E-3</v>
      </c>
      <c r="H5120" s="2">
        <f t="shared" si="237"/>
        <v>61.5</v>
      </c>
      <c r="I5120" s="3">
        <f t="shared" si="238"/>
        <v>7.2354218015612034E-3</v>
      </c>
    </row>
    <row r="5121" spans="2:9" x14ac:dyDescent="0.25">
      <c r="B5121" s="1">
        <v>42678</v>
      </c>
      <c r="C5121" s="2">
        <v>8433.75</v>
      </c>
      <c r="D5121" s="2">
        <v>8503.6</v>
      </c>
      <c r="E5121" s="2">
        <v>8504</v>
      </c>
      <c r="F5121" s="2">
        <v>8400.25</v>
      </c>
      <c r="G5121" s="3">
        <f t="shared" si="239"/>
        <v>-6.0342135192311686E-3</v>
      </c>
      <c r="H5121" s="2">
        <f t="shared" si="237"/>
        <v>103.75</v>
      </c>
      <c r="I5121" s="3">
        <f t="shared" si="238"/>
        <v>1.2200714991297802E-2</v>
      </c>
    </row>
    <row r="5122" spans="2:9" x14ac:dyDescent="0.25">
      <c r="B5122" s="1">
        <v>42681</v>
      </c>
      <c r="C5122" s="2">
        <v>8497.0499999999993</v>
      </c>
      <c r="D5122" s="2">
        <v>8535.75</v>
      </c>
      <c r="E5122" s="2">
        <v>8535.85</v>
      </c>
      <c r="F5122" s="2">
        <v>8481.4500000000007</v>
      </c>
      <c r="G5122" s="3">
        <f t="shared" si="239"/>
        <v>7.5055580257892274E-3</v>
      </c>
      <c r="H5122" s="2">
        <f t="shared" si="237"/>
        <v>54.399999999999636</v>
      </c>
      <c r="I5122" s="3">
        <f t="shared" si="238"/>
        <v>6.3731950912338849E-3</v>
      </c>
    </row>
    <row r="5123" spans="2:9" x14ac:dyDescent="0.25">
      <c r="B5123" s="1">
        <v>42682</v>
      </c>
      <c r="C5123" s="2">
        <v>8543.5499999999993</v>
      </c>
      <c r="D5123" s="2">
        <v>8540</v>
      </c>
      <c r="E5123" s="2">
        <v>8559.4</v>
      </c>
      <c r="F5123" s="2">
        <v>8480.1</v>
      </c>
      <c r="G5123" s="3">
        <f t="shared" si="239"/>
        <v>5.4724875103713266E-3</v>
      </c>
      <c r="H5123" s="2">
        <f t="shared" si="237"/>
        <v>79.299999999999272</v>
      </c>
      <c r="I5123" s="3">
        <f t="shared" si="238"/>
        <v>9.285714285714201E-3</v>
      </c>
    </row>
    <row r="5124" spans="2:9" x14ac:dyDescent="0.25">
      <c r="B5124" s="1">
        <v>42683</v>
      </c>
      <c r="C5124" s="2">
        <v>8432</v>
      </c>
      <c r="D5124" s="2">
        <v>8067.5</v>
      </c>
      <c r="E5124" s="2">
        <v>8476.2000000000007</v>
      </c>
      <c r="F5124" s="2">
        <v>8002.25</v>
      </c>
      <c r="G5124" s="3">
        <f t="shared" si="239"/>
        <v>-1.3056633366691717E-2</v>
      </c>
      <c r="H5124" s="2">
        <f t="shared" si="237"/>
        <v>473.95000000000073</v>
      </c>
      <c r="I5124" s="3">
        <f t="shared" si="238"/>
        <v>5.8748063216609941E-2</v>
      </c>
    </row>
    <row r="5125" spans="2:9" x14ac:dyDescent="0.25">
      <c r="B5125" s="1">
        <v>42684</v>
      </c>
      <c r="C5125" s="2">
        <v>8525.75</v>
      </c>
      <c r="D5125" s="2">
        <v>8555.6</v>
      </c>
      <c r="E5125" s="2">
        <v>8598.4500000000007</v>
      </c>
      <c r="F5125" s="2">
        <v>8510.7000000000007</v>
      </c>
      <c r="G5125" s="3">
        <f t="shared" si="239"/>
        <v>1.1118358633776193E-2</v>
      </c>
      <c r="H5125" s="2">
        <f t="shared" ref="H5125:H5188" si="240">E5125-F5125</f>
        <v>87.75</v>
      </c>
      <c r="I5125" s="3">
        <f t="shared" si="238"/>
        <v>1.0256440226284538E-2</v>
      </c>
    </row>
    <row r="5126" spans="2:9" x14ac:dyDescent="0.25">
      <c r="B5126" s="1">
        <v>42685</v>
      </c>
      <c r="C5126" s="2">
        <v>8296.2999999999993</v>
      </c>
      <c r="D5126" s="2">
        <v>8456.65</v>
      </c>
      <c r="E5126" s="2">
        <v>8460.6</v>
      </c>
      <c r="F5126" s="2">
        <v>8284.9500000000007</v>
      </c>
      <c r="G5126" s="3">
        <f t="shared" si="239"/>
        <v>-2.6912588335337162E-2</v>
      </c>
      <c r="H5126" s="2">
        <f t="shared" si="240"/>
        <v>175.64999999999964</v>
      </c>
      <c r="I5126" s="3">
        <f t="shared" ref="I5126:I5189" si="241">H5126/D5126</f>
        <v>2.0770636126598553E-2</v>
      </c>
    </row>
    <row r="5127" spans="2:9" x14ac:dyDescent="0.25">
      <c r="B5127" s="1">
        <v>42689</v>
      </c>
      <c r="C5127" s="2">
        <v>8108.45</v>
      </c>
      <c r="D5127" s="2">
        <v>8284.85</v>
      </c>
      <c r="E5127" s="2">
        <v>8288.5499999999993</v>
      </c>
      <c r="F5127" s="2">
        <v>8093.2</v>
      </c>
      <c r="G5127" s="3">
        <f t="shared" ref="G5127:G5190" si="242">C5127/C5126-1</f>
        <v>-2.2642623820257168E-2</v>
      </c>
      <c r="H5127" s="2">
        <f t="shared" si="240"/>
        <v>195.34999999999945</v>
      </c>
      <c r="I5127" s="3">
        <f t="shared" si="241"/>
        <v>2.3579183690712498E-2</v>
      </c>
    </row>
    <row r="5128" spans="2:9" x14ac:dyDescent="0.25">
      <c r="B5128" s="1">
        <v>42690</v>
      </c>
      <c r="C5128" s="2">
        <v>8111.6</v>
      </c>
      <c r="D5128" s="2">
        <v>8205.65</v>
      </c>
      <c r="E5128" s="2">
        <v>8210.0499999999993</v>
      </c>
      <c r="F5128" s="2">
        <v>8089.4</v>
      </c>
      <c r="G5128" s="3">
        <f t="shared" si="242"/>
        <v>3.8848361894072703E-4</v>
      </c>
      <c r="H5128" s="2">
        <f t="shared" si="240"/>
        <v>120.64999999999964</v>
      </c>
      <c r="I5128" s="3">
        <f t="shared" si="241"/>
        <v>1.4703283713051329E-2</v>
      </c>
    </row>
    <row r="5129" spans="2:9" x14ac:dyDescent="0.25">
      <c r="B5129" s="1">
        <v>42691</v>
      </c>
      <c r="C5129" s="2">
        <v>8079.95</v>
      </c>
      <c r="D5129" s="2">
        <v>8105.1</v>
      </c>
      <c r="E5129" s="2">
        <v>8151.25</v>
      </c>
      <c r="F5129" s="2">
        <v>8060.3</v>
      </c>
      <c r="G5129" s="3">
        <f t="shared" si="242"/>
        <v>-3.9018196163519425E-3</v>
      </c>
      <c r="H5129" s="2">
        <f t="shared" si="240"/>
        <v>90.949999999999818</v>
      </c>
      <c r="I5129" s="3">
        <f t="shared" si="241"/>
        <v>1.1221329780015029E-2</v>
      </c>
    </row>
    <row r="5130" spans="2:9" x14ac:dyDescent="0.25">
      <c r="B5130" s="1">
        <v>42692</v>
      </c>
      <c r="C5130" s="2">
        <v>8074.1</v>
      </c>
      <c r="D5130" s="2">
        <v>8097.55</v>
      </c>
      <c r="E5130" s="2">
        <v>8128.95</v>
      </c>
      <c r="F5130" s="2">
        <v>8048.3</v>
      </c>
      <c r="G5130" s="3">
        <f t="shared" si="242"/>
        <v>-7.2401438127700501E-4</v>
      </c>
      <c r="H5130" s="2">
        <f t="shared" si="240"/>
        <v>80.649999999999636</v>
      </c>
      <c r="I5130" s="3">
        <f t="shared" si="241"/>
        <v>9.9598026563589778E-3</v>
      </c>
    </row>
    <row r="5131" spans="2:9" x14ac:dyDescent="0.25">
      <c r="B5131" s="1">
        <v>42695</v>
      </c>
      <c r="C5131" s="2">
        <v>7929.1</v>
      </c>
      <c r="D5131" s="2">
        <v>8102.1</v>
      </c>
      <c r="E5131" s="2">
        <v>8102.45</v>
      </c>
      <c r="F5131" s="2">
        <v>7916.4</v>
      </c>
      <c r="G5131" s="3">
        <f t="shared" si="242"/>
        <v>-1.795865793091489E-2</v>
      </c>
      <c r="H5131" s="2">
        <f t="shared" si="240"/>
        <v>186.05000000000018</v>
      </c>
      <c r="I5131" s="3">
        <f t="shared" si="241"/>
        <v>2.2963182384813836E-2</v>
      </c>
    </row>
    <row r="5132" spans="2:9" x14ac:dyDescent="0.25">
      <c r="B5132" s="1">
        <v>42696</v>
      </c>
      <c r="C5132" s="2">
        <v>8002.3</v>
      </c>
      <c r="D5132" s="2">
        <v>7989.15</v>
      </c>
      <c r="E5132" s="2">
        <v>8019.05</v>
      </c>
      <c r="F5132" s="2">
        <v>7938.15</v>
      </c>
      <c r="G5132" s="3">
        <f t="shared" si="242"/>
        <v>9.2318169779672665E-3</v>
      </c>
      <c r="H5132" s="2">
        <f t="shared" si="240"/>
        <v>80.900000000000546</v>
      </c>
      <c r="I5132" s="3">
        <f t="shared" si="241"/>
        <v>1.0126233704461744E-2</v>
      </c>
    </row>
    <row r="5133" spans="2:9" x14ac:dyDescent="0.25">
      <c r="B5133" s="1">
        <v>42697</v>
      </c>
      <c r="C5133" s="2">
        <v>8033.3</v>
      </c>
      <c r="D5133" s="2">
        <v>8051.2</v>
      </c>
      <c r="E5133" s="2">
        <v>8055.2</v>
      </c>
      <c r="F5133" s="2">
        <v>7973.1</v>
      </c>
      <c r="G5133" s="3">
        <f t="shared" si="242"/>
        <v>3.8738862577010202E-3</v>
      </c>
      <c r="H5133" s="2">
        <f t="shared" si="240"/>
        <v>82.099999999999454</v>
      </c>
      <c r="I5133" s="3">
        <f t="shared" si="241"/>
        <v>1.0197237678855258E-2</v>
      </c>
    </row>
    <row r="5134" spans="2:9" x14ac:dyDescent="0.25">
      <c r="B5134" s="1">
        <v>42698</v>
      </c>
      <c r="C5134" s="2">
        <v>7965.5</v>
      </c>
      <c r="D5134" s="2">
        <v>8011.8</v>
      </c>
      <c r="E5134" s="2">
        <v>8024.85</v>
      </c>
      <c r="F5134" s="2">
        <v>7952.55</v>
      </c>
      <c r="G5134" s="3">
        <f t="shared" si="242"/>
        <v>-8.439869045099746E-3</v>
      </c>
      <c r="H5134" s="2">
        <f t="shared" si="240"/>
        <v>72.300000000000182</v>
      </c>
      <c r="I5134" s="3">
        <f t="shared" si="241"/>
        <v>9.024189320751913E-3</v>
      </c>
    </row>
    <row r="5135" spans="2:9" x14ac:dyDescent="0.25">
      <c r="B5135" s="1">
        <v>42699</v>
      </c>
      <c r="C5135" s="2">
        <v>8114.3</v>
      </c>
      <c r="D5135" s="2">
        <v>8007.95</v>
      </c>
      <c r="E5135" s="2">
        <v>8122.25</v>
      </c>
      <c r="F5135" s="2">
        <v>7976.75</v>
      </c>
      <c r="G5135" s="3">
        <f t="shared" si="242"/>
        <v>1.86805599146318E-2</v>
      </c>
      <c r="H5135" s="2">
        <f t="shared" si="240"/>
        <v>145.5</v>
      </c>
      <c r="I5135" s="3">
        <f t="shared" si="241"/>
        <v>1.8169444114910806E-2</v>
      </c>
    </row>
    <row r="5136" spans="2:9" x14ac:dyDescent="0.25">
      <c r="B5136" s="1">
        <v>42702</v>
      </c>
      <c r="C5136" s="2">
        <v>8126.9</v>
      </c>
      <c r="D5136" s="2">
        <v>8080.65</v>
      </c>
      <c r="E5136" s="2">
        <v>8146.5</v>
      </c>
      <c r="F5136" s="2">
        <v>8066.5</v>
      </c>
      <c r="G5136" s="3">
        <f t="shared" si="242"/>
        <v>1.552814167580685E-3</v>
      </c>
      <c r="H5136" s="2">
        <f t="shared" si="240"/>
        <v>80</v>
      </c>
      <c r="I5136" s="3">
        <f t="shared" si="241"/>
        <v>9.900193672538719E-3</v>
      </c>
    </row>
    <row r="5137" spans="2:9" x14ac:dyDescent="0.25">
      <c r="B5137" s="1">
        <v>42703</v>
      </c>
      <c r="C5137" s="2">
        <v>8142.15</v>
      </c>
      <c r="D5137" s="2">
        <v>8131.55</v>
      </c>
      <c r="E5137" s="2">
        <v>8197.35</v>
      </c>
      <c r="F5137" s="2">
        <v>8128.7</v>
      </c>
      <c r="G5137" s="3">
        <f t="shared" si="242"/>
        <v>1.8764842682941207E-3</v>
      </c>
      <c r="H5137" s="2">
        <f t="shared" si="240"/>
        <v>68.650000000000546</v>
      </c>
      <c r="I5137" s="3">
        <f t="shared" si="241"/>
        <v>8.4424248759462275E-3</v>
      </c>
    </row>
    <row r="5138" spans="2:9" x14ac:dyDescent="0.25">
      <c r="B5138" s="1">
        <v>42704</v>
      </c>
      <c r="C5138" s="2">
        <v>8224.5</v>
      </c>
      <c r="D5138" s="2">
        <v>8172.15</v>
      </c>
      <c r="E5138" s="2">
        <v>8234.25</v>
      </c>
      <c r="F5138" s="2">
        <v>8139.25</v>
      </c>
      <c r="G5138" s="3">
        <f t="shared" si="242"/>
        <v>1.0114036218934919E-2</v>
      </c>
      <c r="H5138" s="2">
        <f t="shared" si="240"/>
        <v>95</v>
      </c>
      <c r="I5138" s="3">
        <f t="shared" si="241"/>
        <v>1.1624847806268853E-2</v>
      </c>
    </row>
    <row r="5139" spans="2:9" x14ac:dyDescent="0.25">
      <c r="B5139" s="1">
        <v>42705</v>
      </c>
      <c r="C5139" s="2">
        <v>8192.9</v>
      </c>
      <c r="D5139" s="2">
        <v>8244</v>
      </c>
      <c r="E5139" s="2">
        <v>8250.7999999999993</v>
      </c>
      <c r="F5139" s="2">
        <v>8185.05</v>
      </c>
      <c r="G5139" s="3">
        <f t="shared" si="242"/>
        <v>-3.8421788558575809E-3</v>
      </c>
      <c r="H5139" s="2">
        <f t="shared" si="240"/>
        <v>65.749999999999091</v>
      </c>
      <c r="I5139" s="3">
        <f t="shared" si="241"/>
        <v>7.9754973313924168E-3</v>
      </c>
    </row>
    <row r="5140" spans="2:9" x14ac:dyDescent="0.25">
      <c r="B5140" s="1">
        <v>42706</v>
      </c>
      <c r="C5140" s="2">
        <v>8086.8</v>
      </c>
      <c r="D5140" s="2">
        <v>8153.55</v>
      </c>
      <c r="E5140" s="2">
        <v>8159.3</v>
      </c>
      <c r="F5140" s="2">
        <v>8070.05</v>
      </c>
      <c r="G5140" s="3">
        <f t="shared" si="242"/>
        <v>-1.2950237400676134E-2</v>
      </c>
      <c r="H5140" s="2">
        <f t="shared" si="240"/>
        <v>89.25</v>
      </c>
      <c r="I5140" s="3">
        <f t="shared" si="241"/>
        <v>1.0946152289493534E-2</v>
      </c>
    </row>
    <row r="5141" spans="2:9" x14ac:dyDescent="0.25">
      <c r="B5141" s="1">
        <v>42709</v>
      </c>
      <c r="C5141" s="2">
        <v>8128.75</v>
      </c>
      <c r="D5141" s="2">
        <v>8088.75</v>
      </c>
      <c r="E5141" s="2">
        <v>8141.9</v>
      </c>
      <c r="F5141" s="2">
        <v>8056.85</v>
      </c>
      <c r="G5141" s="3">
        <f t="shared" si="242"/>
        <v>5.1874659939654677E-3</v>
      </c>
      <c r="H5141" s="2">
        <f t="shared" si="240"/>
        <v>85.049999999999272</v>
      </c>
      <c r="I5141" s="3">
        <f t="shared" si="241"/>
        <v>1.0514603616133428E-2</v>
      </c>
    </row>
    <row r="5142" spans="2:9" x14ac:dyDescent="0.25">
      <c r="B5142" s="1">
        <v>42710</v>
      </c>
      <c r="C5142" s="2">
        <v>8143.15</v>
      </c>
      <c r="D5142" s="2">
        <v>8153.15</v>
      </c>
      <c r="E5142" s="2">
        <v>8178.7</v>
      </c>
      <c r="F5142" s="2">
        <v>8130.85</v>
      </c>
      <c r="G5142" s="3">
        <f t="shared" si="242"/>
        <v>1.7714900815009038E-3</v>
      </c>
      <c r="H5142" s="2">
        <f t="shared" si="240"/>
        <v>47.849999999999454</v>
      </c>
      <c r="I5142" s="3">
        <f t="shared" si="241"/>
        <v>5.8688972973635293E-3</v>
      </c>
    </row>
    <row r="5143" spans="2:9" x14ac:dyDescent="0.25">
      <c r="B5143" s="1">
        <v>42711</v>
      </c>
      <c r="C5143" s="2">
        <v>8102.05</v>
      </c>
      <c r="D5143" s="2">
        <v>8168.4</v>
      </c>
      <c r="E5143" s="2">
        <v>8190.45</v>
      </c>
      <c r="F5143" s="2">
        <v>8077.5</v>
      </c>
      <c r="G5143" s="3">
        <f t="shared" si="242"/>
        <v>-5.0471868994184099E-3</v>
      </c>
      <c r="H5143" s="2">
        <f t="shared" si="240"/>
        <v>112.94999999999982</v>
      </c>
      <c r="I5143" s="3">
        <f t="shared" si="241"/>
        <v>1.3827677390921089E-2</v>
      </c>
    </row>
    <row r="5144" spans="2:9" x14ac:dyDescent="0.25">
      <c r="B5144" s="1">
        <v>42712</v>
      </c>
      <c r="C5144" s="2">
        <v>8246.85</v>
      </c>
      <c r="D5144" s="2">
        <v>8152.1</v>
      </c>
      <c r="E5144" s="2">
        <v>8256.25</v>
      </c>
      <c r="F5144" s="2">
        <v>8151.75</v>
      </c>
      <c r="G5144" s="3">
        <f t="shared" si="242"/>
        <v>1.7872020044309878E-2</v>
      </c>
      <c r="H5144" s="2">
        <f t="shared" si="240"/>
        <v>104.5</v>
      </c>
      <c r="I5144" s="3">
        <f t="shared" si="241"/>
        <v>1.2818782890298204E-2</v>
      </c>
    </row>
    <row r="5145" spans="2:9" x14ac:dyDescent="0.25">
      <c r="B5145" s="1">
        <v>42713</v>
      </c>
      <c r="C5145" s="2">
        <v>8261.75</v>
      </c>
      <c r="D5145" s="2">
        <v>8271.7000000000007</v>
      </c>
      <c r="E5145" s="2">
        <v>8274.9500000000007</v>
      </c>
      <c r="F5145" s="2">
        <v>8241.9500000000007</v>
      </c>
      <c r="G5145" s="3">
        <f t="shared" si="242"/>
        <v>1.8067504562346848E-3</v>
      </c>
      <c r="H5145" s="2">
        <f t="shared" si="240"/>
        <v>33</v>
      </c>
      <c r="I5145" s="3">
        <f t="shared" si="241"/>
        <v>3.9895063892549289E-3</v>
      </c>
    </row>
    <row r="5146" spans="2:9" x14ac:dyDescent="0.25">
      <c r="B5146" s="1">
        <v>42716</v>
      </c>
      <c r="C5146" s="2">
        <v>8170.8</v>
      </c>
      <c r="D5146" s="2">
        <v>8230.65</v>
      </c>
      <c r="E5146" s="2">
        <v>8230.65</v>
      </c>
      <c r="F5146" s="2">
        <v>8154.45</v>
      </c>
      <c r="G5146" s="3">
        <f t="shared" si="242"/>
        <v>-1.1008563560988893E-2</v>
      </c>
      <c r="H5146" s="2">
        <f t="shared" si="240"/>
        <v>76.199999999999818</v>
      </c>
      <c r="I5146" s="3">
        <f t="shared" si="241"/>
        <v>9.2580780375790279E-3</v>
      </c>
    </row>
    <row r="5147" spans="2:9" x14ac:dyDescent="0.25">
      <c r="B5147" s="1">
        <v>42717</v>
      </c>
      <c r="C5147" s="2">
        <v>8221.7999999999993</v>
      </c>
      <c r="D5147" s="2">
        <v>8196.15</v>
      </c>
      <c r="E5147" s="2">
        <v>8228.85</v>
      </c>
      <c r="F5147" s="2">
        <v>8155.8</v>
      </c>
      <c r="G5147" s="3">
        <f t="shared" si="242"/>
        <v>6.2417388750182212E-3</v>
      </c>
      <c r="H5147" s="2">
        <f t="shared" si="240"/>
        <v>73.050000000000182</v>
      </c>
      <c r="I5147" s="3">
        <f t="shared" si="241"/>
        <v>8.9127212166688237E-3</v>
      </c>
    </row>
    <row r="5148" spans="2:9" x14ac:dyDescent="0.25">
      <c r="B5148" s="1">
        <v>42718</v>
      </c>
      <c r="C5148" s="2">
        <v>8182.45</v>
      </c>
      <c r="D5148" s="2">
        <v>8229.35</v>
      </c>
      <c r="E5148" s="2">
        <v>8229.4</v>
      </c>
      <c r="F5148" s="2">
        <v>8165.1</v>
      </c>
      <c r="G5148" s="3">
        <f t="shared" si="242"/>
        <v>-4.7860565812838374E-3</v>
      </c>
      <c r="H5148" s="2">
        <f t="shared" si="240"/>
        <v>64.299999999999272</v>
      </c>
      <c r="I5148" s="3">
        <f t="shared" si="241"/>
        <v>7.8134968132354647E-3</v>
      </c>
    </row>
    <row r="5149" spans="2:9" x14ac:dyDescent="0.25">
      <c r="B5149" s="1">
        <v>42719</v>
      </c>
      <c r="C5149" s="2">
        <v>8153.6</v>
      </c>
      <c r="D5149" s="2">
        <v>8128.4</v>
      </c>
      <c r="E5149" s="2">
        <v>8225.9</v>
      </c>
      <c r="F5149" s="2">
        <v>8121.95</v>
      </c>
      <c r="G5149" s="3">
        <f t="shared" si="242"/>
        <v>-3.5258388380007277E-3</v>
      </c>
      <c r="H5149" s="2">
        <f t="shared" si="240"/>
        <v>103.94999999999982</v>
      </c>
      <c r="I5149" s="3">
        <f t="shared" si="241"/>
        <v>1.278849466069581E-2</v>
      </c>
    </row>
    <row r="5150" spans="2:9" x14ac:dyDescent="0.25">
      <c r="B5150" s="1">
        <v>42720</v>
      </c>
      <c r="C5150" s="2">
        <v>8139.45</v>
      </c>
      <c r="D5150" s="2">
        <v>8178.2</v>
      </c>
      <c r="E5150" s="2">
        <v>8178.7</v>
      </c>
      <c r="F5150" s="2">
        <v>8127.45</v>
      </c>
      <c r="G5150" s="3">
        <f t="shared" si="242"/>
        <v>-1.7354297488226811E-3</v>
      </c>
      <c r="H5150" s="2">
        <f t="shared" si="240"/>
        <v>51.25</v>
      </c>
      <c r="I5150" s="3">
        <f t="shared" si="241"/>
        <v>6.2666601452642393E-3</v>
      </c>
    </row>
    <row r="5151" spans="2:9" x14ac:dyDescent="0.25">
      <c r="B5151" s="1">
        <v>42723</v>
      </c>
      <c r="C5151" s="2">
        <v>8104.35</v>
      </c>
      <c r="D5151" s="2">
        <v>8126</v>
      </c>
      <c r="E5151" s="2">
        <v>8132.5</v>
      </c>
      <c r="F5151" s="2">
        <v>8094.85</v>
      </c>
      <c r="G5151" s="3">
        <f t="shared" si="242"/>
        <v>-4.3123306857342225E-3</v>
      </c>
      <c r="H5151" s="2">
        <f t="shared" si="240"/>
        <v>37.649999999999636</v>
      </c>
      <c r="I5151" s="3">
        <f t="shared" si="241"/>
        <v>4.633275904504016E-3</v>
      </c>
    </row>
    <row r="5152" spans="2:9" x14ac:dyDescent="0.25">
      <c r="B5152" s="1">
        <v>42724</v>
      </c>
      <c r="C5152" s="2">
        <v>8082.4</v>
      </c>
      <c r="D5152" s="2">
        <v>8110.6</v>
      </c>
      <c r="E5152" s="2">
        <v>8124.1</v>
      </c>
      <c r="F5152" s="2">
        <v>8062.75</v>
      </c>
      <c r="G5152" s="3">
        <f t="shared" si="242"/>
        <v>-2.7084220202731046E-3</v>
      </c>
      <c r="H5152" s="2">
        <f t="shared" si="240"/>
        <v>61.350000000000364</v>
      </c>
      <c r="I5152" s="3">
        <f t="shared" si="241"/>
        <v>7.5641752767983085E-3</v>
      </c>
    </row>
    <row r="5153" spans="2:9" x14ac:dyDescent="0.25">
      <c r="B5153" s="1">
        <v>42725</v>
      </c>
      <c r="C5153" s="2">
        <v>8061.3</v>
      </c>
      <c r="D5153" s="2">
        <v>8105.85</v>
      </c>
      <c r="E5153" s="2">
        <v>8112.55</v>
      </c>
      <c r="F5153" s="2">
        <v>8053.25</v>
      </c>
      <c r="G5153" s="3">
        <f t="shared" si="242"/>
        <v>-2.6106107096901532E-3</v>
      </c>
      <c r="H5153" s="2">
        <f t="shared" si="240"/>
        <v>59.300000000000182</v>
      </c>
      <c r="I5153" s="3">
        <f t="shared" si="241"/>
        <v>7.3157040902558246E-3</v>
      </c>
    </row>
    <row r="5154" spans="2:9" x14ac:dyDescent="0.25">
      <c r="B5154" s="1">
        <v>42726</v>
      </c>
      <c r="C5154" s="2">
        <v>7979.1</v>
      </c>
      <c r="D5154" s="2">
        <v>8043.85</v>
      </c>
      <c r="E5154" s="2">
        <v>8046.45</v>
      </c>
      <c r="F5154" s="2">
        <v>7964.95</v>
      </c>
      <c r="G5154" s="3">
        <f t="shared" si="242"/>
        <v>-1.0196866510364333E-2</v>
      </c>
      <c r="H5154" s="2">
        <f t="shared" si="240"/>
        <v>81.5</v>
      </c>
      <c r="I5154" s="3">
        <f t="shared" si="241"/>
        <v>1.0131964171385592E-2</v>
      </c>
    </row>
    <row r="5155" spans="2:9" x14ac:dyDescent="0.25">
      <c r="B5155" s="1">
        <v>42727</v>
      </c>
      <c r="C5155" s="2">
        <v>7985.75</v>
      </c>
      <c r="D5155" s="2">
        <v>7972.5</v>
      </c>
      <c r="E5155" s="2">
        <v>8022.6</v>
      </c>
      <c r="F5155" s="2">
        <v>7942.05</v>
      </c>
      <c r="G5155" s="3">
        <f t="shared" si="242"/>
        <v>8.3342732889679638E-4</v>
      </c>
      <c r="H5155" s="2">
        <f t="shared" si="240"/>
        <v>80.550000000000182</v>
      </c>
      <c r="I5155" s="3">
        <f t="shared" si="241"/>
        <v>1.010348071495769E-2</v>
      </c>
    </row>
    <row r="5156" spans="2:9" x14ac:dyDescent="0.25">
      <c r="B5156" s="1">
        <v>42730</v>
      </c>
      <c r="C5156" s="2">
        <v>7908.25</v>
      </c>
      <c r="D5156" s="2">
        <v>7965.1</v>
      </c>
      <c r="E5156" s="2">
        <v>7970.05</v>
      </c>
      <c r="F5156" s="2">
        <v>7893.8</v>
      </c>
      <c r="G5156" s="3">
        <f t="shared" si="242"/>
        <v>-9.7047866512225411E-3</v>
      </c>
      <c r="H5156" s="2">
        <f t="shared" si="240"/>
        <v>76.25</v>
      </c>
      <c r="I5156" s="3">
        <f t="shared" si="241"/>
        <v>9.5730122660104694E-3</v>
      </c>
    </row>
    <row r="5157" spans="2:9" x14ac:dyDescent="0.25">
      <c r="B5157" s="1">
        <v>42731</v>
      </c>
      <c r="C5157" s="2">
        <v>8032.85</v>
      </c>
      <c r="D5157" s="2">
        <v>7915.05</v>
      </c>
      <c r="E5157" s="2">
        <v>8044.65</v>
      </c>
      <c r="F5157" s="2">
        <v>7903.7</v>
      </c>
      <c r="G5157" s="3">
        <f t="shared" si="242"/>
        <v>1.5755698163310461E-2</v>
      </c>
      <c r="H5157" s="2">
        <f t="shared" si="240"/>
        <v>140.94999999999982</v>
      </c>
      <c r="I5157" s="3">
        <f t="shared" si="241"/>
        <v>1.7807847076139735E-2</v>
      </c>
    </row>
    <row r="5158" spans="2:9" x14ac:dyDescent="0.25">
      <c r="B5158" s="1">
        <v>42732</v>
      </c>
      <c r="C5158" s="2">
        <v>8034.85</v>
      </c>
      <c r="D5158" s="2">
        <v>8047.55</v>
      </c>
      <c r="E5158" s="2">
        <v>8100.55</v>
      </c>
      <c r="F5158" s="2">
        <v>8028.4</v>
      </c>
      <c r="G5158" s="3">
        <f t="shared" si="242"/>
        <v>2.4897763558384689E-4</v>
      </c>
      <c r="H5158" s="2">
        <f t="shared" si="240"/>
        <v>72.150000000000546</v>
      </c>
      <c r="I5158" s="3">
        <f t="shared" si="241"/>
        <v>8.9654615379836777E-3</v>
      </c>
    </row>
    <row r="5159" spans="2:9" x14ac:dyDescent="0.25">
      <c r="B5159" s="1">
        <v>42733</v>
      </c>
      <c r="C5159" s="2">
        <v>8103.6</v>
      </c>
      <c r="D5159" s="2">
        <v>8030.6</v>
      </c>
      <c r="E5159" s="2">
        <v>8111.1</v>
      </c>
      <c r="F5159" s="2">
        <v>8020.8</v>
      </c>
      <c r="G5159" s="3">
        <f t="shared" si="242"/>
        <v>8.5564758520693118E-3</v>
      </c>
      <c r="H5159" s="2">
        <f t="shared" si="240"/>
        <v>90.300000000000182</v>
      </c>
      <c r="I5159" s="3">
        <f t="shared" si="241"/>
        <v>1.1244489826413989E-2</v>
      </c>
    </row>
    <row r="5160" spans="2:9" x14ac:dyDescent="0.25">
      <c r="B5160" s="1">
        <v>42734</v>
      </c>
      <c r="C5160" s="2">
        <v>8185.8</v>
      </c>
      <c r="D5160" s="2">
        <v>8119.65</v>
      </c>
      <c r="E5160" s="2">
        <v>8197</v>
      </c>
      <c r="F5160" s="2">
        <v>8114.75</v>
      </c>
      <c r="G5160" s="3">
        <f t="shared" si="242"/>
        <v>1.0143639863764209E-2</v>
      </c>
      <c r="H5160" s="2">
        <f t="shared" si="240"/>
        <v>82.25</v>
      </c>
      <c r="I5160" s="3">
        <f t="shared" si="241"/>
        <v>1.0129746971852236E-2</v>
      </c>
    </row>
    <row r="5161" spans="2:9" x14ac:dyDescent="0.25">
      <c r="B5161" s="1">
        <v>42737</v>
      </c>
      <c r="C5161" s="2">
        <v>8179.5</v>
      </c>
      <c r="D5161" s="2">
        <v>8210.1</v>
      </c>
      <c r="E5161" s="2">
        <v>8212</v>
      </c>
      <c r="F5161" s="2">
        <v>8133.8</v>
      </c>
      <c r="G5161" s="3">
        <f t="shared" si="242"/>
        <v>-7.6962544894820795E-4</v>
      </c>
      <c r="H5161" s="2">
        <f t="shared" si="240"/>
        <v>78.199999999999818</v>
      </c>
      <c r="I5161" s="3">
        <f t="shared" si="241"/>
        <v>9.5248535340616818E-3</v>
      </c>
    </row>
    <row r="5162" spans="2:9" x14ac:dyDescent="0.25">
      <c r="B5162" s="1">
        <v>42738</v>
      </c>
      <c r="C5162" s="2">
        <v>8192.25</v>
      </c>
      <c r="D5162" s="2">
        <v>8196.0499999999993</v>
      </c>
      <c r="E5162" s="2">
        <v>8219.1</v>
      </c>
      <c r="F5162" s="2">
        <v>8148.6</v>
      </c>
      <c r="G5162" s="3">
        <f t="shared" si="242"/>
        <v>1.5587749862460143E-3</v>
      </c>
      <c r="H5162" s="2">
        <f t="shared" si="240"/>
        <v>70.5</v>
      </c>
      <c r="I5162" s="3">
        <f t="shared" si="241"/>
        <v>8.6017044795968795E-3</v>
      </c>
    </row>
    <row r="5163" spans="2:9" x14ac:dyDescent="0.25">
      <c r="B5163" s="1">
        <v>42739</v>
      </c>
      <c r="C5163" s="2">
        <v>8190.5</v>
      </c>
      <c r="D5163" s="2">
        <v>8202.65</v>
      </c>
      <c r="E5163" s="2">
        <v>8218.5</v>
      </c>
      <c r="F5163" s="2">
        <v>8180.9</v>
      </c>
      <c r="G5163" s="3">
        <f t="shared" si="242"/>
        <v>-2.1361652781592966E-4</v>
      </c>
      <c r="H5163" s="2">
        <f t="shared" si="240"/>
        <v>37.600000000000364</v>
      </c>
      <c r="I5163" s="3">
        <f t="shared" si="241"/>
        <v>4.5838844763582947E-3</v>
      </c>
    </row>
    <row r="5164" spans="2:9" x14ac:dyDescent="0.25">
      <c r="B5164" s="1">
        <v>42740</v>
      </c>
      <c r="C5164" s="2">
        <v>8273.7999999999993</v>
      </c>
      <c r="D5164" s="2">
        <v>8226.65</v>
      </c>
      <c r="E5164" s="2">
        <v>8282.65</v>
      </c>
      <c r="F5164" s="2">
        <v>8223.7000000000007</v>
      </c>
      <c r="G5164" s="3">
        <f t="shared" si="242"/>
        <v>1.0170319272327699E-2</v>
      </c>
      <c r="H5164" s="2">
        <f t="shared" si="240"/>
        <v>58.949999999998909</v>
      </c>
      <c r="I5164" s="3">
        <f t="shared" si="241"/>
        <v>7.1657357490593271E-3</v>
      </c>
    </row>
    <row r="5165" spans="2:9" x14ac:dyDescent="0.25">
      <c r="B5165" s="1">
        <v>42741</v>
      </c>
      <c r="C5165" s="2">
        <v>8243.7999999999993</v>
      </c>
      <c r="D5165" s="2">
        <v>8281.85</v>
      </c>
      <c r="E5165" s="2">
        <v>8306.85</v>
      </c>
      <c r="F5165" s="2">
        <v>8233.25</v>
      </c>
      <c r="G5165" s="3">
        <f t="shared" si="242"/>
        <v>-3.6259034542773794E-3</v>
      </c>
      <c r="H5165" s="2">
        <f t="shared" si="240"/>
        <v>73.600000000000364</v>
      </c>
      <c r="I5165" s="3">
        <f t="shared" si="241"/>
        <v>8.8869032885164987E-3</v>
      </c>
    </row>
    <row r="5166" spans="2:9" x14ac:dyDescent="0.25">
      <c r="B5166" s="1">
        <v>42744</v>
      </c>
      <c r="C5166" s="2">
        <v>8236.0499999999993</v>
      </c>
      <c r="D5166" s="2">
        <v>8259.35</v>
      </c>
      <c r="E5166" s="2">
        <v>8263</v>
      </c>
      <c r="F5166" s="2">
        <v>8227.75</v>
      </c>
      <c r="G5166" s="3">
        <f t="shared" si="242"/>
        <v>-9.4010043911785246E-4</v>
      </c>
      <c r="H5166" s="2">
        <f t="shared" si="240"/>
        <v>35.25</v>
      </c>
      <c r="I5166" s="3">
        <f t="shared" si="241"/>
        <v>4.2678903303528725E-3</v>
      </c>
    </row>
    <row r="5167" spans="2:9" x14ac:dyDescent="0.25">
      <c r="B5167" s="1">
        <v>42745</v>
      </c>
      <c r="C5167" s="2">
        <v>8288.6</v>
      </c>
      <c r="D5167" s="2">
        <v>8262.7000000000007</v>
      </c>
      <c r="E5167" s="2">
        <v>8293.7999999999993</v>
      </c>
      <c r="F5167" s="2">
        <v>8261</v>
      </c>
      <c r="G5167" s="3">
        <f t="shared" si="242"/>
        <v>6.3804857911258228E-3</v>
      </c>
      <c r="H5167" s="2">
        <f t="shared" si="240"/>
        <v>32.799999999999272</v>
      </c>
      <c r="I5167" s="3">
        <f t="shared" si="241"/>
        <v>3.969646725646492E-3</v>
      </c>
    </row>
    <row r="5168" spans="2:9" x14ac:dyDescent="0.25">
      <c r="B5168" s="1">
        <v>42746</v>
      </c>
      <c r="C5168" s="2">
        <v>8380.65</v>
      </c>
      <c r="D5168" s="2">
        <v>8327.7999999999993</v>
      </c>
      <c r="E5168" s="2">
        <v>8389</v>
      </c>
      <c r="F5168" s="2">
        <v>8322.25</v>
      </c>
      <c r="G5168" s="3">
        <f t="shared" si="242"/>
        <v>1.110561494100315E-2</v>
      </c>
      <c r="H5168" s="2">
        <f t="shared" si="240"/>
        <v>66.75</v>
      </c>
      <c r="I5168" s="3">
        <f t="shared" si="241"/>
        <v>8.0153221739234851E-3</v>
      </c>
    </row>
    <row r="5169" spans="2:9" x14ac:dyDescent="0.25">
      <c r="B5169" s="1">
        <v>42747</v>
      </c>
      <c r="C5169" s="2">
        <v>8407.2000000000007</v>
      </c>
      <c r="D5169" s="2">
        <v>8391.0499999999993</v>
      </c>
      <c r="E5169" s="2">
        <v>8417.2000000000007</v>
      </c>
      <c r="F5169" s="2">
        <v>8382.2999999999993</v>
      </c>
      <c r="G5169" s="3">
        <f t="shared" si="242"/>
        <v>3.1680120277068902E-3</v>
      </c>
      <c r="H5169" s="2">
        <f t="shared" si="240"/>
        <v>34.900000000001455</v>
      </c>
      <c r="I5169" s="3">
        <f t="shared" si="241"/>
        <v>4.1591934263294173E-3</v>
      </c>
    </row>
    <row r="5170" spans="2:9" x14ac:dyDescent="0.25">
      <c r="B5170" s="1">
        <v>42748</v>
      </c>
      <c r="C5170" s="2">
        <v>8400.35</v>
      </c>
      <c r="D5170" s="2">
        <v>8457.65</v>
      </c>
      <c r="E5170" s="2">
        <v>8461.0499999999993</v>
      </c>
      <c r="F5170" s="2">
        <v>8373.15</v>
      </c>
      <c r="G5170" s="3">
        <f t="shared" si="242"/>
        <v>-8.1477780949668066E-4</v>
      </c>
      <c r="H5170" s="2">
        <f t="shared" si="240"/>
        <v>87.899999999999636</v>
      </c>
      <c r="I5170" s="3">
        <f t="shared" si="241"/>
        <v>1.0392957854723196E-2</v>
      </c>
    </row>
    <row r="5171" spans="2:9" x14ac:dyDescent="0.25">
      <c r="B5171" s="1">
        <v>42751</v>
      </c>
      <c r="C5171" s="2">
        <v>8412.7999999999993</v>
      </c>
      <c r="D5171" s="2">
        <v>8390.9500000000007</v>
      </c>
      <c r="E5171" s="2">
        <v>8426.7000000000007</v>
      </c>
      <c r="F5171" s="2">
        <v>8374.4</v>
      </c>
      <c r="G5171" s="3">
        <f t="shared" si="242"/>
        <v>1.4820811037634662E-3</v>
      </c>
      <c r="H5171" s="2">
        <f t="shared" si="240"/>
        <v>52.300000000001091</v>
      </c>
      <c r="I5171" s="3">
        <f t="shared" si="241"/>
        <v>6.2329056900590624E-3</v>
      </c>
    </row>
    <row r="5172" spans="2:9" x14ac:dyDescent="0.25">
      <c r="B5172" s="1">
        <v>42752</v>
      </c>
      <c r="C5172" s="2">
        <v>8398</v>
      </c>
      <c r="D5172" s="2">
        <v>8415.0499999999993</v>
      </c>
      <c r="E5172" s="2">
        <v>8440.9</v>
      </c>
      <c r="F5172" s="2">
        <v>8378.2999999999993</v>
      </c>
      <c r="G5172" s="3">
        <f t="shared" si="242"/>
        <v>-1.7592240395586378E-3</v>
      </c>
      <c r="H5172" s="2">
        <f t="shared" si="240"/>
        <v>62.600000000000364</v>
      </c>
      <c r="I5172" s="3">
        <f t="shared" si="241"/>
        <v>7.4390526497169198E-3</v>
      </c>
    </row>
    <row r="5173" spans="2:9" x14ac:dyDescent="0.25">
      <c r="B5173" s="1">
        <v>42753</v>
      </c>
      <c r="C5173" s="2">
        <v>8417</v>
      </c>
      <c r="D5173" s="2">
        <v>8403.85</v>
      </c>
      <c r="E5173" s="2">
        <v>8460.2999999999993</v>
      </c>
      <c r="F5173" s="2">
        <v>8397.4</v>
      </c>
      <c r="G5173" s="3">
        <f t="shared" si="242"/>
        <v>2.2624434389140191E-3</v>
      </c>
      <c r="H5173" s="2">
        <f t="shared" si="240"/>
        <v>62.899999999999636</v>
      </c>
      <c r="I5173" s="3">
        <f t="shared" si="241"/>
        <v>7.4846647667437703E-3</v>
      </c>
    </row>
    <row r="5174" spans="2:9" x14ac:dyDescent="0.25">
      <c r="B5174" s="1">
        <v>42754</v>
      </c>
      <c r="C5174" s="2">
        <v>8435.1</v>
      </c>
      <c r="D5174" s="2">
        <v>8418.4</v>
      </c>
      <c r="E5174" s="2">
        <v>8445.15</v>
      </c>
      <c r="F5174" s="2">
        <v>8404.0499999999993</v>
      </c>
      <c r="G5174" s="3">
        <f t="shared" si="242"/>
        <v>2.1504098847571207E-3</v>
      </c>
      <c r="H5174" s="2">
        <f t="shared" si="240"/>
        <v>41.100000000000364</v>
      </c>
      <c r="I5174" s="3">
        <f t="shared" si="241"/>
        <v>4.8821628813076551E-3</v>
      </c>
    </row>
    <row r="5175" spans="2:9" x14ac:dyDescent="0.25">
      <c r="B5175" s="1">
        <v>42755</v>
      </c>
      <c r="C5175" s="2">
        <v>8349.35</v>
      </c>
      <c r="D5175" s="2">
        <v>8404.35</v>
      </c>
      <c r="E5175" s="2">
        <v>8423.65</v>
      </c>
      <c r="F5175" s="2">
        <v>8340.9500000000007</v>
      </c>
      <c r="G5175" s="3">
        <f t="shared" si="242"/>
        <v>-1.0165854583822354E-2</v>
      </c>
      <c r="H5175" s="2">
        <f t="shared" si="240"/>
        <v>82.699999999998909</v>
      </c>
      <c r="I5175" s="3">
        <f t="shared" si="241"/>
        <v>9.8401423072574205E-3</v>
      </c>
    </row>
    <row r="5176" spans="2:9" x14ac:dyDescent="0.25">
      <c r="B5176" s="1">
        <v>42758</v>
      </c>
      <c r="C5176" s="2">
        <v>8391.5</v>
      </c>
      <c r="D5176" s="2">
        <v>8329.6</v>
      </c>
      <c r="E5176" s="2">
        <v>8404.15</v>
      </c>
      <c r="F5176" s="2">
        <v>8327.2000000000007</v>
      </c>
      <c r="G5176" s="3">
        <f t="shared" si="242"/>
        <v>5.0482971728338377E-3</v>
      </c>
      <c r="H5176" s="2">
        <f t="shared" si="240"/>
        <v>76.949999999998909</v>
      </c>
      <c r="I5176" s="3">
        <f t="shared" si="241"/>
        <v>9.2381386861312559E-3</v>
      </c>
    </row>
    <row r="5177" spans="2:9" x14ac:dyDescent="0.25">
      <c r="B5177" s="1">
        <v>42759</v>
      </c>
      <c r="C5177" s="2">
        <v>8475.7999999999993</v>
      </c>
      <c r="D5177" s="2">
        <v>8407.0499999999993</v>
      </c>
      <c r="E5177" s="2">
        <v>8480.9500000000007</v>
      </c>
      <c r="F5177" s="2">
        <v>8398.15</v>
      </c>
      <c r="G5177" s="3">
        <f t="shared" si="242"/>
        <v>1.0045879759280174E-2</v>
      </c>
      <c r="H5177" s="2">
        <f t="shared" si="240"/>
        <v>82.800000000001091</v>
      </c>
      <c r="I5177" s="3">
        <f t="shared" si="241"/>
        <v>9.8488768355131824E-3</v>
      </c>
    </row>
    <row r="5178" spans="2:9" x14ac:dyDescent="0.25">
      <c r="B5178" s="1">
        <v>42760</v>
      </c>
      <c r="C5178" s="2">
        <v>8602.75</v>
      </c>
      <c r="D5178" s="2">
        <v>8499.4500000000007</v>
      </c>
      <c r="E5178" s="2">
        <v>8612.6</v>
      </c>
      <c r="F5178" s="2">
        <v>8493.9500000000007</v>
      </c>
      <c r="G5178" s="3">
        <f t="shared" si="242"/>
        <v>1.4977937185870482E-2</v>
      </c>
      <c r="H5178" s="2">
        <f t="shared" si="240"/>
        <v>118.64999999999964</v>
      </c>
      <c r="I5178" s="3">
        <f t="shared" si="241"/>
        <v>1.3959726805852099E-2</v>
      </c>
    </row>
    <row r="5179" spans="2:9" x14ac:dyDescent="0.25">
      <c r="B5179" s="1">
        <v>42762</v>
      </c>
      <c r="C5179" s="2">
        <v>8641.25</v>
      </c>
      <c r="D5179" s="2">
        <v>8610.5</v>
      </c>
      <c r="E5179" s="2">
        <v>8672.7000000000007</v>
      </c>
      <c r="F5179" s="2">
        <v>8606.9</v>
      </c>
      <c r="G5179" s="3">
        <f t="shared" si="242"/>
        <v>4.4753131266164203E-3</v>
      </c>
      <c r="H5179" s="2">
        <f t="shared" si="240"/>
        <v>65.800000000001091</v>
      </c>
      <c r="I5179" s="3">
        <f t="shared" si="241"/>
        <v>7.6418326461879203E-3</v>
      </c>
    </row>
    <row r="5180" spans="2:9" x14ac:dyDescent="0.25">
      <c r="B5180" s="1">
        <v>42765</v>
      </c>
      <c r="C5180" s="2">
        <v>8632.75</v>
      </c>
      <c r="D5180" s="2">
        <v>8635.5499999999993</v>
      </c>
      <c r="E5180" s="2">
        <v>8662.6</v>
      </c>
      <c r="F5180" s="2">
        <v>8617.75</v>
      </c>
      <c r="G5180" s="3">
        <f t="shared" si="242"/>
        <v>-9.8365398524513648E-4</v>
      </c>
      <c r="H5180" s="2">
        <f t="shared" si="240"/>
        <v>44.850000000000364</v>
      </c>
      <c r="I5180" s="3">
        <f t="shared" si="241"/>
        <v>5.193647190972245E-3</v>
      </c>
    </row>
    <row r="5181" spans="2:9" x14ac:dyDescent="0.25">
      <c r="B5181" s="1">
        <v>42766</v>
      </c>
      <c r="C5181" s="2">
        <v>8561.2999999999993</v>
      </c>
      <c r="D5181" s="2">
        <v>8629.4500000000007</v>
      </c>
      <c r="E5181" s="2">
        <v>8631.75</v>
      </c>
      <c r="F5181" s="2">
        <v>8552.4</v>
      </c>
      <c r="G5181" s="3">
        <f t="shared" si="242"/>
        <v>-8.2766210072110491E-3</v>
      </c>
      <c r="H5181" s="2">
        <f t="shared" si="240"/>
        <v>79.350000000000364</v>
      </c>
      <c r="I5181" s="3">
        <f t="shared" si="241"/>
        <v>9.1952557810753132E-3</v>
      </c>
    </row>
    <row r="5182" spans="2:9" x14ac:dyDescent="0.25">
      <c r="B5182" s="1">
        <v>42767</v>
      </c>
      <c r="C5182" s="2">
        <v>8716.4</v>
      </c>
      <c r="D5182" s="2">
        <v>8570.35</v>
      </c>
      <c r="E5182" s="2">
        <v>8722.4</v>
      </c>
      <c r="F5182" s="2">
        <v>8537.5</v>
      </c>
      <c r="G5182" s="3">
        <f t="shared" si="242"/>
        <v>1.8116407554927383E-2</v>
      </c>
      <c r="H5182" s="2">
        <f t="shared" si="240"/>
        <v>184.89999999999964</v>
      </c>
      <c r="I5182" s="3">
        <f t="shared" si="241"/>
        <v>2.1574381442998201E-2</v>
      </c>
    </row>
    <row r="5183" spans="2:9" x14ac:dyDescent="0.25">
      <c r="B5183" s="1">
        <v>42768</v>
      </c>
      <c r="C5183" s="2">
        <v>8734.25</v>
      </c>
      <c r="D5183" s="2">
        <v>8724.75</v>
      </c>
      <c r="E5183" s="2">
        <v>8757.6</v>
      </c>
      <c r="F5183" s="2">
        <v>8685.7999999999993</v>
      </c>
      <c r="G5183" s="3">
        <f t="shared" si="242"/>
        <v>2.0478637969805202E-3</v>
      </c>
      <c r="H5183" s="2">
        <f t="shared" si="240"/>
        <v>71.800000000001091</v>
      </c>
      <c r="I5183" s="3">
        <f t="shared" si="241"/>
        <v>8.2294621622397302E-3</v>
      </c>
    </row>
    <row r="5184" spans="2:9" x14ac:dyDescent="0.25">
      <c r="B5184" s="1">
        <v>42769</v>
      </c>
      <c r="C5184" s="2">
        <v>8740.9500000000007</v>
      </c>
      <c r="D5184" s="2">
        <v>8735.15</v>
      </c>
      <c r="E5184" s="2">
        <v>8748.25</v>
      </c>
      <c r="F5184" s="2">
        <v>8707.75</v>
      </c>
      <c r="G5184" s="3">
        <f t="shared" si="242"/>
        <v>7.6709505681660239E-4</v>
      </c>
      <c r="H5184" s="2">
        <f t="shared" si="240"/>
        <v>40.5</v>
      </c>
      <c r="I5184" s="3">
        <f t="shared" si="241"/>
        <v>4.6364401298203241E-3</v>
      </c>
    </row>
    <row r="5185" spans="2:9" x14ac:dyDescent="0.25">
      <c r="B5185" s="1">
        <v>42772</v>
      </c>
      <c r="C5185" s="2">
        <v>8801.0499999999993</v>
      </c>
      <c r="D5185" s="2">
        <v>8785.4500000000007</v>
      </c>
      <c r="E5185" s="2">
        <v>8814.1</v>
      </c>
      <c r="F5185" s="2">
        <v>8770.2000000000007</v>
      </c>
      <c r="G5185" s="3">
        <f t="shared" si="242"/>
        <v>6.8756828491181032E-3</v>
      </c>
      <c r="H5185" s="2">
        <f t="shared" si="240"/>
        <v>43.899999999999636</v>
      </c>
      <c r="I5185" s="3">
        <f t="shared" si="241"/>
        <v>4.9968982806799459E-3</v>
      </c>
    </row>
    <row r="5186" spans="2:9" x14ac:dyDescent="0.25">
      <c r="B5186" s="1">
        <v>42773</v>
      </c>
      <c r="C5186" s="2">
        <v>8768.2999999999993</v>
      </c>
      <c r="D5186" s="2">
        <v>8805.7000000000007</v>
      </c>
      <c r="E5186" s="2">
        <v>8809.2999999999993</v>
      </c>
      <c r="F5186" s="2">
        <v>8741.0499999999993</v>
      </c>
      <c r="G5186" s="3">
        <f t="shared" si="242"/>
        <v>-3.7211469086074755E-3</v>
      </c>
      <c r="H5186" s="2">
        <f t="shared" si="240"/>
        <v>68.25</v>
      </c>
      <c r="I5186" s="3">
        <f t="shared" si="241"/>
        <v>7.7506615033444241E-3</v>
      </c>
    </row>
    <row r="5187" spans="2:9" x14ac:dyDescent="0.25">
      <c r="B5187" s="1">
        <v>42774</v>
      </c>
      <c r="C5187" s="2">
        <v>8769.0499999999993</v>
      </c>
      <c r="D5187" s="2">
        <v>8774.5499999999993</v>
      </c>
      <c r="E5187" s="2">
        <v>8791.25</v>
      </c>
      <c r="F5187" s="2">
        <v>8715</v>
      </c>
      <c r="G5187" s="3">
        <f t="shared" si="242"/>
        <v>8.5535394546365495E-5</v>
      </c>
      <c r="H5187" s="2">
        <f t="shared" si="240"/>
        <v>76.25</v>
      </c>
      <c r="I5187" s="3">
        <f t="shared" si="241"/>
        <v>8.68990432557795E-3</v>
      </c>
    </row>
    <row r="5188" spans="2:9" x14ac:dyDescent="0.25">
      <c r="B5188" s="1">
        <v>42775</v>
      </c>
      <c r="C5188" s="2">
        <v>8778.4</v>
      </c>
      <c r="D5188" s="2">
        <v>8795.5499999999993</v>
      </c>
      <c r="E5188" s="2">
        <v>8821.4</v>
      </c>
      <c r="F5188" s="2">
        <v>8724.1</v>
      </c>
      <c r="G5188" s="3">
        <f t="shared" si="242"/>
        <v>1.0662500498914707E-3</v>
      </c>
      <c r="H5188" s="2">
        <f t="shared" si="240"/>
        <v>97.299999999999272</v>
      </c>
      <c r="I5188" s="3">
        <f t="shared" si="241"/>
        <v>1.1062412242554392E-2</v>
      </c>
    </row>
    <row r="5189" spans="2:9" x14ac:dyDescent="0.25">
      <c r="B5189" s="1">
        <v>42776</v>
      </c>
      <c r="C5189" s="2">
        <v>8793.5499999999993</v>
      </c>
      <c r="D5189" s="2">
        <v>8812.35</v>
      </c>
      <c r="E5189" s="2">
        <v>8822.1</v>
      </c>
      <c r="F5189" s="2">
        <v>8771.2000000000007</v>
      </c>
      <c r="G5189" s="3">
        <f t="shared" si="242"/>
        <v>1.7258270299826961E-3</v>
      </c>
      <c r="H5189" s="2">
        <f t="shared" ref="H5189:H5252" si="243">E5189-F5189</f>
        <v>50.899999999999636</v>
      </c>
      <c r="I5189" s="3">
        <f t="shared" si="241"/>
        <v>5.7759848394582187E-3</v>
      </c>
    </row>
    <row r="5190" spans="2:9" x14ac:dyDescent="0.25">
      <c r="B5190" s="1">
        <v>42779</v>
      </c>
      <c r="C5190" s="2">
        <v>8805.0499999999993</v>
      </c>
      <c r="D5190" s="2">
        <v>8819.7999999999993</v>
      </c>
      <c r="E5190" s="2">
        <v>8826.9</v>
      </c>
      <c r="F5190" s="2">
        <v>8754.2000000000007</v>
      </c>
      <c r="G5190" s="3">
        <f t="shared" si="242"/>
        <v>1.307776722711429E-3</v>
      </c>
      <c r="H5190" s="2">
        <f t="shared" si="243"/>
        <v>72.699999999998909</v>
      </c>
      <c r="I5190" s="3">
        <f t="shared" ref="I5190:I5253" si="244">H5190/D5190</f>
        <v>8.2428172974442632E-3</v>
      </c>
    </row>
    <row r="5191" spans="2:9" x14ac:dyDescent="0.25">
      <c r="B5191" s="1">
        <v>42780</v>
      </c>
      <c r="C5191" s="2">
        <v>8792.2999999999993</v>
      </c>
      <c r="D5191" s="2">
        <v>8819.9</v>
      </c>
      <c r="E5191" s="2">
        <v>8820.4500000000007</v>
      </c>
      <c r="F5191" s="2">
        <v>8772.5</v>
      </c>
      <c r="G5191" s="3">
        <f t="shared" ref="G5191:G5254" si="245">C5191/C5190-1</f>
        <v>-1.4480326630740281E-3</v>
      </c>
      <c r="H5191" s="2">
        <f t="shared" si="243"/>
        <v>47.950000000000728</v>
      </c>
      <c r="I5191" s="3">
        <f t="shared" si="244"/>
        <v>5.4365695756188543E-3</v>
      </c>
    </row>
    <row r="5192" spans="2:9" x14ac:dyDescent="0.25">
      <c r="B5192" s="1">
        <v>42781</v>
      </c>
      <c r="C5192" s="2">
        <v>8724.7000000000007</v>
      </c>
      <c r="D5192" s="2">
        <v>8778.9500000000007</v>
      </c>
      <c r="E5192" s="2">
        <v>8807.9</v>
      </c>
      <c r="F5192" s="2">
        <v>8712.85</v>
      </c>
      <c r="G5192" s="3">
        <f t="shared" si="245"/>
        <v>-7.6885456592699075E-3</v>
      </c>
      <c r="H5192" s="2">
        <f t="shared" si="243"/>
        <v>95.049999999999272</v>
      </c>
      <c r="I5192" s="3">
        <f t="shared" si="244"/>
        <v>1.0827035123790347E-2</v>
      </c>
    </row>
    <row r="5193" spans="2:9" x14ac:dyDescent="0.25">
      <c r="B5193" s="1">
        <v>42782</v>
      </c>
      <c r="C5193" s="2">
        <v>8778</v>
      </c>
      <c r="D5193" s="2">
        <v>8739</v>
      </c>
      <c r="E5193" s="2">
        <v>8783.9500000000007</v>
      </c>
      <c r="F5193" s="2">
        <v>8719.6</v>
      </c>
      <c r="G5193" s="3">
        <f t="shared" si="245"/>
        <v>6.1090925762490311E-3</v>
      </c>
      <c r="H5193" s="2">
        <f t="shared" si="243"/>
        <v>64.350000000000364</v>
      </c>
      <c r="I5193" s="3">
        <f t="shared" si="244"/>
        <v>7.3635427394439139E-3</v>
      </c>
    </row>
    <row r="5194" spans="2:9" x14ac:dyDescent="0.25">
      <c r="B5194" s="1">
        <v>42783</v>
      </c>
      <c r="C5194" s="2">
        <v>8821.7000000000007</v>
      </c>
      <c r="D5194" s="2">
        <v>8883.7000000000007</v>
      </c>
      <c r="E5194" s="2">
        <v>8896.4500000000007</v>
      </c>
      <c r="F5194" s="2">
        <v>8804.25</v>
      </c>
      <c r="G5194" s="3">
        <f t="shared" si="245"/>
        <v>4.9783549783550818E-3</v>
      </c>
      <c r="H5194" s="2">
        <f t="shared" si="243"/>
        <v>92.200000000000728</v>
      </c>
      <c r="I5194" s="3">
        <f t="shared" si="244"/>
        <v>1.0378558483514834E-2</v>
      </c>
    </row>
    <row r="5195" spans="2:9" x14ac:dyDescent="0.25">
      <c r="B5195" s="1">
        <v>42786</v>
      </c>
      <c r="C5195" s="2">
        <v>8879.2000000000007</v>
      </c>
      <c r="D5195" s="2">
        <v>8818.5499999999993</v>
      </c>
      <c r="E5195" s="2">
        <v>8886.25</v>
      </c>
      <c r="F5195" s="2">
        <v>8809.7999999999993</v>
      </c>
      <c r="G5195" s="3">
        <f t="shared" si="245"/>
        <v>6.5180180690795897E-3</v>
      </c>
      <c r="H5195" s="2">
        <f t="shared" si="243"/>
        <v>76.450000000000728</v>
      </c>
      <c r="I5195" s="3">
        <f t="shared" si="244"/>
        <v>8.6692256663511279E-3</v>
      </c>
    </row>
    <row r="5196" spans="2:9" x14ac:dyDescent="0.25">
      <c r="B5196" s="1">
        <v>42787</v>
      </c>
      <c r="C5196" s="2">
        <v>8907.85</v>
      </c>
      <c r="D5196" s="2">
        <v>8890.75</v>
      </c>
      <c r="E5196" s="2">
        <v>8920.7999999999993</v>
      </c>
      <c r="F5196" s="2">
        <v>8860.9500000000007</v>
      </c>
      <c r="G5196" s="3">
        <f t="shared" si="245"/>
        <v>3.2266420398232576E-3</v>
      </c>
      <c r="H5196" s="2">
        <f t="shared" si="243"/>
        <v>59.849999999998545</v>
      </c>
      <c r="I5196" s="3">
        <f t="shared" si="244"/>
        <v>6.7317155470571714E-3</v>
      </c>
    </row>
    <row r="5197" spans="2:9" x14ac:dyDescent="0.25">
      <c r="B5197" s="1">
        <v>42788</v>
      </c>
      <c r="C5197" s="2">
        <v>8926.9</v>
      </c>
      <c r="D5197" s="2">
        <v>8931.6</v>
      </c>
      <c r="E5197" s="2">
        <v>8960.75</v>
      </c>
      <c r="F5197" s="2">
        <v>8905.25</v>
      </c>
      <c r="G5197" s="3">
        <f t="shared" si="245"/>
        <v>2.1385631774220037E-3</v>
      </c>
      <c r="H5197" s="2">
        <f t="shared" si="243"/>
        <v>55.5</v>
      </c>
      <c r="I5197" s="3">
        <f t="shared" si="244"/>
        <v>6.2138922477495634E-3</v>
      </c>
    </row>
    <row r="5198" spans="2:9" x14ac:dyDescent="0.25">
      <c r="B5198" s="1">
        <v>42789</v>
      </c>
      <c r="C5198" s="2">
        <v>8939.5</v>
      </c>
      <c r="D5198" s="2">
        <v>8956.4</v>
      </c>
      <c r="E5198" s="2">
        <v>8982.15</v>
      </c>
      <c r="F5198" s="2">
        <v>8927.5499999999993</v>
      </c>
      <c r="G5198" s="3">
        <f t="shared" si="245"/>
        <v>1.4114642261031651E-3</v>
      </c>
      <c r="H5198" s="2">
        <f t="shared" si="243"/>
        <v>54.600000000000364</v>
      </c>
      <c r="I5198" s="3">
        <f t="shared" si="244"/>
        <v>6.0961993658166635E-3</v>
      </c>
    </row>
    <row r="5199" spans="2:9" x14ac:dyDescent="0.25">
      <c r="B5199" s="1">
        <v>42793</v>
      </c>
      <c r="C5199" s="2">
        <v>8896.7000000000007</v>
      </c>
      <c r="D5199" s="2">
        <v>8943.7000000000007</v>
      </c>
      <c r="E5199" s="2">
        <v>8951.7999999999993</v>
      </c>
      <c r="F5199" s="2">
        <v>8888.65</v>
      </c>
      <c r="G5199" s="3">
        <f t="shared" si="245"/>
        <v>-4.7877398064768428E-3</v>
      </c>
      <c r="H5199" s="2">
        <f t="shared" si="243"/>
        <v>63.149999999999636</v>
      </c>
      <c r="I5199" s="3">
        <f t="shared" si="244"/>
        <v>7.0608361192794518E-3</v>
      </c>
    </row>
    <row r="5200" spans="2:9" x14ac:dyDescent="0.25">
      <c r="B5200" s="1">
        <v>42794</v>
      </c>
      <c r="C5200" s="2">
        <v>8879.6</v>
      </c>
      <c r="D5200" s="2">
        <v>8898.9500000000007</v>
      </c>
      <c r="E5200" s="2">
        <v>8914.75</v>
      </c>
      <c r="F5200" s="2">
        <v>8867.6</v>
      </c>
      <c r="G5200" s="3">
        <f t="shared" si="245"/>
        <v>-1.9220609889060158E-3</v>
      </c>
      <c r="H5200" s="2">
        <f t="shared" si="243"/>
        <v>47.149999999999636</v>
      </c>
      <c r="I5200" s="3">
        <f t="shared" si="244"/>
        <v>5.2983778985160757E-3</v>
      </c>
    </row>
    <row r="5201" spans="2:9" x14ac:dyDescent="0.25">
      <c r="B5201" s="1">
        <v>42795</v>
      </c>
      <c r="C5201" s="2">
        <v>8945.7999999999993</v>
      </c>
      <c r="D5201" s="2">
        <v>8904.4</v>
      </c>
      <c r="E5201" s="2">
        <v>8960.7999999999993</v>
      </c>
      <c r="F5201" s="2">
        <v>8898.6</v>
      </c>
      <c r="G5201" s="3">
        <f t="shared" si="245"/>
        <v>7.4552907788638656E-3</v>
      </c>
      <c r="H5201" s="2">
        <f t="shared" si="243"/>
        <v>62.199999999998909</v>
      </c>
      <c r="I5201" s="3">
        <f t="shared" si="244"/>
        <v>6.9853106329453877E-3</v>
      </c>
    </row>
    <row r="5202" spans="2:9" x14ac:dyDescent="0.25">
      <c r="B5202" s="1">
        <v>42796</v>
      </c>
      <c r="C5202" s="2">
        <v>8899.75</v>
      </c>
      <c r="D5202" s="2">
        <v>8982.85</v>
      </c>
      <c r="E5202" s="2">
        <v>8992.5</v>
      </c>
      <c r="F5202" s="2">
        <v>8879.7999999999993</v>
      </c>
      <c r="G5202" s="3">
        <f t="shared" si="245"/>
        <v>-5.1476670616378284E-3</v>
      </c>
      <c r="H5202" s="2">
        <f t="shared" si="243"/>
        <v>112.70000000000073</v>
      </c>
      <c r="I5202" s="3">
        <f t="shared" si="244"/>
        <v>1.2546129569123465E-2</v>
      </c>
    </row>
    <row r="5203" spans="2:9" x14ac:dyDescent="0.25">
      <c r="B5203" s="1">
        <v>42797</v>
      </c>
      <c r="C5203" s="2">
        <v>8897.5499999999993</v>
      </c>
      <c r="D5203" s="2">
        <v>8883.5</v>
      </c>
      <c r="E5203" s="2">
        <v>8907.1</v>
      </c>
      <c r="F5203" s="2">
        <v>8860.1</v>
      </c>
      <c r="G5203" s="3">
        <f t="shared" si="245"/>
        <v>-2.4719795499883457E-4</v>
      </c>
      <c r="H5203" s="2">
        <f t="shared" si="243"/>
        <v>47</v>
      </c>
      <c r="I5203" s="3">
        <f t="shared" si="244"/>
        <v>5.2907074914166716E-3</v>
      </c>
    </row>
    <row r="5204" spans="2:9" x14ac:dyDescent="0.25">
      <c r="B5204" s="1">
        <v>42800</v>
      </c>
      <c r="C5204" s="2">
        <v>8963.4500000000007</v>
      </c>
      <c r="D5204" s="2">
        <v>8915.1</v>
      </c>
      <c r="E5204" s="2">
        <v>8967.7999999999993</v>
      </c>
      <c r="F5204" s="2">
        <v>8914</v>
      </c>
      <c r="G5204" s="3">
        <f t="shared" si="245"/>
        <v>7.4065332591557453E-3</v>
      </c>
      <c r="H5204" s="2">
        <f t="shared" si="243"/>
        <v>53.799999999999272</v>
      </c>
      <c r="I5204" s="3">
        <f t="shared" si="244"/>
        <v>6.034705163150079E-3</v>
      </c>
    </row>
    <row r="5205" spans="2:9" x14ac:dyDescent="0.25">
      <c r="B5205" s="1">
        <v>42801</v>
      </c>
      <c r="C5205" s="2">
        <v>8946.9</v>
      </c>
      <c r="D5205" s="2">
        <v>8977.75</v>
      </c>
      <c r="E5205" s="2">
        <v>8977.85</v>
      </c>
      <c r="F5205" s="2">
        <v>8932.7999999999993</v>
      </c>
      <c r="G5205" s="3">
        <f t="shared" si="245"/>
        <v>-1.8463872727577657E-3</v>
      </c>
      <c r="H5205" s="2">
        <f t="shared" si="243"/>
        <v>45.050000000001091</v>
      </c>
      <c r="I5205" s="3">
        <f t="shared" si="244"/>
        <v>5.0179610704242259E-3</v>
      </c>
    </row>
    <row r="5206" spans="2:9" x14ac:dyDescent="0.25">
      <c r="B5206" s="1">
        <v>42802</v>
      </c>
      <c r="C5206" s="2">
        <v>8924.2999999999993</v>
      </c>
      <c r="D5206" s="2">
        <v>8950.7000000000007</v>
      </c>
      <c r="E5206" s="2">
        <v>8957.0499999999993</v>
      </c>
      <c r="F5206" s="2">
        <v>8891.9500000000007</v>
      </c>
      <c r="G5206" s="3">
        <f t="shared" si="245"/>
        <v>-2.5260145972347825E-3</v>
      </c>
      <c r="H5206" s="2">
        <f t="shared" si="243"/>
        <v>65.099999999998545</v>
      </c>
      <c r="I5206" s="3">
        <f t="shared" si="244"/>
        <v>7.2731741651489313E-3</v>
      </c>
    </row>
    <row r="5207" spans="2:9" x14ac:dyDescent="0.25">
      <c r="B5207" s="1">
        <v>42803</v>
      </c>
      <c r="C5207" s="2">
        <v>8927</v>
      </c>
      <c r="D5207" s="2">
        <v>8914.5</v>
      </c>
      <c r="E5207" s="2">
        <v>8945.7999999999993</v>
      </c>
      <c r="F5207" s="2">
        <v>8899.5</v>
      </c>
      <c r="G5207" s="3">
        <f t="shared" si="245"/>
        <v>3.0254473740254362E-4</v>
      </c>
      <c r="H5207" s="2">
        <f t="shared" si="243"/>
        <v>46.299999999999272</v>
      </c>
      <c r="I5207" s="3">
        <f t="shared" si="244"/>
        <v>5.1937854057994585E-3</v>
      </c>
    </row>
    <row r="5208" spans="2:9" x14ac:dyDescent="0.25">
      <c r="B5208" s="1">
        <v>42804</v>
      </c>
      <c r="C5208" s="2">
        <v>8934.5499999999993</v>
      </c>
      <c r="D5208" s="2">
        <v>8953.7000000000007</v>
      </c>
      <c r="E5208" s="2">
        <v>8975.7000000000007</v>
      </c>
      <c r="F5208" s="2">
        <v>8903.9500000000007</v>
      </c>
      <c r="G5208" s="3">
        <f t="shared" si="245"/>
        <v>8.457488517978895E-4</v>
      </c>
      <c r="H5208" s="2">
        <f t="shared" si="243"/>
        <v>71.75</v>
      </c>
      <c r="I5208" s="3">
        <f t="shared" si="244"/>
        <v>8.013446954890157E-3</v>
      </c>
    </row>
    <row r="5209" spans="2:9" x14ac:dyDescent="0.25">
      <c r="B5209" s="1">
        <v>42808</v>
      </c>
      <c r="C5209" s="2">
        <v>9087</v>
      </c>
      <c r="D5209" s="2">
        <v>9091.65</v>
      </c>
      <c r="E5209" s="2">
        <v>9122.75</v>
      </c>
      <c r="F5209" s="2">
        <v>9060.5</v>
      </c>
      <c r="G5209" s="3">
        <f t="shared" si="245"/>
        <v>1.7062974632186423E-2</v>
      </c>
      <c r="H5209" s="2">
        <f t="shared" si="243"/>
        <v>62.25</v>
      </c>
      <c r="I5209" s="3">
        <f t="shared" si="244"/>
        <v>6.8469419742291007E-3</v>
      </c>
    </row>
    <row r="5210" spans="2:9" x14ac:dyDescent="0.25">
      <c r="B5210" s="1">
        <v>42809</v>
      </c>
      <c r="C5210" s="2">
        <v>9084.7999999999993</v>
      </c>
      <c r="D5210" s="2">
        <v>9086.85</v>
      </c>
      <c r="E5210" s="2">
        <v>9106.5499999999993</v>
      </c>
      <c r="F5210" s="2">
        <v>9075.5</v>
      </c>
      <c r="G5210" s="3">
        <f t="shared" si="245"/>
        <v>-2.4210410476510624E-4</v>
      </c>
      <c r="H5210" s="2">
        <f t="shared" si="243"/>
        <v>31.049999999999272</v>
      </c>
      <c r="I5210" s="3">
        <f t="shared" si="244"/>
        <v>3.4170257019758522E-3</v>
      </c>
    </row>
    <row r="5211" spans="2:9" x14ac:dyDescent="0.25">
      <c r="B5211" s="1">
        <v>42810</v>
      </c>
      <c r="C5211" s="2">
        <v>9153.7000000000007</v>
      </c>
      <c r="D5211" s="2">
        <v>9129.65</v>
      </c>
      <c r="E5211" s="2">
        <v>9158.4500000000007</v>
      </c>
      <c r="F5211" s="2">
        <v>9128.5499999999993</v>
      </c>
      <c r="G5211" s="3">
        <f t="shared" si="245"/>
        <v>7.5840965128568527E-3</v>
      </c>
      <c r="H5211" s="2">
        <f t="shared" si="243"/>
        <v>29.900000000001455</v>
      </c>
      <c r="I5211" s="3">
        <f t="shared" si="244"/>
        <v>3.2750434025402351E-3</v>
      </c>
    </row>
    <row r="5212" spans="2:9" x14ac:dyDescent="0.25">
      <c r="B5212" s="1">
        <v>42811</v>
      </c>
      <c r="C5212" s="2">
        <v>9160.0499999999993</v>
      </c>
      <c r="D5212" s="2">
        <v>9207.7999999999993</v>
      </c>
      <c r="E5212" s="2">
        <v>9218.4</v>
      </c>
      <c r="F5212" s="2">
        <v>9147.6</v>
      </c>
      <c r="G5212" s="3">
        <f t="shared" si="245"/>
        <v>6.9370855501027506E-4</v>
      </c>
      <c r="H5212" s="2">
        <f t="shared" si="243"/>
        <v>70.799999999999272</v>
      </c>
      <c r="I5212" s="3">
        <f t="shared" si="244"/>
        <v>7.6891331262624379E-3</v>
      </c>
    </row>
    <row r="5213" spans="2:9" x14ac:dyDescent="0.25">
      <c r="B5213" s="1">
        <v>42814</v>
      </c>
      <c r="C5213" s="2">
        <v>9126.85</v>
      </c>
      <c r="D5213" s="2">
        <v>9166.9500000000007</v>
      </c>
      <c r="E5213" s="2">
        <v>9167.6</v>
      </c>
      <c r="F5213" s="2">
        <v>9116.2999999999993</v>
      </c>
      <c r="G5213" s="3">
        <f t="shared" si="245"/>
        <v>-3.6244343644411536E-3</v>
      </c>
      <c r="H5213" s="2">
        <f t="shared" si="243"/>
        <v>51.300000000001091</v>
      </c>
      <c r="I5213" s="3">
        <f t="shared" si="244"/>
        <v>5.5961906631978014E-3</v>
      </c>
    </row>
    <row r="5214" spans="2:9" x14ac:dyDescent="0.25">
      <c r="B5214" s="1">
        <v>42815</v>
      </c>
      <c r="C5214" s="2">
        <v>9121.5</v>
      </c>
      <c r="D5214" s="2">
        <v>9133.9500000000007</v>
      </c>
      <c r="E5214" s="2">
        <v>9147.75</v>
      </c>
      <c r="F5214" s="2">
        <v>9087.2000000000007</v>
      </c>
      <c r="G5214" s="3">
        <f t="shared" si="245"/>
        <v>-5.861825273780763E-4</v>
      </c>
      <c r="H5214" s="2">
        <f t="shared" si="243"/>
        <v>60.549999999999272</v>
      </c>
      <c r="I5214" s="3">
        <f t="shared" si="244"/>
        <v>6.62911445760041E-3</v>
      </c>
    </row>
    <row r="5215" spans="2:9" x14ac:dyDescent="0.25">
      <c r="B5215" s="1">
        <v>42816</v>
      </c>
      <c r="C5215" s="2">
        <v>9030.4500000000007</v>
      </c>
      <c r="D5215" s="2">
        <v>9047.2000000000007</v>
      </c>
      <c r="E5215" s="2">
        <v>9072.9</v>
      </c>
      <c r="F5215" s="2">
        <v>9019.2999999999993</v>
      </c>
      <c r="G5215" s="3">
        <f t="shared" si="245"/>
        <v>-9.9819108699226167E-3</v>
      </c>
      <c r="H5215" s="2">
        <f t="shared" si="243"/>
        <v>53.600000000000364</v>
      </c>
      <c r="I5215" s="3">
        <f t="shared" si="244"/>
        <v>5.9244849235122864E-3</v>
      </c>
    </row>
    <row r="5216" spans="2:9" x14ac:dyDescent="0.25">
      <c r="B5216" s="1">
        <v>42817</v>
      </c>
      <c r="C5216" s="2">
        <v>9086.2999999999993</v>
      </c>
      <c r="D5216" s="2">
        <v>9048.75</v>
      </c>
      <c r="E5216" s="2">
        <v>9099.0499999999993</v>
      </c>
      <c r="F5216" s="2">
        <v>9048.6</v>
      </c>
      <c r="G5216" s="3">
        <f t="shared" si="245"/>
        <v>6.1846308877187006E-3</v>
      </c>
      <c r="H5216" s="2">
        <f t="shared" si="243"/>
        <v>50.449999999998909</v>
      </c>
      <c r="I5216" s="3">
        <f t="shared" si="244"/>
        <v>5.5753557121148122E-3</v>
      </c>
    </row>
    <row r="5217" spans="2:9" x14ac:dyDescent="0.25">
      <c r="B5217" s="1">
        <v>42818</v>
      </c>
      <c r="C5217" s="2">
        <v>9108</v>
      </c>
      <c r="D5217" s="2">
        <v>9104</v>
      </c>
      <c r="E5217" s="2">
        <v>9133.5499999999993</v>
      </c>
      <c r="F5217" s="2">
        <v>9089.4</v>
      </c>
      <c r="G5217" s="3">
        <f t="shared" si="245"/>
        <v>2.3882108228872045E-3</v>
      </c>
      <c r="H5217" s="2">
        <f t="shared" si="243"/>
        <v>44.149999999999636</v>
      </c>
      <c r="I5217" s="3">
        <f t="shared" si="244"/>
        <v>4.8495166959577809E-3</v>
      </c>
    </row>
    <row r="5218" spans="2:9" x14ac:dyDescent="0.25">
      <c r="B5218" s="1">
        <v>42821</v>
      </c>
      <c r="C5218" s="2">
        <v>9045.2000000000007</v>
      </c>
      <c r="D5218" s="2">
        <v>9093.4500000000007</v>
      </c>
      <c r="E5218" s="2">
        <v>9094.85</v>
      </c>
      <c r="F5218" s="2">
        <v>9024.65</v>
      </c>
      <c r="G5218" s="3">
        <f t="shared" si="245"/>
        <v>-6.8950373298198864E-3</v>
      </c>
      <c r="H5218" s="2">
        <f t="shared" si="243"/>
        <v>70.200000000000728</v>
      </c>
      <c r="I5218" s="3">
        <f t="shared" si="244"/>
        <v>7.71984230407609E-3</v>
      </c>
    </row>
    <row r="5219" spans="2:9" x14ac:dyDescent="0.25">
      <c r="B5219" s="1">
        <v>42822</v>
      </c>
      <c r="C5219" s="2">
        <v>9100.7999999999993</v>
      </c>
      <c r="D5219" s="2">
        <v>9081.5</v>
      </c>
      <c r="E5219" s="2">
        <v>9110.4</v>
      </c>
      <c r="F5219" s="2">
        <v>9079.7999999999993</v>
      </c>
      <c r="G5219" s="3">
        <f t="shared" si="245"/>
        <v>6.1469066466190991E-3</v>
      </c>
      <c r="H5219" s="2">
        <f t="shared" si="243"/>
        <v>30.600000000000364</v>
      </c>
      <c r="I5219" s="3">
        <f t="shared" si="244"/>
        <v>3.3694874194792009E-3</v>
      </c>
    </row>
    <row r="5220" spans="2:9" x14ac:dyDescent="0.25">
      <c r="B5220" s="1">
        <v>42823</v>
      </c>
      <c r="C5220" s="2">
        <v>9143.7999999999993</v>
      </c>
      <c r="D5220" s="2">
        <v>9128.7000000000007</v>
      </c>
      <c r="E5220" s="2">
        <v>9153.15</v>
      </c>
      <c r="F5220" s="2">
        <v>9109.1</v>
      </c>
      <c r="G5220" s="3">
        <f t="shared" si="245"/>
        <v>4.7248593530238026E-3</v>
      </c>
      <c r="H5220" s="2">
        <f t="shared" si="243"/>
        <v>44.049999999999272</v>
      </c>
      <c r="I5220" s="3">
        <f t="shared" si="244"/>
        <v>4.8254406432459464E-3</v>
      </c>
    </row>
    <row r="5221" spans="2:9" x14ac:dyDescent="0.25">
      <c r="B5221" s="1">
        <v>42824</v>
      </c>
      <c r="C5221" s="2">
        <v>9173.75</v>
      </c>
      <c r="D5221" s="2">
        <v>9142.6</v>
      </c>
      <c r="E5221" s="2">
        <v>9183.15</v>
      </c>
      <c r="F5221" s="2">
        <v>9136.35</v>
      </c>
      <c r="G5221" s="3">
        <f t="shared" si="245"/>
        <v>3.2754434698922807E-3</v>
      </c>
      <c r="H5221" s="2">
        <f t="shared" si="243"/>
        <v>46.799999999999272</v>
      </c>
      <c r="I5221" s="3">
        <f t="shared" si="244"/>
        <v>5.1188939688927952E-3</v>
      </c>
    </row>
    <row r="5222" spans="2:9" x14ac:dyDescent="0.25">
      <c r="B5222" s="1">
        <v>42825</v>
      </c>
      <c r="C5222" s="2">
        <v>9173.75</v>
      </c>
      <c r="D5222" s="2">
        <v>9158.9</v>
      </c>
      <c r="E5222" s="2">
        <v>9191.7000000000007</v>
      </c>
      <c r="F5222" s="2">
        <v>9152.1</v>
      </c>
      <c r="G5222" s="3">
        <f t="shared" si="245"/>
        <v>0</v>
      </c>
      <c r="H5222" s="2">
        <f t="shared" si="243"/>
        <v>39.600000000000364</v>
      </c>
      <c r="I5222" s="3">
        <f t="shared" si="244"/>
        <v>4.323663322014692E-3</v>
      </c>
    </row>
    <row r="5223" spans="2:9" x14ac:dyDescent="0.25">
      <c r="B5223" s="1">
        <v>42828</v>
      </c>
      <c r="C5223" s="2">
        <v>9237.85</v>
      </c>
      <c r="D5223" s="2">
        <v>9220.6</v>
      </c>
      <c r="E5223" s="2">
        <v>9245.35</v>
      </c>
      <c r="F5223" s="2">
        <v>9192.4</v>
      </c>
      <c r="G5223" s="3">
        <f t="shared" si="245"/>
        <v>6.9873279738383864E-3</v>
      </c>
      <c r="H5223" s="2">
        <f t="shared" si="243"/>
        <v>52.950000000000728</v>
      </c>
      <c r="I5223" s="3">
        <f t="shared" si="244"/>
        <v>5.7425764050062604E-3</v>
      </c>
    </row>
    <row r="5224" spans="2:9" x14ac:dyDescent="0.25">
      <c r="B5224" s="1">
        <v>42830</v>
      </c>
      <c r="C5224" s="2">
        <v>9265.15</v>
      </c>
      <c r="D5224" s="2">
        <v>9264.4</v>
      </c>
      <c r="E5224" s="2">
        <v>9273.9</v>
      </c>
      <c r="F5224" s="2">
        <v>9215.4</v>
      </c>
      <c r="G5224" s="3">
        <f t="shared" si="245"/>
        <v>2.9552330899504931E-3</v>
      </c>
      <c r="H5224" s="2">
        <f t="shared" si="243"/>
        <v>58.5</v>
      </c>
      <c r="I5224" s="3">
        <f t="shared" si="244"/>
        <v>6.3144941928241442E-3</v>
      </c>
    </row>
    <row r="5225" spans="2:9" x14ac:dyDescent="0.25">
      <c r="B5225" s="1">
        <v>42831</v>
      </c>
      <c r="C5225" s="2">
        <v>9261.9500000000007</v>
      </c>
      <c r="D5225" s="2">
        <v>9245.7999999999993</v>
      </c>
      <c r="E5225" s="2">
        <v>9267.9500000000007</v>
      </c>
      <c r="F5225" s="2">
        <v>9218.85</v>
      </c>
      <c r="G5225" s="3">
        <f t="shared" si="245"/>
        <v>-3.453802690727148E-4</v>
      </c>
      <c r="H5225" s="2">
        <f t="shared" si="243"/>
        <v>49.100000000000364</v>
      </c>
      <c r="I5225" s="3">
        <f t="shared" si="244"/>
        <v>5.3105193709576635E-3</v>
      </c>
    </row>
    <row r="5226" spans="2:9" x14ac:dyDescent="0.25">
      <c r="B5226" s="1">
        <v>42832</v>
      </c>
      <c r="C5226" s="2">
        <v>9198.2999999999993</v>
      </c>
      <c r="D5226" s="2">
        <v>9223.7000000000007</v>
      </c>
      <c r="E5226" s="2">
        <v>9250.5</v>
      </c>
      <c r="F5226" s="2">
        <v>9188.1</v>
      </c>
      <c r="G5226" s="3">
        <f t="shared" si="245"/>
        <v>-6.8722029378264216E-3</v>
      </c>
      <c r="H5226" s="2">
        <f t="shared" si="243"/>
        <v>62.399999999999636</v>
      </c>
      <c r="I5226" s="3">
        <f t="shared" si="244"/>
        <v>6.7651810011166488E-3</v>
      </c>
    </row>
    <row r="5227" spans="2:9" x14ac:dyDescent="0.25">
      <c r="B5227" s="1">
        <v>42835</v>
      </c>
      <c r="C5227" s="2">
        <v>9181.4500000000007</v>
      </c>
      <c r="D5227" s="2">
        <v>9225.6</v>
      </c>
      <c r="E5227" s="2">
        <v>9225.65</v>
      </c>
      <c r="F5227" s="2">
        <v>9174.85</v>
      </c>
      <c r="G5227" s="3">
        <f t="shared" si="245"/>
        <v>-1.8318602350432256E-3</v>
      </c>
      <c r="H5227" s="2">
        <f t="shared" si="243"/>
        <v>50.799999999999272</v>
      </c>
      <c r="I5227" s="3">
        <f t="shared" si="244"/>
        <v>5.5064169268122694E-3</v>
      </c>
    </row>
    <row r="5228" spans="2:9" x14ac:dyDescent="0.25">
      <c r="B5228" s="1">
        <v>42836</v>
      </c>
      <c r="C5228" s="2">
        <v>9237</v>
      </c>
      <c r="D5228" s="2">
        <v>9184.5499999999993</v>
      </c>
      <c r="E5228" s="2">
        <v>9242.7000000000007</v>
      </c>
      <c r="F5228" s="2">
        <v>9172.85</v>
      </c>
      <c r="G5228" s="3">
        <f t="shared" si="245"/>
        <v>6.0502426087380989E-3</v>
      </c>
      <c r="H5228" s="2">
        <f t="shared" si="243"/>
        <v>69.850000000000364</v>
      </c>
      <c r="I5228" s="3">
        <f t="shared" si="244"/>
        <v>7.6051630183297352E-3</v>
      </c>
    </row>
    <row r="5229" spans="2:9" x14ac:dyDescent="0.25">
      <c r="B5229" s="1">
        <v>42837</v>
      </c>
      <c r="C5229" s="2">
        <v>9203.4500000000007</v>
      </c>
      <c r="D5229" s="2">
        <v>9242.5</v>
      </c>
      <c r="E5229" s="2">
        <v>9246.4</v>
      </c>
      <c r="F5229" s="2">
        <v>9161.7999999999993</v>
      </c>
      <c r="G5229" s="3">
        <f t="shared" si="245"/>
        <v>-3.6321316444731799E-3</v>
      </c>
      <c r="H5229" s="2">
        <f t="shared" si="243"/>
        <v>84.600000000000364</v>
      </c>
      <c r="I5229" s="3">
        <f t="shared" si="244"/>
        <v>9.1533675953476192E-3</v>
      </c>
    </row>
    <row r="5230" spans="2:9" x14ac:dyDescent="0.25">
      <c r="B5230" s="1">
        <v>42838</v>
      </c>
      <c r="C5230" s="2">
        <v>9150.7999999999993</v>
      </c>
      <c r="D5230" s="2">
        <v>9202.5</v>
      </c>
      <c r="E5230" s="2">
        <v>9202.65</v>
      </c>
      <c r="F5230" s="2">
        <v>9144.9500000000007</v>
      </c>
      <c r="G5230" s="3">
        <f t="shared" si="245"/>
        <v>-5.7206808316447866E-3</v>
      </c>
      <c r="H5230" s="2">
        <f t="shared" si="243"/>
        <v>57.699999999998909</v>
      </c>
      <c r="I5230" s="3">
        <f t="shared" si="244"/>
        <v>6.2700353164899655E-3</v>
      </c>
    </row>
    <row r="5231" spans="2:9" x14ac:dyDescent="0.25">
      <c r="B5231" s="1">
        <v>42842</v>
      </c>
      <c r="C5231" s="2">
        <v>9139.2999999999993</v>
      </c>
      <c r="D5231" s="2">
        <v>9144.75</v>
      </c>
      <c r="E5231" s="2">
        <v>9160</v>
      </c>
      <c r="F5231" s="2">
        <v>9120.25</v>
      </c>
      <c r="G5231" s="3">
        <f t="shared" si="245"/>
        <v>-1.2567207238711742E-3</v>
      </c>
      <c r="H5231" s="2">
        <f t="shared" si="243"/>
        <v>39.75</v>
      </c>
      <c r="I5231" s="3">
        <f t="shared" si="244"/>
        <v>4.3467563356023951E-3</v>
      </c>
    </row>
    <row r="5232" spans="2:9" x14ac:dyDescent="0.25">
      <c r="B5232" s="1">
        <v>42843</v>
      </c>
      <c r="C5232" s="2">
        <v>9105.15</v>
      </c>
      <c r="D5232" s="2">
        <v>9163</v>
      </c>
      <c r="E5232" s="2">
        <v>9217.9</v>
      </c>
      <c r="F5232" s="2">
        <v>9095.4500000000007</v>
      </c>
      <c r="G5232" s="3">
        <f t="shared" si="245"/>
        <v>-3.7366100248377165E-3</v>
      </c>
      <c r="H5232" s="2">
        <f t="shared" si="243"/>
        <v>122.44999999999891</v>
      </c>
      <c r="I5232" s="3">
        <f t="shared" si="244"/>
        <v>1.3363527229073328E-2</v>
      </c>
    </row>
    <row r="5233" spans="2:9" x14ac:dyDescent="0.25">
      <c r="B5233" s="1">
        <v>42844</v>
      </c>
      <c r="C5233" s="2">
        <v>9103.5</v>
      </c>
      <c r="D5233" s="2">
        <v>9112.2000000000007</v>
      </c>
      <c r="E5233" s="2">
        <v>9120.5</v>
      </c>
      <c r="F5233" s="2">
        <v>9075.15</v>
      </c>
      <c r="G5233" s="3">
        <f t="shared" si="245"/>
        <v>-1.812161249402644E-4</v>
      </c>
      <c r="H5233" s="2">
        <f t="shared" si="243"/>
        <v>45.350000000000364</v>
      </c>
      <c r="I5233" s="3">
        <f t="shared" si="244"/>
        <v>4.9768442308114795E-3</v>
      </c>
    </row>
    <row r="5234" spans="2:9" x14ac:dyDescent="0.25">
      <c r="B5234" s="1">
        <v>42845</v>
      </c>
      <c r="C5234" s="2">
        <v>9136.4</v>
      </c>
      <c r="D5234" s="2">
        <v>9108.1</v>
      </c>
      <c r="E5234" s="2">
        <v>9143.9</v>
      </c>
      <c r="F5234" s="2">
        <v>9102.65</v>
      </c>
      <c r="G5234" s="3">
        <f t="shared" si="245"/>
        <v>3.6139946174547077E-3</v>
      </c>
      <c r="H5234" s="2">
        <f t="shared" si="243"/>
        <v>41.25</v>
      </c>
      <c r="I5234" s="3">
        <f t="shared" si="244"/>
        <v>4.5289357824354146E-3</v>
      </c>
    </row>
    <row r="5235" spans="2:9" x14ac:dyDescent="0.25">
      <c r="B5235" s="1">
        <v>42846</v>
      </c>
      <c r="C5235" s="2">
        <v>9119.4</v>
      </c>
      <c r="D5235" s="2">
        <v>9179.1</v>
      </c>
      <c r="E5235" s="2">
        <v>9183.65</v>
      </c>
      <c r="F5235" s="2">
        <v>9088.75</v>
      </c>
      <c r="G5235" s="3">
        <f t="shared" si="245"/>
        <v>-1.8606891116851321E-3</v>
      </c>
      <c r="H5235" s="2">
        <f t="shared" si="243"/>
        <v>94.899999999999636</v>
      </c>
      <c r="I5235" s="3">
        <f t="shared" si="244"/>
        <v>1.0338704230262187E-2</v>
      </c>
    </row>
    <row r="5236" spans="2:9" x14ac:dyDescent="0.25">
      <c r="B5236" s="1">
        <v>42849</v>
      </c>
      <c r="C5236" s="2">
        <v>9217.9500000000007</v>
      </c>
      <c r="D5236" s="2">
        <v>9135.35</v>
      </c>
      <c r="E5236" s="2">
        <v>9225.4</v>
      </c>
      <c r="F5236" s="2">
        <v>9130.5499999999993</v>
      </c>
      <c r="G5236" s="3">
        <f t="shared" si="245"/>
        <v>1.0806632015264217E-2</v>
      </c>
      <c r="H5236" s="2">
        <f t="shared" si="243"/>
        <v>94.850000000000364</v>
      </c>
      <c r="I5236" s="3">
        <f t="shared" si="244"/>
        <v>1.0382743956170301E-2</v>
      </c>
    </row>
    <row r="5237" spans="2:9" x14ac:dyDescent="0.25">
      <c r="B5237" s="1">
        <v>42850</v>
      </c>
      <c r="C5237" s="2">
        <v>9306.6</v>
      </c>
      <c r="D5237" s="2">
        <v>9273.0499999999993</v>
      </c>
      <c r="E5237" s="2">
        <v>9309.2000000000007</v>
      </c>
      <c r="F5237" s="2">
        <v>9250.35</v>
      </c>
      <c r="G5237" s="3">
        <f t="shared" si="245"/>
        <v>9.6171057556180273E-3</v>
      </c>
      <c r="H5237" s="2">
        <f t="shared" si="243"/>
        <v>58.850000000000364</v>
      </c>
      <c r="I5237" s="3">
        <f t="shared" si="244"/>
        <v>6.3463477496616934E-3</v>
      </c>
    </row>
    <row r="5238" spans="2:9" x14ac:dyDescent="0.25">
      <c r="B5238" s="1">
        <v>42851</v>
      </c>
      <c r="C5238" s="2">
        <v>9351.85</v>
      </c>
      <c r="D5238" s="2">
        <v>9336.2000000000007</v>
      </c>
      <c r="E5238" s="2">
        <v>9367</v>
      </c>
      <c r="F5238" s="2">
        <v>9301.35</v>
      </c>
      <c r="G5238" s="3">
        <f t="shared" si="245"/>
        <v>4.8621408462812266E-3</v>
      </c>
      <c r="H5238" s="2">
        <f t="shared" si="243"/>
        <v>65.649999999999636</v>
      </c>
      <c r="I5238" s="3">
        <f t="shared" si="244"/>
        <v>7.0317688138642736E-3</v>
      </c>
    </row>
    <row r="5239" spans="2:9" x14ac:dyDescent="0.25">
      <c r="B5239" s="1">
        <v>42852</v>
      </c>
      <c r="C5239" s="2">
        <v>9342.15</v>
      </c>
      <c r="D5239" s="2">
        <v>9359.15</v>
      </c>
      <c r="E5239" s="2">
        <v>9367.15</v>
      </c>
      <c r="F5239" s="2">
        <v>9322.65</v>
      </c>
      <c r="G5239" s="3">
        <f t="shared" si="245"/>
        <v>-1.0372279281640751E-3</v>
      </c>
      <c r="H5239" s="2">
        <f t="shared" si="243"/>
        <v>44.5</v>
      </c>
      <c r="I5239" s="3">
        <f t="shared" si="244"/>
        <v>4.7547052884076013E-3</v>
      </c>
    </row>
    <row r="5240" spans="2:9" x14ac:dyDescent="0.25">
      <c r="B5240" s="1">
        <v>42853</v>
      </c>
      <c r="C5240" s="2">
        <v>9304.0499999999993</v>
      </c>
      <c r="D5240" s="2">
        <v>9340.9500000000007</v>
      </c>
      <c r="E5240" s="2">
        <v>9342.65</v>
      </c>
      <c r="F5240" s="2">
        <v>9282.25</v>
      </c>
      <c r="G5240" s="3">
        <f t="shared" si="245"/>
        <v>-4.0782903293139494E-3</v>
      </c>
      <c r="H5240" s="2">
        <f t="shared" si="243"/>
        <v>60.399999999999636</v>
      </c>
      <c r="I5240" s="3">
        <f t="shared" si="244"/>
        <v>6.4661517297490761E-3</v>
      </c>
    </row>
    <row r="5241" spans="2:9" x14ac:dyDescent="0.25">
      <c r="B5241" s="1">
        <v>42857</v>
      </c>
      <c r="C5241" s="2">
        <v>9313.7999999999993</v>
      </c>
      <c r="D5241" s="2">
        <v>9339.85</v>
      </c>
      <c r="E5241" s="2">
        <v>9352.5499999999993</v>
      </c>
      <c r="F5241" s="2">
        <v>9269.9</v>
      </c>
      <c r="G5241" s="3">
        <f t="shared" si="245"/>
        <v>1.0479307398389981E-3</v>
      </c>
      <c r="H5241" s="2">
        <f t="shared" si="243"/>
        <v>82.649999999999636</v>
      </c>
      <c r="I5241" s="3">
        <f t="shared" si="244"/>
        <v>8.8491785199976049E-3</v>
      </c>
    </row>
    <row r="5242" spans="2:9" x14ac:dyDescent="0.25">
      <c r="B5242" s="1">
        <v>42858</v>
      </c>
      <c r="C5242" s="2">
        <v>9311.9500000000007</v>
      </c>
      <c r="D5242" s="2">
        <v>9344.7000000000007</v>
      </c>
      <c r="E5242" s="2">
        <v>9346.2999999999993</v>
      </c>
      <c r="F5242" s="2">
        <v>9298.4</v>
      </c>
      <c r="G5242" s="3">
        <f t="shared" si="245"/>
        <v>-1.9862998990727299E-4</v>
      </c>
      <c r="H5242" s="2">
        <f t="shared" si="243"/>
        <v>47.899999999999636</v>
      </c>
      <c r="I5242" s="3">
        <f t="shared" si="244"/>
        <v>5.1259002429184068E-3</v>
      </c>
    </row>
    <row r="5243" spans="2:9" x14ac:dyDescent="0.25">
      <c r="B5243" s="1">
        <v>42859</v>
      </c>
      <c r="C5243" s="2">
        <v>9359.9</v>
      </c>
      <c r="D5243" s="2">
        <v>9360.9500000000007</v>
      </c>
      <c r="E5243" s="2">
        <v>9365.65</v>
      </c>
      <c r="F5243" s="2">
        <v>9323.25</v>
      </c>
      <c r="G5243" s="3">
        <f t="shared" si="245"/>
        <v>5.1492974081690512E-3</v>
      </c>
      <c r="H5243" s="2">
        <f t="shared" si="243"/>
        <v>42.399999999999636</v>
      </c>
      <c r="I5243" s="3">
        <f t="shared" si="244"/>
        <v>4.5294548096079601E-3</v>
      </c>
    </row>
    <row r="5244" spans="2:9" x14ac:dyDescent="0.25">
      <c r="B5244" s="1">
        <v>42860</v>
      </c>
      <c r="C5244" s="2">
        <v>9285.2999999999993</v>
      </c>
      <c r="D5244" s="2">
        <v>9374.5499999999993</v>
      </c>
      <c r="E5244" s="2">
        <v>9377.1</v>
      </c>
      <c r="F5244" s="2">
        <v>9272</v>
      </c>
      <c r="G5244" s="3">
        <f t="shared" si="245"/>
        <v>-7.9701706214810875E-3</v>
      </c>
      <c r="H5244" s="2">
        <f t="shared" si="243"/>
        <v>105.10000000000036</v>
      </c>
      <c r="I5244" s="3">
        <f t="shared" si="244"/>
        <v>1.1211204804497322E-2</v>
      </c>
    </row>
    <row r="5245" spans="2:9" x14ac:dyDescent="0.25">
      <c r="B5245" s="1">
        <v>42863</v>
      </c>
      <c r="C5245" s="2">
        <v>9314.0499999999993</v>
      </c>
      <c r="D5245" s="2">
        <v>9311.4500000000007</v>
      </c>
      <c r="E5245" s="2">
        <v>9338.7000000000007</v>
      </c>
      <c r="F5245" s="2">
        <v>9297.9500000000007</v>
      </c>
      <c r="G5245" s="3">
        <f t="shared" si="245"/>
        <v>3.0962919884118811E-3</v>
      </c>
      <c r="H5245" s="2">
        <f t="shared" si="243"/>
        <v>40.75</v>
      </c>
      <c r="I5245" s="3">
        <f t="shared" si="244"/>
        <v>4.3763323649914886E-3</v>
      </c>
    </row>
    <row r="5246" spans="2:9" x14ac:dyDescent="0.25">
      <c r="B5246" s="1">
        <v>42864</v>
      </c>
      <c r="C5246" s="2">
        <v>9316.85</v>
      </c>
      <c r="D5246" s="2">
        <v>9337.35</v>
      </c>
      <c r="E5246" s="2">
        <v>9338.9500000000007</v>
      </c>
      <c r="F5246" s="2">
        <v>9307.7000000000007</v>
      </c>
      <c r="G5246" s="3">
        <f t="shared" si="245"/>
        <v>3.0062110467521386E-4</v>
      </c>
      <c r="H5246" s="2">
        <f t="shared" si="243"/>
        <v>31.25</v>
      </c>
      <c r="I5246" s="3">
        <f t="shared" si="244"/>
        <v>3.346773977627485E-3</v>
      </c>
    </row>
    <row r="5247" spans="2:9" x14ac:dyDescent="0.25">
      <c r="B5247" s="1">
        <v>42865</v>
      </c>
      <c r="C5247" s="2">
        <v>9407.2999999999993</v>
      </c>
      <c r="D5247" s="2">
        <v>9339.65</v>
      </c>
      <c r="E5247" s="2">
        <v>9414.75</v>
      </c>
      <c r="F5247" s="2">
        <v>9336</v>
      </c>
      <c r="G5247" s="3">
        <f t="shared" si="245"/>
        <v>9.708216832942318E-3</v>
      </c>
      <c r="H5247" s="2">
        <f t="shared" si="243"/>
        <v>78.75</v>
      </c>
      <c r="I5247" s="3">
        <f t="shared" si="244"/>
        <v>8.4317934826251516E-3</v>
      </c>
    </row>
    <row r="5248" spans="2:9" x14ac:dyDescent="0.25">
      <c r="B5248" s="1">
        <v>42866</v>
      </c>
      <c r="C5248" s="2">
        <v>9422.4</v>
      </c>
      <c r="D5248" s="2">
        <v>9448.6</v>
      </c>
      <c r="E5248" s="2">
        <v>9450.65</v>
      </c>
      <c r="F5248" s="2">
        <v>9411.2999999999993</v>
      </c>
      <c r="G5248" s="3">
        <f t="shared" si="245"/>
        <v>1.6051364365972098E-3</v>
      </c>
      <c r="H5248" s="2">
        <f t="shared" si="243"/>
        <v>39.350000000000364</v>
      </c>
      <c r="I5248" s="3">
        <f t="shared" si="244"/>
        <v>4.1646381474504546E-3</v>
      </c>
    </row>
    <row r="5249" spans="2:9" x14ac:dyDescent="0.25">
      <c r="B5249" s="1">
        <v>42867</v>
      </c>
      <c r="C5249" s="2">
        <v>9400.9</v>
      </c>
      <c r="D5249" s="2">
        <v>9436.65</v>
      </c>
      <c r="E5249" s="2">
        <v>9437.75</v>
      </c>
      <c r="F5249" s="2">
        <v>9372.5499999999993</v>
      </c>
      <c r="G5249" s="3">
        <f t="shared" si="245"/>
        <v>-2.2817965698760379E-3</v>
      </c>
      <c r="H5249" s="2">
        <f t="shared" si="243"/>
        <v>65.200000000000728</v>
      </c>
      <c r="I5249" s="3">
        <f t="shared" si="244"/>
        <v>6.9092315599286538E-3</v>
      </c>
    </row>
    <row r="5250" spans="2:9" x14ac:dyDescent="0.25">
      <c r="B5250" s="1">
        <v>42870</v>
      </c>
      <c r="C5250" s="2">
        <v>9445.4</v>
      </c>
      <c r="D5250" s="2">
        <v>9433.5499999999993</v>
      </c>
      <c r="E5250" s="2">
        <v>9449.25</v>
      </c>
      <c r="F5250" s="2">
        <v>9423.1</v>
      </c>
      <c r="G5250" s="3">
        <f t="shared" si="245"/>
        <v>4.7335893371911464E-3</v>
      </c>
      <c r="H5250" s="2">
        <f t="shared" si="243"/>
        <v>26.149999999999636</v>
      </c>
      <c r="I5250" s="3">
        <f t="shared" si="244"/>
        <v>2.7720211373236628E-3</v>
      </c>
    </row>
    <row r="5251" spans="2:9" x14ac:dyDescent="0.25">
      <c r="B5251" s="1">
        <v>42871</v>
      </c>
      <c r="C5251" s="2">
        <v>9512.25</v>
      </c>
      <c r="D5251" s="2">
        <v>9461</v>
      </c>
      <c r="E5251" s="2">
        <v>9517.2000000000007</v>
      </c>
      <c r="F5251" s="2">
        <v>9456.35</v>
      </c>
      <c r="G5251" s="3">
        <f t="shared" si="245"/>
        <v>7.0775192157028766E-3</v>
      </c>
      <c r="H5251" s="2">
        <f t="shared" si="243"/>
        <v>60.850000000000364</v>
      </c>
      <c r="I5251" s="3">
        <f t="shared" si="244"/>
        <v>6.4316668428284918E-3</v>
      </c>
    </row>
    <row r="5252" spans="2:9" x14ac:dyDescent="0.25">
      <c r="B5252" s="1">
        <v>42872</v>
      </c>
      <c r="C5252" s="2">
        <v>9525.75</v>
      </c>
      <c r="D5252" s="2">
        <v>9517.6</v>
      </c>
      <c r="E5252" s="2">
        <v>9532.6</v>
      </c>
      <c r="F5252" s="2">
        <v>9486.1</v>
      </c>
      <c r="G5252" s="3">
        <f t="shared" si="245"/>
        <v>1.4192225814082526E-3</v>
      </c>
      <c r="H5252" s="2">
        <f t="shared" si="243"/>
        <v>46.5</v>
      </c>
      <c r="I5252" s="3">
        <f t="shared" si="244"/>
        <v>4.8856854669244347E-3</v>
      </c>
    </row>
    <row r="5253" spans="2:9" x14ac:dyDescent="0.25">
      <c r="B5253" s="1">
        <v>42873</v>
      </c>
      <c r="C5253" s="2">
        <v>9429.4500000000007</v>
      </c>
      <c r="D5253" s="2">
        <v>9453.2000000000007</v>
      </c>
      <c r="E5253" s="2">
        <v>9489.1</v>
      </c>
      <c r="F5253" s="2">
        <v>9418.1</v>
      </c>
      <c r="G5253" s="3">
        <f t="shared" si="245"/>
        <v>-1.0109440201558906E-2</v>
      </c>
      <c r="H5253" s="2">
        <f t="shared" ref="H5253:H5316" si="246">E5253-F5253</f>
        <v>71</v>
      </c>
      <c r="I5253" s="3">
        <f t="shared" si="244"/>
        <v>7.5106842127533524E-3</v>
      </c>
    </row>
    <row r="5254" spans="2:9" x14ac:dyDescent="0.25">
      <c r="B5254" s="1">
        <v>42874</v>
      </c>
      <c r="C5254" s="2">
        <v>9427.9</v>
      </c>
      <c r="D5254" s="2">
        <v>9469.9</v>
      </c>
      <c r="E5254" s="2">
        <v>9505.75</v>
      </c>
      <c r="F5254" s="2">
        <v>9390.75</v>
      </c>
      <c r="G5254" s="3">
        <f t="shared" si="245"/>
        <v>-1.643786222951249E-4</v>
      </c>
      <c r="H5254" s="2">
        <f t="shared" si="246"/>
        <v>115</v>
      </c>
      <c r="I5254" s="3">
        <f t="shared" ref="I5254:I5317" si="247">H5254/D5254</f>
        <v>1.2143739638222156E-2</v>
      </c>
    </row>
    <row r="5255" spans="2:9" x14ac:dyDescent="0.25">
      <c r="B5255" s="1">
        <v>42877</v>
      </c>
      <c r="C5255" s="2">
        <v>9438.25</v>
      </c>
      <c r="D5255" s="2">
        <v>9480.25</v>
      </c>
      <c r="E5255" s="2">
        <v>9498.65</v>
      </c>
      <c r="F5255" s="2">
        <v>9427.9</v>
      </c>
      <c r="G5255" s="3">
        <f t="shared" ref="G5255:G5318" si="248">C5255/C5254-1</f>
        <v>1.0978054497821077E-3</v>
      </c>
      <c r="H5255" s="2">
        <f t="shared" si="246"/>
        <v>70.75</v>
      </c>
      <c r="I5255" s="3">
        <f t="shared" si="247"/>
        <v>7.4628833627805174E-3</v>
      </c>
    </row>
    <row r="5256" spans="2:9" x14ac:dyDescent="0.25">
      <c r="B5256" s="1">
        <v>42878</v>
      </c>
      <c r="C5256" s="2">
        <v>9386.15</v>
      </c>
      <c r="D5256" s="2">
        <v>9445.0499999999993</v>
      </c>
      <c r="E5256" s="2">
        <v>9448.0499999999993</v>
      </c>
      <c r="F5256" s="2">
        <v>9370</v>
      </c>
      <c r="G5256" s="3">
        <f t="shared" si="248"/>
        <v>-5.5200911185866453E-3</v>
      </c>
      <c r="H5256" s="2">
        <f t="shared" si="246"/>
        <v>78.049999999999272</v>
      </c>
      <c r="I5256" s="3">
        <f t="shared" si="247"/>
        <v>8.2635878052524109E-3</v>
      </c>
    </row>
    <row r="5257" spans="2:9" x14ac:dyDescent="0.25">
      <c r="B5257" s="1">
        <v>42879</v>
      </c>
      <c r="C5257" s="2">
        <v>9360.5499999999993</v>
      </c>
      <c r="D5257" s="2">
        <v>9410.9</v>
      </c>
      <c r="E5257" s="2">
        <v>9431.9</v>
      </c>
      <c r="F5257" s="2">
        <v>9341.65</v>
      </c>
      <c r="G5257" s="3">
        <f t="shared" si="248"/>
        <v>-2.7274228517549792E-3</v>
      </c>
      <c r="H5257" s="2">
        <f t="shared" si="246"/>
        <v>90.25</v>
      </c>
      <c r="I5257" s="3">
        <f t="shared" si="247"/>
        <v>9.5899435760660508E-3</v>
      </c>
    </row>
    <row r="5258" spans="2:9" x14ac:dyDescent="0.25">
      <c r="B5258" s="1">
        <v>42880</v>
      </c>
      <c r="C5258" s="2">
        <v>9509.75</v>
      </c>
      <c r="D5258" s="2">
        <v>9384.0499999999993</v>
      </c>
      <c r="E5258" s="2">
        <v>9523.2999999999993</v>
      </c>
      <c r="F5258" s="2">
        <v>9379.2000000000007</v>
      </c>
      <c r="G5258" s="3">
        <f t="shared" si="248"/>
        <v>1.5939234339862551E-2</v>
      </c>
      <c r="H5258" s="2">
        <f t="shared" si="246"/>
        <v>144.09999999999854</v>
      </c>
      <c r="I5258" s="3">
        <f t="shared" si="247"/>
        <v>1.5355843159403302E-2</v>
      </c>
    </row>
    <row r="5259" spans="2:9" x14ac:dyDescent="0.25">
      <c r="B5259" s="1">
        <v>42881</v>
      </c>
      <c r="C5259" s="2">
        <v>9595.1</v>
      </c>
      <c r="D5259" s="2">
        <v>9507.75</v>
      </c>
      <c r="E5259" s="2">
        <v>9604.9</v>
      </c>
      <c r="F5259" s="2">
        <v>9495.4</v>
      </c>
      <c r="G5259" s="3">
        <f t="shared" si="248"/>
        <v>8.9749993427798991E-3</v>
      </c>
      <c r="H5259" s="2">
        <f t="shared" si="246"/>
        <v>109.5</v>
      </c>
      <c r="I5259" s="3">
        <f t="shared" si="247"/>
        <v>1.1516920407036365E-2</v>
      </c>
    </row>
    <row r="5260" spans="2:9" x14ac:dyDescent="0.25">
      <c r="B5260" s="1">
        <v>42884</v>
      </c>
      <c r="C5260" s="2">
        <v>9604.9</v>
      </c>
      <c r="D5260" s="2">
        <v>9560.0499999999993</v>
      </c>
      <c r="E5260" s="2">
        <v>9637.75</v>
      </c>
      <c r="F5260" s="2">
        <v>9547.7000000000007</v>
      </c>
      <c r="G5260" s="3">
        <f t="shared" si="248"/>
        <v>1.0213546497690462E-3</v>
      </c>
      <c r="H5260" s="2">
        <f t="shared" si="246"/>
        <v>90.049999999999272</v>
      </c>
      <c r="I5260" s="3">
        <f t="shared" si="247"/>
        <v>9.4194068022656029E-3</v>
      </c>
    </row>
    <row r="5261" spans="2:9" x14ac:dyDescent="0.25">
      <c r="B5261" s="1">
        <v>42885</v>
      </c>
      <c r="C5261" s="2">
        <v>9624.5499999999993</v>
      </c>
      <c r="D5261" s="2">
        <v>9590.65</v>
      </c>
      <c r="E5261" s="2">
        <v>9635.2999999999993</v>
      </c>
      <c r="F5261" s="2">
        <v>9581.2000000000007</v>
      </c>
      <c r="G5261" s="3">
        <f t="shared" si="248"/>
        <v>2.0458307738757675E-3</v>
      </c>
      <c r="H5261" s="2">
        <f t="shared" si="246"/>
        <v>54.099999999998545</v>
      </c>
      <c r="I5261" s="3">
        <f t="shared" si="247"/>
        <v>5.6409106786295552E-3</v>
      </c>
    </row>
    <row r="5262" spans="2:9" x14ac:dyDescent="0.25">
      <c r="B5262" s="1">
        <v>42886</v>
      </c>
      <c r="C5262" s="2">
        <v>9621.25</v>
      </c>
      <c r="D5262" s="2">
        <v>9636.5499999999993</v>
      </c>
      <c r="E5262" s="2">
        <v>9649.6</v>
      </c>
      <c r="F5262" s="2">
        <v>9609.25</v>
      </c>
      <c r="G5262" s="3">
        <f t="shared" si="248"/>
        <v>-3.428731732911805E-4</v>
      </c>
      <c r="H5262" s="2">
        <f t="shared" si="246"/>
        <v>40.350000000000364</v>
      </c>
      <c r="I5262" s="3">
        <f t="shared" si="247"/>
        <v>4.1871831724009491E-3</v>
      </c>
    </row>
    <row r="5263" spans="2:9" x14ac:dyDescent="0.25">
      <c r="B5263" s="1">
        <v>42887</v>
      </c>
      <c r="C5263" s="2">
        <v>9616.1</v>
      </c>
      <c r="D5263" s="2">
        <v>9603.5499999999993</v>
      </c>
      <c r="E5263" s="2">
        <v>9634.65</v>
      </c>
      <c r="F5263" s="2">
        <v>9589.9</v>
      </c>
      <c r="G5263" s="3">
        <f t="shared" si="248"/>
        <v>-5.3527348317528034E-4</v>
      </c>
      <c r="H5263" s="2">
        <f t="shared" si="246"/>
        <v>44.75</v>
      </c>
      <c r="I5263" s="3">
        <f t="shared" si="247"/>
        <v>4.6597352020867283E-3</v>
      </c>
    </row>
    <row r="5264" spans="2:9" x14ac:dyDescent="0.25">
      <c r="B5264" s="1">
        <v>42888</v>
      </c>
      <c r="C5264" s="2">
        <v>9653.5</v>
      </c>
      <c r="D5264" s="2">
        <v>9657.15</v>
      </c>
      <c r="E5264" s="2">
        <v>9673.5</v>
      </c>
      <c r="F5264" s="2">
        <v>9637.4500000000007</v>
      </c>
      <c r="G5264" s="3">
        <f t="shared" si="248"/>
        <v>3.8893106352886342E-3</v>
      </c>
      <c r="H5264" s="2">
        <f t="shared" si="246"/>
        <v>36.049999999999272</v>
      </c>
      <c r="I5264" s="3">
        <f t="shared" si="247"/>
        <v>3.7329854045965189E-3</v>
      </c>
    </row>
    <row r="5265" spans="2:9" x14ac:dyDescent="0.25">
      <c r="B5265" s="1">
        <v>42891</v>
      </c>
      <c r="C5265" s="2">
        <v>9675.1</v>
      </c>
      <c r="D5265" s="2">
        <v>9656.2999999999993</v>
      </c>
      <c r="E5265" s="2">
        <v>9687.2000000000007</v>
      </c>
      <c r="F5265" s="2">
        <v>9640.7000000000007</v>
      </c>
      <c r="G5265" s="3">
        <f t="shared" si="248"/>
        <v>2.2375304293780207E-3</v>
      </c>
      <c r="H5265" s="2">
        <f t="shared" si="246"/>
        <v>46.5</v>
      </c>
      <c r="I5265" s="3">
        <f t="shared" si="247"/>
        <v>4.815509045907853E-3</v>
      </c>
    </row>
    <row r="5266" spans="2:9" x14ac:dyDescent="0.25">
      <c r="B5266" s="1">
        <v>42892</v>
      </c>
      <c r="C5266" s="2">
        <v>9637.15</v>
      </c>
      <c r="D5266" s="2">
        <v>9704.25</v>
      </c>
      <c r="E5266" s="2">
        <v>9709.2999999999993</v>
      </c>
      <c r="F5266" s="2">
        <v>9630.2000000000007</v>
      </c>
      <c r="G5266" s="3">
        <f t="shared" si="248"/>
        <v>-3.9224400781388002E-3</v>
      </c>
      <c r="H5266" s="2">
        <f t="shared" si="246"/>
        <v>79.099999999998545</v>
      </c>
      <c r="I5266" s="3">
        <f t="shared" si="247"/>
        <v>8.1510678311047784E-3</v>
      </c>
    </row>
    <row r="5267" spans="2:9" x14ac:dyDescent="0.25">
      <c r="B5267" s="1">
        <v>42893</v>
      </c>
      <c r="C5267" s="2">
        <v>9663.9</v>
      </c>
      <c r="D5267" s="2">
        <v>9663.9500000000007</v>
      </c>
      <c r="E5267" s="2">
        <v>9678.5499999999993</v>
      </c>
      <c r="F5267" s="2">
        <v>9630.5499999999993</v>
      </c>
      <c r="G5267" s="3">
        <f t="shared" si="248"/>
        <v>2.7757168872539761E-3</v>
      </c>
      <c r="H5267" s="2">
        <f t="shared" si="246"/>
        <v>48</v>
      </c>
      <c r="I5267" s="3">
        <f t="shared" si="247"/>
        <v>4.9669131152375581E-3</v>
      </c>
    </row>
    <row r="5268" spans="2:9" x14ac:dyDescent="0.25">
      <c r="B5268" s="1">
        <v>42894</v>
      </c>
      <c r="C5268" s="2">
        <v>9647.25</v>
      </c>
      <c r="D5268" s="2">
        <v>9682.4</v>
      </c>
      <c r="E5268" s="2">
        <v>9688.7000000000007</v>
      </c>
      <c r="F5268" s="2">
        <v>9641.5</v>
      </c>
      <c r="G5268" s="3">
        <f t="shared" si="248"/>
        <v>-1.7229069009405684E-3</v>
      </c>
      <c r="H5268" s="2">
        <f t="shared" si="246"/>
        <v>47.200000000000728</v>
      </c>
      <c r="I5268" s="3">
        <f t="shared" si="247"/>
        <v>4.8748244236966791E-3</v>
      </c>
    </row>
    <row r="5269" spans="2:9" x14ac:dyDescent="0.25">
      <c r="B5269" s="1">
        <v>42895</v>
      </c>
      <c r="C5269" s="2">
        <v>9668.25</v>
      </c>
      <c r="D5269" s="2">
        <v>9638.5499999999993</v>
      </c>
      <c r="E5269" s="2">
        <v>9676.25</v>
      </c>
      <c r="F5269" s="2">
        <v>9608.15</v>
      </c>
      <c r="G5269" s="3">
        <f t="shared" si="248"/>
        <v>2.1767861307626646E-3</v>
      </c>
      <c r="H5269" s="2">
        <f t="shared" si="246"/>
        <v>68.100000000000364</v>
      </c>
      <c r="I5269" s="3">
        <f t="shared" si="247"/>
        <v>7.0653780911029531E-3</v>
      </c>
    </row>
    <row r="5270" spans="2:9" x14ac:dyDescent="0.25">
      <c r="B5270" s="1">
        <v>42898</v>
      </c>
      <c r="C5270" s="2">
        <v>9616.4</v>
      </c>
      <c r="D5270" s="2">
        <v>9646.7000000000007</v>
      </c>
      <c r="E5270" s="2">
        <v>9647.0499999999993</v>
      </c>
      <c r="F5270" s="2">
        <v>9598.5</v>
      </c>
      <c r="G5270" s="3">
        <f t="shared" si="248"/>
        <v>-5.3629146950069373E-3</v>
      </c>
      <c r="H5270" s="2">
        <f t="shared" si="246"/>
        <v>48.549999999999272</v>
      </c>
      <c r="I5270" s="3">
        <f t="shared" si="247"/>
        <v>5.0328091471694225E-3</v>
      </c>
    </row>
    <row r="5271" spans="2:9" x14ac:dyDescent="0.25">
      <c r="B5271" s="1">
        <v>42899</v>
      </c>
      <c r="C5271" s="2">
        <v>9606.9</v>
      </c>
      <c r="D5271" s="2">
        <v>9615.5499999999993</v>
      </c>
      <c r="E5271" s="2">
        <v>9654.15</v>
      </c>
      <c r="F5271" s="2">
        <v>9595.4</v>
      </c>
      <c r="G5271" s="3">
        <f t="shared" si="248"/>
        <v>-9.8789567821633284E-4</v>
      </c>
      <c r="H5271" s="2">
        <f t="shared" si="246"/>
        <v>58.75</v>
      </c>
      <c r="I5271" s="3">
        <f t="shared" si="247"/>
        <v>6.1098949098075516E-3</v>
      </c>
    </row>
    <row r="5272" spans="2:9" x14ac:dyDescent="0.25">
      <c r="B5272" s="1">
        <v>42900</v>
      </c>
      <c r="C5272" s="2">
        <v>9618.15</v>
      </c>
      <c r="D5272" s="2">
        <v>9621.5499999999993</v>
      </c>
      <c r="E5272" s="2">
        <v>9627.4</v>
      </c>
      <c r="F5272" s="2">
        <v>9580.4500000000007</v>
      </c>
      <c r="G5272" s="3">
        <f t="shared" si="248"/>
        <v>1.1710333198013956E-3</v>
      </c>
      <c r="H5272" s="2">
        <f t="shared" si="246"/>
        <v>46.949999999998909</v>
      </c>
      <c r="I5272" s="3">
        <f t="shared" si="247"/>
        <v>4.8796711548553936E-3</v>
      </c>
    </row>
    <row r="5273" spans="2:9" x14ac:dyDescent="0.25">
      <c r="B5273" s="1">
        <v>42901</v>
      </c>
      <c r="C5273" s="2">
        <v>9578.0499999999993</v>
      </c>
      <c r="D5273" s="2">
        <v>9617.9</v>
      </c>
      <c r="E5273" s="2">
        <v>9621.4</v>
      </c>
      <c r="F5273" s="2">
        <v>9560.7999999999993</v>
      </c>
      <c r="G5273" s="3">
        <f t="shared" si="248"/>
        <v>-4.1692009378103689E-3</v>
      </c>
      <c r="H5273" s="2">
        <f t="shared" si="246"/>
        <v>60.600000000000364</v>
      </c>
      <c r="I5273" s="3">
        <f t="shared" si="247"/>
        <v>6.3007517233492098E-3</v>
      </c>
    </row>
    <row r="5274" spans="2:9" x14ac:dyDescent="0.25">
      <c r="B5274" s="1">
        <v>42902</v>
      </c>
      <c r="C5274" s="2">
        <v>9588.0499999999993</v>
      </c>
      <c r="D5274" s="2">
        <v>9595.4500000000007</v>
      </c>
      <c r="E5274" s="2">
        <v>9615.85</v>
      </c>
      <c r="F5274" s="2">
        <v>9565.5</v>
      </c>
      <c r="G5274" s="3">
        <f t="shared" si="248"/>
        <v>1.0440538522977771E-3</v>
      </c>
      <c r="H5274" s="2">
        <f t="shared" si="246"/>
        <v>50.350000000000364</v>
      </c>
      <c r="I5274" s="3">
        <f t="shared" si="247"/>
        <v>5.2472786581140391E-3</v>
      </c>
    </row>
    <row r="5275" spans="2:9" x14ac:dyDescent="0.25">
      <c r="B5275" s="1">
        <v>42905</v>
      </c>
      <c r="C5275" s="2">
        <v>9657.5499999999993</v>
      </c>
      <c r="D5275" s="2">
        <v>9626.4</v>
      </c>
      <c r="E5275" s="2">
        <v>9673.2999999999993</v>
      </c>
      <c r="F5275" s="2">
        <v>9614.9</v>
      </c>
      <c r="G5275" s="3">
        <f t="shared" si="248"/>
        <v>7.2486063380978738E-3</v>
      </c>
      <c r="H5275" s="2">
        <f t="shared" si="246"/>
        <v>58.399999999999636</v>
      </c>
      <c r="I5275" s="3">
        <f t="shared" si="247"/>
        <v>6.0666500457075999E-3</v>
      </c>
    </row>
    <row r="5276" spans="2:9" x14ac:dyDescent="0.25">
      <c r="B5276" s="1">
        <v>42906</v>
      </c>
      <c r="C5276" s="2">
        <v>9653.5</v>
      </c>
      <c r="D5276" s="2">
        <v>9670.5</v>
      </c>
      <c r="E5276" s="2">
        <v>9676.5</v>
      </c>
      <c r="F5276" s="2">
        <v>9643.75</v>
      </c>
      <c r="G5276" s="3">
        <f t="shared" si="248"/>
        <v>-4.1936101806350212E-4</v>
      </c>
      <c r="H5276" s="2">
        <f t="shared" si="246"/>
        <v>32.75</v>
      </c>
      <c r="I5276" s="3">
        <f t="shared" si="247"/>
        <v>3.3865880771418231E-3</v>
      </c>
    </row>
    <row r="5277" spans="2:9" x14ac:dyDescent="0.25">
      <c r="B5277" s="1">
        <v>42907</v>
      </c>
      <c r="C5277" s="2">
        <v>9633.6</v>
      </c>
      <c r="D5277" s="2">
        <v>9648.1</v>
      </c>
      <c r="E5277" s="2">
        <v>9650.4500000000007</v>
      </c>
      <c r="F5277" s="2">
        <v>9608.6</v>
      </c>
      <c r="G5277" s="3">
        <f t="shared" si="248"/>
        <v>-2.0614284974361796E-3</v>
      </c>
      <c r="H5277" s="2">
        <f t="shared" si="246"/>
        <v>41.850000000000364</v>
      </c>
      <c r="I5277" s="3">
        <f t="shared" si="247"/>
        <v>4.3376416081923243E-3</v>
      </c>
    </row>
    <row r="5278" spans="2:9" x14ac:dyDescent="0.25">
      <c r="B5278" s="1">
        <v>42908</v>
      </c>
      <c r="C5278" s="2">
        <v>9630</v>
      </c>
      <c r="D5278" s="2">
        <v>9642.65</v>
      </c>
      <c r="E5278" s="2">
        <v>9698.85</v>
      </c>
      <c r="F5278" s="2">
        <v>9617.75</v>
      </c>
      <c r="G5278" s="3">
        <f t="shared" si="248"/>
        <v>-3.7369207772797175E-4</v>
      </c>
      <c r="H5278" s="2">
        <f t="shared" si="246"/>
        <v>81.100000000000364</v>
      </c>
      <c r="I5278" s="3">
        <f t="shared" si="247"/>
        <v>8.4105510414668547E-3</v>
      </c>
    </row>
    <row r="5279" spans="2:9" x14ac:dyDescent="0.25">
      <c r="B5279" s="1">
        <v>42909</v>
      </c>
      <c r="C5279" s="2">
        <v>9574.9500000000007</v>
      </c>
      <c r="D5279" s="2">
        <v>9643.25</v>
      </c>
      <c r="E5279" s="2">
        <v>9647.65</v>
      </c>
      <c r="F5279" s="2">
        <v>9565.2999999999993</v>
      </c>
      <c r="G5279" s="3">
        <f t="shared" si="248"/>
        <v>-5.7165109034267303E-3</v>
      </c>
      <c r="H5279" s="2">
        <f t="shared" si="246"/>
        <v>82.350000000000364</v>
      </c>
      <c r="I5279" s="3">
        <f t="shared" si="247"/>
        <v>8.5396520882482941E-3</v>
      </c>
    </row>
    <row r="5280" spans="2:9" x14ac:dyDescent="0.25">
      <c r="B5280" s="1">
        <v>42913</v>
      </c>
      <c r="C5280" s="2">
        <v>9511.4</v>
      </c>
      <c r="D5280" s="2">
        <v>9594.0499999999993</v>
      </c>
      <c r="E5280" s="2">
        <v>9615.4</v>
      </c>
      <c r="F5280" s="2">
        <v>9473.4500000000007</v>
      </c>
      <c r="G5280" s="3">
        <f t="shared" si="248"/>
        <v>-6.6371103765555661E-3</v>
      </c>
      <c r="H5280" s="2">
        <f t="shared" si="246"/>
        <v>141.94999999999891</v>
      </c>
      <c r="I5280" s="3">
        <f t="shared" si="247"/>
        <v>1.4795628540605784E-2</v>
      </c>
    </row>
    <row r="5281" spans="2:9" x14ac:dyDescent="0.25">
      <c r="B5281" s="1">
        <v>42914</v>
      </c>
      <c r="C5281" s="2">
        <v>9491.25</v>
      </c>
      <c r="D5281" s="2">
        <v>9520.2000000000007</v>
      </c>
      <c r="E5281" s="2">
        <v>9522.5</v>
      </c>
      <c r="F5281" s="2">
        <v>9474.35</v>
      </c>
      <c r="G5281" s="3">
        <f t="shared" si="248"/>
        <v>-2.1185104190760695E-3</v>
      </c>
      <c r="H5281" s="2">
        <f t="shared" si="246"/>
        <v>48.149999999999636</v>
      </c>
      <c r="I5281" s="3">
        <f t="shared" si="247"/>
        <v>5.0576668557382864E-3</v>
      </c>
    </row>
    <row r="5282" spans="2:9" x14ac:dyDescent="0.25">
      <c r="B5282" s="1">
        <v>42915</v>
      </c>
      <c r="C5282" s="2">
        <v>9504.1</v>
      </c>
      <c r="D5282" s="2">
        <v>9522.9500000000007</v>
      </c>
      <c r="E5282" s="2">
        <v>9575.7999999999993</v>
      </c>
      <c r="F5282" s="2">
        <v>9493.7999999999993</v>
      </c>
      <c r="G5282" s="3">
        <f t="shared" si="248"/>
        <v>1.3538785723692381E-3</v>
      </c>
      <c r="H5282" s="2">
        <f t="shared" si="246"/>
        <v>82</v>
      </c>
      <c r="I5282" s="3">
        <f t="shared" si="247"/>
        <v>8.6107771226353168E-3</v>
      </c>
    </row>
    <row r="5283" spans="2:9" x14ac:dyDescent="0.25">
      <c r="B5283" s="1">
        <v>42916</v>
      </c>
      <c r="C5283" s="2">
        <v>9520.9</v>
      </c>
      <c r="D5283" s="2">
        <v>9478.5</v>
      </c>
      <c r="E5283" s="2">
        <v>9535.7999999999993</v>
      </c>
      <c r="F5283" s="2">
        <v>9448.75</v>
      </c>
      <c r="G5283" s="3">
        <f t="shared" si="248"/>
        <v>1.767658168579711E-3</v>
      </c>
      <c r="H5283" s="2">
        <f t="shared" si="246"/>
        <v>87.049999999999272</v>
      </c>
      <c r="I5283" s="3">
        <f t="shared" si="247"/>
        <v>9.1839426069525009E-3</v>
      </c>
    </row>
    <row r="5284" spans="2:9" x14ac:dyDescent="0.25">
      <c r="B5284" s="1">
        <v>42919</v>
      </c>
      <c r="C5284" s="2">
        <v>9615</v>
      </c>
      <c r="D5284" s="2">
        <v>9587.9500000000007</v>
      </c>
      <c r="E5284" s="2">
        <v>9624</v>
      </c>
      <c r="F5284" s="2">
        <v>9543.5499999999993</v>
      </c>
      <c r="G5284" s="3">
        <f t="shared" si="248"/>
        <v>9.8835194151813965E-3</v>
      </c>
      <c r="H5284" s="2">
        <f t="shared" si="246"/>
        <v>80.450000000000728</v>
      </c>
      <c r="I5284" s="3">
        <f t="shared" si="247"/>
        <v>8.3907404606824946E-3</v>
      </c>
    </row>
    <row r="5285" spans="2:9" x14ac:dyDescent="0.25">
      <c r="B5285" s="1">
        <v>42920</v>
      </c>
      <c r="C5285" s="2">
        <v>9613.2999999999993</v>
      </c>
      <c r="D5285" s="2">
        <v>9645.9</v>
      </c>
      <c r="E5285" s="2">
        <v>9650.65</v>
      </c>
      <c r="F5285" s="2">
        <v>9595.5</v>
      </c>
      <c r="G5285" s="3">
        <f t="shared" si="248"/>
        <v>-1.7680707228295844E-4</v>
      </c>
      <c r="H5285" s="2">
        <f t="shared" si="246"/>
        <v>55.149999999999636</v>
      </c>
      <c r="I5285" s="3">
        <f t="shared" si="247"/>
        <v>5.7174550845436548E-3</v>
      </c>
    </row>
    <row r="5286" spans="2:9" x14ac:dyDescent="0.25">
      <c r="B5286" s="1">
        <v>42921</v>
      </c>
      <c r="C5286" s="2">
        <v>9637.6</v>
      </c>
      <c r="D5286" s="2">
        <v>9619.75</v>
      </c>
      <c r="E5286" s="2">
        <v>9643.65</v>
      </c>
      <c r="F5286" s="2">
        <v>9607.35</v>
      </c>
      <c r="G5286" s="3">
        <f t="shared" si="248"/>
        <v>2.5277480157699372E-3</v>
      </c>
      <c r="H5286" s="2">
        <f t="shared" si="246"/>
        <v>36.299999999999272</v>
      </c>
      <c r="I5286" s="3">
        <f t="shared" si="247"/>
        <v>3.7734868369759373E-3</v>
      </c>
    </row>
    <row r="5287" spans="2:9" x14ac:dyDescent="0.25">
      <c r="B5287" s="1">
        <v>42922</v>
      </c>
      <c r="C5287" s="2">
        <v>9674.5499999999993</v>
      </c>
      <c r="D5287" s="2">
        <v>9653.6</v>
      </c>
      <c r="E5287" s="2">
        <v>9700.7000000000007</v>
      </c>
      <c r="F5287" s="2">
        <v>9639.9500000000007</v>
      </c>
      <c r="G5287" s="3">
        <f t="shared" si="248"/>
        <v>3.833942060263773E-3</v>
      </c>
      <c r="H5287" s="2">
        <f t="shared" si="246"/>
        <v>60.75</v>
      </c>
      <c r="I5287" s="3">
        <f t="shared" si="247"/>
        <v>6.2929891439462999E-3</v>
      </c>
    </row>
    <row r="5288" spans="2:9" x14ac:dyDescent="0.25">
      <c r="B5288" s="1">
        <v>42923</v>
      </c>
      <c r="C5288" s="2">
        <v>9665.7999999999993</v>
      </c>
      <c r="D5288" s="2">
        <v>9670.35</v>
      </c>
      <c r="E5288" s="2">
        <v>9684.25</v>
      </c>
      <c r="F5288" s="2">
        <v>9642.65</v>
      </c>
      <c r="G5288" s="3">
        <f t="shared" si="248"/>
        <v>-9.0443483159419191E-4</v>
      </c>
      <c r="H5288" s="2">
        <f t="shared" si="246"/>
        <v>41.600000000000364</v>
      </c>
      <c r="I5288" s="3">
        <f t="shared" si="247"/>
        <v>4.3018091382421896E-3</v>
      </c>
    </row>
    <row r="5289" spans="2:9" x14ac:dyDescent="0.25">
      <c r="B5289" s="1">
        <v>42926</v>
      </c>
      <c r="C5289" s="2">
        <v>9771.0499999999993</v>
      </c>
      <c r="D5289" s="2">
        <v>9719.2999999999993</v>
      </c>
      <c r="E5289" s="2">
        <v>9782.15</v>
      </c>
      <c r="F5289" s="2">
        <v>9646.4500000000007</v>
      </c>
      <c r="G5289" s="3">
        <f t="shared" si="248"/>
        <v>1.0888907281342508E-2</v>
      </c>
      <c r="H5289" s="2">
        <f t="shared" si="246"/>
        <v>135.69999999999891</v>
      </c>
      <c r="I5289" s="3">
        <f t="shared" si="247"/>
        <v>1.3961910837200098E-2</v>
      </c>
    </row>
    <row r="5290" spans="2:9" x14ac:dyDescent="0.25">
      <c r="B5290" s="1">
        <v>42927</v>
      </c>
      <c r="C5290" s="2">
        <v>9786.0499999999993</v>
      </c>
      <c r="D5290" s="2">
        <v>9797.4500000000007</v>
      </c>
      <c r="E5290" s="2">
        <v>9830.0499999999993</v>
      </c>
      <c r="F5290" s="2">
        <v>9778.85</v>
      </c>
      <c r="G5290" s="3">
        <f t="shared" si="248"/>
        <v>1.5351471950302287E-3</v>
      </c>
      <c r="H5290" s="2">
        <f t="shared" si="246"/>
        <v>51.199999999998909</v>
      </c>
      <c r="I5290" s="3">
        <f t="shared" si="247"/>
        <v>5.2258495833098313E-3</v>
      </c>
    </row>
    <row r="5291" spans="2:9" x14ac:dyDescent="0.25">
      <c r="B5291" s="1">
        <v>42928</v>
      </c>
      <c r="C5291" s="2">
        <v>9816.1</v>
      </c>
      <c r="D5291" s="2">
        <v>9807.2999999999993</v>
      </c>
      <c r="E5291" s="2">
        <v>9824.9500000000007</v>
      </c>
      <c r="F5291" s="2">
        <v>9787.7000000000007</v>
      </c>
      <c r="G5291" s="3">
        <f t="shared" si="248"/>
        <v>3.0706975746088716E-3</v>
      </c>
      <c r="H5291" s="2">
        <f t="shared" si="246"/>
        <v>37.25</v>
      </c>
      <c r="I5291" s="3">
        <f t="shared" si="247"/>
        <v>3.798191143332008E-3</v>
      </c>
    </row>
    <row r="5292" spans="2:9" x14ac:dyDescent="0.25">
      <c r="B5292" s="1">
        <v>42929</v>
      </c>
      <c r="C5292" s="2">
        <v>9891.7000000000007</v>
      </c>
      <c r="D5292" s="2">
        <v>9855.7999999999993</v>
      </c>
      <c r="E5292" s="2">
        <v>9897.25</v>
      </c>
      <c r="F5292" s="2">
        <v>9853.4500000000007</v>
      </c>
      <c r="G5292" s="3">
        <f t="shared" si="248"/>
        <v>7.7016330314483294E-3</v>
      </c>
      <c r="H5292" s="2">
        <f t="shared" si="246"/>
        <v>43.799999999999272</v>
      </c>
      <c r="I5292" s="3">
        <f t="shared" si="247"/>
        <v>4.4440836867630507E-3</v>
      </c>
    </row>
    <row r="5293" spans="2:9" x14ac:dyDescent="0.25">
      <c r="B5293" s="1">
        <v>42930</v>
      </c>
      <c r="C5293" s="2">
        <v>9886.35</v>
      </c>
      <c r="D5293" s="2">
        <v>9913.2999999999993</v>
      </c>
      <c r="E5293" s="2">
        <v>9913.2999999999993</v>
      </c>
      <c r="F5293" s="2">
        <v>9845.4500000000007</v>
      </c>
      <c r="G5293" s="3">
        <f t="shared" si="248"/>
        <v>-5.4085748657972665E-4</v>
      </c>
      <c r="H5293" s="2">
        <f t="shared" si="246"/>
        <v>67.849999999998545</v>
      </c>
      <c r="I5293" s="3">
        <f t="shared" si="247"/>
        <v>6.8443404315413183E-3</v>
      </c>
    </row>
    <row r="5294" spans="2:9" x14ac:dyDescent="0.25">
      <c r="B5294" s="1">
        <v>42933</v>
      </c>
      <c r="C5294" s="2">
        <v>9915.9500000000007</v>
      </c>
      <c r="D5294" s="2">
        <v>9908.15</v>
      </c>
      <c r="E5294" s="2">
        <v>9928.2000000000007</v>
      </c>
      <c r="F5294" s="2">
        <v>9894.7000000000007</v>
      </c>
      <c r="G5294" s="3">
        <f t="shared" si="248"/>
        <v>2.9940271181982947E-3</v>
      </c>
      <c r="H5294" s="2">
        <f t="shared" si="246"/>
        <v>33.5</v>
      </c>
      <c r="I5294" s="3">
        <f t="shared" si="247"/>
        <v>3.3810549900839208E-3</v>
      </c>
    </row>
    <row r="5295" spans="2:9" x14ac:dyDescent="0.25">
      <c r="B5295" s="1">
        <v>42934</v>
      </c>
      <c r="C5295" s="2">
        <v>9827.15</v>
      </c>
      <c r="D5295" s="2">
        <v>9832.7000000000007</v>
      </c>
      <c r="E5295" s="2">
        <v>9885.35</v>
      </c>
      <c r="F5295" s="2">
        <v>9792.0499999999993</v>
      </c>
      <c r="G5295" s="3">
        <f t="shared" si="248"/>
        <v>-8.9552690362497689E-3</v>
      </c>
      <c r="H5295" s="2">
        <f t="shared" si="246"/>
        <v>93.300000000001091</v>
      </c>
      <c r="I5295" s="3">
        <f t="shared" si="247"/>
        <v>9.4887467328405306E-3</v>
      </c>
    </row>
    <row r="5296" spans="2:9" x14ac:dyDescent="0.25">
      <c r="B5296" s="1">
        <v>42935</v>
      </c>
      <c r="C5296" s="2">
        <v>9899.6</v>
      </c>
      <c r="D5296" s="2">
        <v>9855.9500000000007</v>
      </c>
      <c r="E5296" s="2">
        <v>9905.0499999999993</v>
      </c>
      <c r="F5296" s="2">
        <v>9851.65</v>
      </c>
      <c r="G5296" s="3">
        <f t="shared" si="248"/>
        <v>7.372432495688086E-3</v>
      </c>
      <c r="H5296" s="2">
        <f t="shared" si="246"/>
        <v>53.399999999999636</v>
      </c>
      <c r="I5296" s="3">
        <f t="shared" si="247"/>
        <v>5.4180469665531614E-3</v>
      </c>
    </row>
    <row r="5297" spans="2:9" x14ac:dyDescent="0.25">
      <c r="B5297" s="1">
        <v>42936</v>
      </c>
      <c r="C5297" s="2">
        <v>9873.2999999999993</v>
      </c>
      <c r="D5297" s="2">
        <v>9920.2000000000007</v>
      </c>
      <c r="E5297" s="2">
        <v>9922.5499999999993</v>
      </c>
      <c r="F5297" s="2">
        <v>9863.4500000000007</v>
      </c>
      <c r="G5297" s="3">
        <f t="shared" si="248"/>
        <v>-2.6566729968888758E-3</v>
      </c>
      <c r="H5297" s="2">
        <f t="shared" si="246"/>
        <v>59.099999999998545</v>
      </c>
      <c r="I5297" s="3">
        <f t="shared" si="247"/>
        <v>5.9575411786051231E-3</v>
      </c>
    </row>
    <row r="5298" spans="2:9" x14ac:dyDescent="0.25">
      <c r="B5298" s="1">
        <v>42937</v>
      </c>
      <c r="C5298" s="2">
        <v>9915.25</v>
      </c>
      <c r="D5298" s="2">
        <v>9899.6</v>
      </c>
      <c r="E5298" s="2">
        <v>9924.7000000000007</v>
      </c>
      <c r="F5298" s="2">
        <v>9838</v>
      </c>
      <c r="G5298" s="3">
        <f t="shared" si="248"/>
        <v>4.2488327104412971E-3</v>
      </c>
      <c r="H5298" s="2">
        <f t="shared" si="246"/>
        <v>86.700000000000728</v>
      </c>
      <c r="I5298" s="3">
        <f t="shared" si="247"/>
        <v>8.7579296133177831E-3</v>
      </c>
    </row>
    <row r="5299" spans="2:9" x14ac:dyDescent="0.25">
      <c r="B5299" s="1">
        <v>42940</v>
      </c>
      <c r="C5299" s="2">
        <v>9966.4</v>
      </c>
      <c r="D5299" s="2">
        <v>9936.7999999999993</v>
      </c>
      <c r="E5299" s="2">
        <v>9982.0499999999993</v>
      </c>
      <c r="F5299" s="2">
        <v>9919.6</v>
      </c>
      <c r="G5299" s="3">
        <f t="shared" si="248"/>
        <v>5.1587201532992122E-3</v>
      </c>
      <c r="H5299" s="2">
        <f t="shared" si="246"/>
        <v>62.449999999998909</v>
      </c>
      <c r="I5299" s="3">
        <f t="shared" si="247"/>
        <v>6.2847194267771226E-3</v>
      </c>
    </row>
    <row r="5300" spans="2:9" x14ac:dyDescent="0.25">
      <c r="B5300" s="1">
        <v>42941</v>
      </c>
      <c r="C5300" s="2">
        <v>9964.5499999999993</v>
      </c>
      <c r="D5300" s="2">
        <v>10010.549999999999</v>
      </c>
      <c r="E5300" s="2">
        <v>10011.299999999999</v>
      </c>
      <c r="F5300" s="2">
        <v>9949.1</v>
      </c>
      <c r="G5300" s="3">
        <f t="shared" si="248"/>
        <v>-1.8562369561736514E-4</v>
      </c>
      <c r="H5300" s="2">
        <f t="shared" si="246"/>
        <v>62.199999999998909</v>
      </c>
      <c r="I5300" s="3">
        <f t="shared" si="247"/>
        <v>6.2134448157193075E-3</v>
      </c>
    </row>
    <row r="5301" spans="2:9" x14ac:dyDescent="0.25">
      <c r="B5301" s="1">
        <v>42942</v>
      </c>
      <c r="C5301" s="2">
        <v>10020.65</v>
      </c>
      <c r="D5301" s="2">
        <v>9983.65</v>
      </c>
      <c r="E5301" s="2">
        <v>10025.950000000001</v>
      </c>
      <c r="F5301" s="2">
        <v>9965.9500000000007</v>
      </c>
      <c r="G5301" s="3">
        <f t="shared" si="248"/>
        <v>5.6299582018255467E-3</v>
      </c>
      <c r="H5301" s="2">
        <f t="shared" si="246"/>
        <v>60</v>
      </c>
      <c r="I5301" s="3">
        <f t="shared" si="247"/>
        <v>6.0098260656172844E-3</v>
      </c>
    </row>
    <row r="5302" spans="2:9" x14ac:dyDescent="0.25">
      <c r="B5302" s="1">
        <v>42943</v>
      </c>
      <c r="C5302" s="2">
        <v>10020.549999999999</v>
      </c>
      <c r="D5302" s="2">
        <v>10063.25</v>
      </c>
      <c r="E5302" s="2">
        <v>10114.85</v>
      </c>
      <c r="F5302" s="2">
        <v>10005.5</v>
      </c>
      <c r="G5302" s="3">
        <f t="shared" si="248"/>
        <v>-9.9793925544267026E-6</v>
      </c>
      <c r="H5302" s="2">
        <f t="shared" si="246"/>
        <v>109.35000000000036</v>
      </c>
      <c r="I5302" s="3">
        <f t="shared" si="247"/>
        <v>1.0866270836956288E-2</v>
      </c>
    </row>
    <row r="5303" spans="2:9" x14ac:dyDescent="0.25">
      <c r="B5303" s="1">
        <v>42944</v>
      </c>
      <c r="C5303" s="2">
        <v>10014.5</v>
      </c>
      <c r="D5303" s="2">
        <v>9996.5499999999993</v>
      </c>
      <c r="E5303" s="2">
        <v>10026.049999999999</v>
      </c>
      <c r="F5303" s="2">
        <v>9944.5</v>
      </c>
      <c r="G5303" s="3">
        <f t="shared" si="248"/>
        <v>-6.0375927469047408E-4</v>
      </c>
      <c r="H5303" s="2">
        <f t="shared" si="246"/>
        <v>81.549999999999272</v>
      </c>
      <c r="I5303" s="3">
        <f t="shared" si="247"/>
        <v>8.1578144459837926E-3</v>
      </c>
    </row>
    <row r="5304" spans="2:9" x14ac:dyDescent="0.25">
      <c r="B5304" s="1">
        <v>42947</v>
      </c>
      <c r="C5304" s="2">
        <v>10077.1</v>
      </c>
      <c r="D5304" s="2">
        <v>10034.700000000001</v>
      </c>
      <c r="E5304" s="2">
        <v>10085.9</v>
      </c>
      <c r="F5304" s="2">
        <v>10016.950000000001</v>
      </c>
      <c r="G5304" s="3">
        <f t="shared" si="248"/>
        <v>6.2509361425933108E-3</v>
      </c>
      <c r="H5304" s="2">
        <f t="shared" si="246"/>
        <v>68.949999999998909</v>
      </c>
      <c r="I5304" s="3">
        <f t="shared" si="247"/>
        <v>6.8711570849152347E-3</v>
      </c>
    </row>
    <row r="5305" spans="2:9" x14ac:dyDescent="0.25">
      <c r="B5305" s="1">
        <v>42948</v>
      </c>
      <c r="C5305" s="2">
        <v>10114.65</v>
      </c>
      <c r="D5305" s="2">
        <v>10101.049999999999</v>
      </c>
      <c r="E5305" s="2">
        <v>10128.6</v>
      </c>
      <c r="F5305" s="2">
        <v>10065.75</v>
      </c>
      <c r="G5305" s="3">
        <f t="shared" si="248"/>
        <v>3.7262704547935677E-3</v>
      </c>
      <c r="H5305" s="2">
        <f t="shared" si="246"/>
        <v>62.850000000000364</v>
      </c>
      <c r="I5305" s="3">
        <f t="shared" si="247"/>
        <v>6.2221254226046173E-3</v>
      </c>
    </row>
    <row r="5306" spans="2:9" x14ac:dyDescent="0.25">
      <c r="B5306" s="1">
        <v>42949</v>
      </c>
      <c r="C5306" s="2">
        <v>10081.5</v>
      </c>
      <c r="D5306" s="2">
        <v>10136.299999999999</v>
      </c>
      <c r="E5306" s="2">
        <v>10137.85</v>
      </c>
      <c r="F5306" s="2">
        <v>10054.200000000001</v>
      </c>
      <c r="G5306" s="3">
        <f t="shared" si="248"/>
        <v>-3.2774243300558448E-3</v>
      </c>
      <c r="H5306" s="2">
        <f t="shared" si="246"/>
        <v>83.649999999999636</v>
      </c>
      <c r="I5306" s="3">
        <f t="shared" si="247"/>
        <v>8.252518177244126E-3</v>
      </c>
    </row>
    <row r="5307" spans="2:9" x14ac:dyDescent="0.25">
      <c r="B5307" s="1">
        <v>42950</v>
      </c>
      <c r="C5307" s="2">
        <v>10013.65</v>
      </c>
      <c r="D5307" s="2">
        <v>10081.15</v>
      </c>
      <c r="E5307" s="2">
        <v>10081.15</v>
      </c>
      <c r="F5307" s="2">
        <v>9998.25</v>
      </c>
      <c r="G5307" s="3">
        <f t="shared" si="248"/>
        <v>-6.7301492833408139E-3</v>
      </c>
      <c r="H5307" s="2">
        <f t="shared" si="246"/>
        <v>82.899999999999636</v>
      </c>
      <c r="I5307" s="3">
        <f t="shared" si="247"/>
        <v>8.2232681787295734E-3</v>
      </c>
    </row>
    <row r="5308" spans="2:9" x14ac:dyDescent="0.25">
      <c r="B5308" s="1">
        <v>42951</v>
      </c>
      <c r="C5308" s="2">
        <v>10066.4</v>
      </c>
      <c r="D5308" s="2">
        <v>10008.6</v>
      </c>
      <c r="E5308" s="2">
        <v>10075.25</v>
      </c>
      <c r="F5308" s="2">
        <v>9988.35</v>
      </c>
      <c r="G5308" s="3">
        <f t="shared" si="248"/>
        <v>5.2678094401141795E-3</v>
      </c>
      <c r="H5308" s="2">
        <f t="shared" si="246"/>
        <v>86.899999999999636</v>
      </c>
      <c r="I5308" s="3">
        <f t="shared" si="247"/>
        <v>8.6825330216013866E-3</v>
      </c>
    </row>
    <row r="5309" spans="2:9" x14ac:dyDescent="0.25">
      <c r="B5309" s="1">
        <v>42954</v>
      </c>
      <c r="C5309" s="2">
        <v>10057.4</v>
      </c>
      <c r="D5309" s="2">
        <v>10074.799999999999</v>
      </c>
      <c r="E5309" s="2">
        <v>10088.1</v>
      </c>
      <c r="F5309" s="2">
        <v>10046.35</v>
      </c>
      <c r="G5309" s="3">
        <f t="shared" si="248"/>
        <v>-8.9406341889852747E-4</v>
      </c>
      <c r="H5309" s="2">
        <f t="shared" si="246"/>
        <v>41.75</v>
      </c>
      <c r="I5309" s="3">
        <f t="shared" si="247"/>
        <v>4.1440028586175407E-3</v>
      </c>
    </row>
    <row r="5310" spans="2:9" x14ac:dyDescent="0.25">
      <c r="B5310" s="1">
        <v>42955</v>
      </c>
      <c r="C5310" s="2">
        <v>9978.5499999999993</v>
      </c>
      <c r="D5310" s="2">
        <v>10068.35</v>
      </c>
      <c r="E5310" s="2">
        <v>10083.799999999999</v>
      </c>
      <c r="F5310" s="2">
        <v>9947</v>
      </c>
      <c r="G5310" s="3">
        <f t="shared" si="248"/>
        <v>-7.8399984091316322E-3</v>
      </c>
      <c r="H5310" s="2">
        <f t="shared" si="246"/>
        <v>136.79999999999927</v>
      </c>
      <c r="I5310" s="3">
        <f t="shared" si="247"/>
        <v>1.3587131953100485E-2</v>
      </c>
    </row>
    <row r="5311" spans="2:9" x14ac:dyDescent="0.25">
      <c r="B5311" s="1">
        <v>42956</v>
      </c>
      <c r="C5311" s="2">
        <v>9908.0499999999993</v>
      </c>
      <c r="D5311" s="2">
        <v>9961.15</v>
      </c>
      <c r="E5311" s="2">
        <v>9969.7999999999993</v>
      </c>
      <c r="F5311" s="2">
        <v>9893.0499999999993</v>
      </c>
      <c r="G5311" s="3">
        <f t="shared" si="248"/>
        <v>-7.0651547569536843E-3</v>
      </c>
      <c r="H5311" s="2">
        <f t="shared" si="246"/>
        <v>76.75</v>
      </c>
      <c r="I5311" s="3">
        <f t="shared" si="247"/>
        <v>7.7049336672974506E-3</v>
      </c>
    </row>
    <row r="5312" spans="2:9" x14ac:dyDescent="0.25">
      <c r="B5312" s="1">
        <v>42957</v>
      </c>
      <c r="C5312" s="2">
        <v>9820.25</v>
      </c>
      <c r="D5312" s="2">
        <v>9872.85</v>
      </c>
      <c r="E5312" s="2">
        <v>9892.65</v>
      </c>
      <c r="F5312" s="2">
        <v>9776.2000000000007</v>
      </c>
      <c r="G5312" s="3">
        <f t="shared" si="248"/>
        <v>-8.8614813207441578E-3</v>
      </c>
      <c r="H5312" s="2">
        <f t="shared" si="246"/>
        <v>116.44999999999891</v>
      </c>
      <c r="I5312" s="3">
        <f t="shared" si="247"/>
        <v>1.179497308274702E-2</v>
      </c>
    </row>
    <row r="5313" spans="2:9" x14ac:dyDescent="0.25">
      <c r="B5313" s="1">
        <v>42958</v>
      </c>
      <c r="C5313" s="2">
        <v>9710.7999999999993</v>
      </c>
      <c r="D5313" s="2">
        <v>9712.15</v>
      </c>
      <c r="E5313" s="2">
        <v>9771.65</v>
      </c>
      <c r="F5313" s="2">
        <v>9685.5499999999993</v>
      </c>
      <c r="G5313" s="3">
        <f t="shared" si="248"/>
        <v>-1.1145337440492953E-2</v>
      </c>
      <c r="H5313" s="2">
        <f t="shared" si="246"/>
        <v>86.100000000000364</v>
      </c>
      <c r="I5313" s="3">
        <f t="shared" si="247"/>
        <v>8.8651843309669187E-3</v>
      </c>
    </row>
    <row r="5314" spans="2:9" x14ac:dyDescent="0.25">
      <c r="B5314" s="1">
        <v>42961</v>
      </c>
      <c r="C5314" s="2">
        <v>9794.15</v>
      </c>
      <c r="D5314" s="2">
        <v>9755.75</v>
      </c>
      <c r="E5314" s="2">
        <v>9818.2999999999993</v>
      </c>
      <c r="F5314" s="2">
        <v>9752.1</v>
      </c>
      <c r="G5314" s="3">
        <f t="shared" si="248"/>
        <v>8.5832269226016056E-3</v>
      </c>
      <c r="H5314" s="2">
        <f t="shared" si="246"/>
        <v>66.199999999998909</v>
      </c>
      <c r="I5314" s="3">
        <f t="shared" si="247"/>
        <v>6.7857417420494484E-3</v>
      </c>
    </row>
    <row r="5315" spans="2:9" x14ac:dyDescent="0.25">
      <c r="B5315" s="1">
        <v>42963</v>
      </c>
      <c r="C5315" s="2">
        <v>9897.2999999999993</v>
      </c>
      <c r="D5315" s="2">
        <v>9825.85</v>
      </c>
      <c r="E5315" s="2">
        <v>9903.9500000000007</v>
      </c>
      <c r="F5315" s="2">
        <v>9773.85</v>
      </c>
      <c r="G5315" s="3">
        <f t="shared" si="248"/>
        <v>1.0531797042111934E-2</v>
      </c>
      <c r="H5315" s="2">
        <f t="shared" si="246"/>
        <v>130.10000000000036</v>
      </c>
      <c r="I5315" s="3">
        <f t="shared" si="247"/>
        <v>1.3240584784013633E-2</v>
      </c>
    </row>
    <row r="5316" spans="2:9" x14ac:dyDescent="0.25">
      <c r="B5316" s="1">
        <v>42964</v>
      </c>
      <c r="C5316" s="2">
        <v>9904.15</v>
      </c>
      <c r="D5316" s="2">
        <v>9945.5499999999993</v>
      </c>
      <c r="E5316" s="2">
        <v>9947.7999999999993</v>
      </c>
      <c r="F5316" s="2">
        <v>9883.75</v>
      </c>
      <c r="G5316" s="3">
        <f t="shared" si="248"/>
        <v>6.9210794863239222E-4</v>
      </c>
      <c r="H5316" s="2">
        <f t="shared" si="246"/>
        <v>64.049999999999272</v>
      </c>
      <c r="I5316" s="3">
        <f t="shared" si="247"/>
        <v>6.4400661602424481E-3</v>
      </c>
    </row>
    <row r="5317" spans="2:9" x14ac:dyDescent="0.25">
      <c r="B5317" s="1">
        <v>42965</v>
      </c>
      <c r="C5317" s="2">
        <v>9837.4</v>
      </c>
      <c r="D5317" s="2">
        <v>9865.9500000000007</v>
      </c>
      <c r="E5317" s="2">
        <v>9865.9500000000007</v>
      </c>
      <c r="F5317" s="2">
        <v>9783.65</v>
      </c>
      <c r="G5317" s="3">
        <f t="shared" si="248"/>
        <v>-6.7395990569609765E-3</v>
      </c>
      <c r="H5317" s="2">
        <f t="shared" ref="H5317:H5380" si="249">E5317-F5317</f>
        <v>82.300000000001091</v>
      </c>
      <c r="I5317" s="3">
        <f t="shared" si="247"/>
        <v>8.3418221255936922E-3</v>
      </c>
    </row>
    <row r="5318" spans="2:9" x14ac:dyDescent="0.25">
      <c r="B5318" s="1">
        <v>42968</v>
      </c>
      <c r="C5318" s="2">
        <v>9754.35</v>
      </c>
      <c r="D5318" s="2">
        <v>9864.25</v>
      </c>
      <c r="E5318" s="2">
        <v>9884.35</v>
      </c>
      <c r="F5318" s="2">
        <v>9740.1</v>
      </c>
      <c r="G5318" s="3">
        <f t="shared" si="248"/>
        <v>-8.4422713318559328E-3</v>
      </c>
      <c r="H5318" s="2">
        <f t="shared" si="249"/>
        <v>144.25</v>
      </c>
      <c r="I5318" s="3">
        <f t="shared" ref="I5318:I5381" si="250">H5318/D5318</f>
        <v>1.4623514205337456E-2</v>
      </c>
    </row>
    <row r="5319" spans="2:9" x14ac:dyDescent="0.25">
      <c r="B5319" s="1">
        <v>42969</v>
      </c>
      <c r="C5319" s="2">
        <v>9765.5499999999993</v>
      </c>
      <c r="D5319" s="2">
        <v>9815.75</v>
      </c>
      <c r="E5319" s="2">
        <v>9828.4500000000007</v>
      </c>
      <c r="F5319" s="2">
        <v>9752.6</v>
      </c>
      <c r="G5319" s="3">
        <f t="shared" ref="G5319:G5382" si="251">C5319/C5318-1</f>
        <v>1.1482056723408629E-3</v>
      </c>
      <c r="H5319" s="2">
        <f t="shared" si="249"/>
        <v>75.850000000000364</v>
      </c>
      <c r="I5319" s="3">
        <f t="shared" si="250"/>
        <v>7.7273769197463635E-3</v>
      </c>
    </row>
    <row r="5320" spans="2:9" x14ac:dyDescent="0.25">
      <c r="B5320" s="1">
        <v>42970</v>
      </c>
      <c r="C5320" s="2">
        <v>9852.5</v>
      </c>
      <c r="D5320" s="2">
        <v>9803.0499999999993</v>
      </c>
      <c r="E5320" s="2">
        <v>9857.9</v>
      </c>
      <c r="F5320" s="2">
        <v>9786.75</v>
      </c>
      <c r="G5320" s="3">
        <f t="shared" si="251"/>
        <v>8.9037483807876683E-3</v>
      </c>
      <c r="H5320" s="2">
        <f t="shared" si="249"/>
        <v>71.149999999999636</v>
      </c>
      <c r="I5320" s="3">
        <f t="shared" si="250"/>
        <v>7.257945231331029E-3</v>
      </c>
    </row>
    <row r="5321" spans="2:9" x14ac:dyDescent="0.25">
      <c r="B5321" s="1">
        <v>42971</v>
      </c>
      <c r="C5321" s="2">
        <v>9857.0499999999993</v>
      </c>
      <c r="D5321" s="2">
        <v>9881.2000000000007</v>
      </c>
      <c r="E5321" s="2">
        <v>9881.5</v>
      </c>
      <c r="F5321" s="2">
        <v>9848.85</v>
      </c>
      <c r="G5321" s="3">
        <f t="shared" si="251"/>
        <v>4.6181172291293038E-4</v>
      </c>
      <c r="H5321" s="2">
        <f t="shared" si="249"/>
        <v>32.649999999999636</v>
      </c>
      <c r="I5321" s="3">
        <f t="shared" si="250"/>
        <v>3.3042545439824753E-3</v>
      </c>
    </row>
    <row r="5322" spans="2:9" x14ac:dyDescent="0.25">
      <c r="B5322" s="1">
        <v>42975</v>
      </c>
      <c r="C5322" s="2">
        <v>9912.7999999999993</v>
      </c>
      <c r="D5322" s="2">
        <v>9907.15</v>
      </c>
      <c r="E5322" s="2">
        <v>9925.75</v>
      </c>
      <c r="F5322" s="2">
        <v>9882</v>
      </c>
      <c r="G5322" s="3">
        <f t="shared" si="251"/>
        <v>5.6558503811992011E-3</v>
      </c>
      <c r="H5322" s="2">
        <f t="shared" si="249"/>
        <v>43.75</v>
      </c>
      <c r="I5322" s="3">
        <f t="shared" si="250"/>
        <v>4.4160025839923697E-3</v>
      </c>
    </row>
    <row r="5323" spans="2:9" x14ac:dyDescent="0.25">
      <c r="B5323" s="1">
        <v>42976</v>
      </c>
      <c r="C5323" s="2">
        <v>9796.0499999999993</v>
      </c>
      <c r="D5323" s="2">
        <v>9886.4</v>
      </c>
      <c r="E5323" s="2">
        <v>9887.35</v>
      </c>
      <c r="F5323" s="2">
        <v>9783.75</v>
      </c>
      <c r="G5323" s="3">
        <f t="shared" si="251"/>
        <v>-1.1777701557582065E-2</v>
      </c>
      <c r="H5323" s="2">
        <f t="shared" si="249"/>
        <v>103.60000000000036</v>
      </c>
      <c r="I5323" s="3">
        <f t="shared" si="250"/>
        <v>1.0479041916167702E-2</v>
      </c>
    </row>
    <row r="5324" spans="2:9" x14ac:dyDescent="0.25">
      <c r="B5324" s="1">
        <v>42977</v>
      </c>
      <c r="C5324" s="2">
        <v>9884.4</v>
      </c>
      <c r="D5324" s="2">
        <v>9859.5</v>
      </c>
      <c r="E5324" s="2">
        <v>9909.4500000000007</v>
      </c>
      <c r="F5324" s="2">
        <v>9850.7999999999993</v>
      </c>
      <c r="G5324" s="3">
        <f t="shared" si="251"/>
        <v>9.0189413079762026E-3</v>
      </c>
      <c r="H5324" s="2">
        <f t="shared" si="249"/>
        <v>58.650000000001455</v>
      </c>
      <c r="I5324" s="3">
        <f t="shared" si="250"/>
        <v>5.9485775140728694E-3</v>
      </c>
    </row>
    <row r="5325" spans="2:9" x14ac:dyDescent="0.25">
      <c r="B5325" s="1">
        <v>42978</v>
      </c>
      <c r="C5325" s="2">
        <v>9917.9</v>
      </c>
      <c r="D5325" s="2">
        <v>9905.7000000000007</v>
      </c>
      <c r="E5325" s="2">
        <v>9925.1</v>
      </c>
      <c r="F5325" s="2">
        <v>9856.9500000000007</v>
      </c>
      <c r="G5325" s="3">
        <f t="shared" si="251"/>
        <v>3.3891789081785806E-3</v>
      </c>
      <c r="H5325" s="2">
        <f t="shared" si="249"/>
        <v>68.149999999999636</v>
      </c>
      <c r="I5325" s="3">
        <f t="shared" si="250"/>
        <v>6.8798772423957549E-3</v>
      </c>
    </row>
    <row r="5326" spans="2:9" x14ac:dyDescent="0.25">
      <c r="B5326" s="1">
        <v>42979</v>
      </c>
      <c r="C5326" s="2">
        <v>9974.4</v>
      </c>
      <c r="D5326" s="2">
        <v>9937.65</v>
      </c>
      <c r="E5326" s="2">
        <v>9983.4500000000007</v>
      </c>
      <c r="F5326" s="2">
        <v>9909.85</v>
      </c>
      <c r="G5326" s="3">
        <f t="shared" si="251"/>
        <v>5.6967704856873969E-3</v>
      </c>
      <c r="H5326" s="2">
        <f t="shared" si="249"/>
        <v>73.600000000000364</v>
      </c>
      <c r="I5326" s="3">
        <f t="shared" si="250"/>
        <v>7.4061775168173935E-3</v>
      </c>
    </row>
    <row r="5327" spans="2:9" x14ac:dyDescent="0.25">
      <c r="B5327" s="1">
        <v>42982</v>
      </c>
      <c r="C5327" s="2">
        <v>9912.85</v>
      </c>
      <c r="D5327" s="2">
        <v>9984.15</v>
      </c>
      <c r="E5327" s="2">
        <v>9988.4</v>
      </c>
      <c r="F5327" s="2">
        <v>9861</v>
      </c>
      <c r="G5327" s="3">
        <f t="shared" si="251"/>
        <v>-6.1707972409367207E-3</v>
      </c>
      <c r="H5327" s="2">
        <f t="shared" si="249"/>
        <v>127.39999999999964</v>
      </c>
      <c r="I5327" s="3">
        <f t="shared" si="250"/>
        <v>1.2760224956556106E-2</v>
      </c>
    </row>
    <row r="5328" spans="2:9" x14ac:dyDescent="0.25">
      <c r="B5328" s="1">
        <v>42983</v>
      </c>
      <c r="C5328" s="2">
        <v>9952.2000000000007</v>
      </c>
      <c r="D5328" s="2">
        <v>9933.25</v>
      </c>
      <c r="E5328" s="2">
        <v>9963.1</v>
      </c>
      <c r="F5328" s="2">
        <v>9901.0499999999993</v>
      </c>
      <c r="G5328" s="3">
        <f t="shared" si="251"/>
        <v>3.9695950206046771E-3</v>
      </c>
      <c r="H5328" s="2">
        <f t="shared" si="249"/>
        <v>62.050000000001091</v>
      </c>
      <c r="I5328" s="3">
        <f t="shared" si="250"/>
        <v>6.2466967004757854E-3</v>
      </c>
    </row>
    <row r="5329" spans="2:9" x14ac:dyDescent="0.25">
      <c r="B5329" s="1">
        <v>42984</v>
      </c>
      <c r="C5329" s="2">
        <v>9916.2000000000007</v>
      </c>
      <c r="D5329" s="2">
        <v>9899.25</v>
      </c>
      <c r="E5329" s="2">
        <v>9931.5499999999993</v>
      </c>
      <c r="F5329" s="2">
        <v>9882.5499999999993</v>
      </c>
      <c r="G5329" s="3">
        <f t="shared" si="251"/>
        <v>-3.6172906493037171E-3</v>
      </c>
      <c r="H5329" s="2">
        <f t="shared" si="249"/>
        <v>49</v>
      </c>
      <c r="I5329" s="3">
        <f t="shared" si="250"/>
        <v>4.949869939641892E-3</v>
      </c>
    </row>
    <row r="5330" spans="2:9" x14ac:dyDescent="0.25">
      <c r="B5330" s="1">
        <v>42985</v>
      </c>
      <c r="C5330" s="2">
        <v>9929.9</v>
      </c>
      <c r="D5330" s="2">
        <v>9945.85</v>
      </c>
      <c r="E5330" s="2">
        <v>9964.85</v>
      </c>
      <c r="F5330" s="2">
        <v>9917.2000000000007</v>
      </c>
      <c r="G5330" s="3">
        <f t="shared" si="251"/>
        <v>1.3815776204593178E-3</v>
      </c>
      <c r="H5330" s="2">
        <f t="shared" si="249"/>
        <v>47.649999999999636</v>
      </c>
      <c r="I5330" s="3">
        <f t="shared" si="250"/>
        <v>4.7909429561072848E-3</v>
      </c>
    </row>
    <row r="5331" spans="2:9" x14ac:dyDescent="0.25">
      <c r="B5331" s="1">
        <v>42986</v>
      </c>
      <c r="C5331" s="2">
        <v>9934.7999999999993</v>
      </c>
      <c r="D5331" s="2">
        <v>9958.65</v>
      </c>
      <c r="E5331" s="2">
        <v>9963.6</v>
      </c>
      <c r="F5331" s="2">
        <v>9913.2999999999993</v>
      </c>
      <c r="G5331" s="3">
        <f t="shared" si="251"/>
        <v>4.9345914863185847E-4</v>
      </c>
      <c r="H5331" s="2">
        <f t="shared" si="249"/>
        <v>50.300000000001091</v>
      </c>
      <c r="I5331" s="3">
        <f t="shared" si="250"/>
        <v>5.0508854111753192E-3</v>
      </c>
    </row>
    <row r="5332" spans="2:9" x14ac:dyDescent="0.25">
      <c r="B5332" s="1">
        <v>42989</v>
      </c>
      <c r="C5332" s="2">
        <v>10006.049999999999</v>
      </c>
      <c r="D5332" s="2">
        <v>9971.75</v>
      </c>
      <c r="E5332" s="2">
        <v>10028.65</v>
      </c>
      <c r="F5332" s="2">
        <v>9968.7999999999993</v>
      </c>
      <c r="G5332" s="3">
        <f t="shared" si="251"/>
        <v>7.1717598743810118E-3</v>
      </c>
      <c r="H5332" s="2">
        <f t="shared" si="249"/>
        <v>59.850000000000364</v>
      </c>
      <c r="I5332" s="3">
        <f t="shared" si="250"/>
        <v>6.0019555243563429E-3</v>
      </c>
    </row>
    <row r="5333" spans="2:9" x14ac:dyDescent="0.25">
      <c r="B5333" s="1">
        <v>42990</v>
      </c>
      <c r="C5333" s="2">
        <v>10093.049999999999</v>
      </c>
      <c r="D5333" s="2">
        <v>10056.85</v>
      </c>
      <c r="E5333" s="2">
        <v>10097.549999999999</v>
      </c>
      <c r="F5333" s="2">
        <v>10028.049999999999</v>
      </c>
      <c r="G5333" s="3">
        <f t="shared" si="251"/>
        <v>8.6947396824921253E-3</v>
      </c>
      <c r="H5333" s="2">
        <f t="shared" si="249"/>
        <v>69.5</v>
      </c>
      <c r="I5333" s="3">
        <f t="shared" si="250"/>
        <v>6.9107125988753931E-3</v>
      </c>
    </row>
    <row r="5334" spans="2:9" x14ac:dyDescent="0.25">
      <c r="B5334" s="1">
        <v>42991</v>
      </c>
      <c r="C5334" s="2">
        <v>10079.299999999999</v>
      </c>
      <c r="D5334" s="2">
        <v>10099.25</v>
      </c>
      <c r="E5334" s="2">
        <v>10131.950000000001</v>
      </c>
      <c r="F5334" s="2">
        <v>10063.15</v>
      </c>
      <c r="G5334" s="3">
        <f t="shared" si="251"/>
        <v>-1.3623235790964916E-3</v>
      </c>
      <c r="H5334" s="2">
        <f t="shared" si="249"/>
        <v>68.800000000001091</v>
      </c>
      <c r="I5334" s="3">
        <f t="shared" si="250"/>
        <v>6.8123870584450418E-3</v>
      </c>
    </row>
    <row r="5335" spans="2:9" x14ac:dyDescent="0.25">
      <c r="B5335" s="1">
        <v>42992</v>
      </c>
      <c r="C5335" s="2">
        <v>10086.6</v>
      </c>
      <c r="D5335" s="2">
        <v>10107.4</v>
      </c>
      <c r="E5335" s="2">
        <v>10126.5</v>
      </c>
      <c r="F5335" s="2">
        <v>10070.35</v>
      </c>
      <c r="G5335" s="3">
        <f t="shared" si="251"/>
        <v>7.2425664480668672E-4</v>
      </c>
      <c r="H5335" s="2">
        <f t="shared" si="249"/>
        <v>56.149999999999636</v>
      </c>
      <c r="I5335" s="3">
        <f t="shared" si="250"/>
        <v>5.5553356946395349E-3</v>
      </c>
    </row>
    <row r="5336" spans="2:9" x14ac:dyDescent="0.25">
      <c r="B5336" s="1">
        <v>42993</v>
      </c>
      <c r="C5336" s="2">
        <v>10085.4</v>
      </c>
      <c r="D5336" s="2">
        <v>10062.35</v>
      </c>
      <c r="E5336" s="2">
        <v>10115.15</v>
      </c>
      <c r="F5336" s="2">
        <v>10043.65</v>
      </c>
      <c r="G5336" s="3">
        <f t="shared" si="251"/>
        <v>-1.1896972220581947E-4</v>
      </c>
      <c r="H5336" s="2">
        <f t="shared" si="249"/>
        <v>71.5</v>
      </c>
      <c r="I5336" s="3">
        <f t="shared" si="250"/>
        <v>7.1056959855302186E-3</v>
      </c>
    </row>
    <row r="5337" spans="2:9" x14ac:dyDescent="0.25">
      <c r="B5337" s="1">
        <v>42996</v>
      </c>
      <c r="C5337" s="2">
        <v>10153.1</v>
      </c>
      <c r="D5337" s="2">
        <v>10133.1</v>
      </c>
      <c r="E5337" s="2">
        <v>10171.700000000001</v>
      </c>
      <c r="F5337" s="2">
        <v>10131.299999999999</v>
      </c>
      <c r="G5337" s="3">
        <f t="shared" si="251"/>
        <v>6.7126737660381242E-3</v>
      </c>
      <c r="H5337" s="2">
        <f t="shared" si="249"/>
        <v>40.400000000001455</v>
      </c>
      <c r="I5337" s="3">
        <f t="shared" si="250"/>
        <v>3.9869339096625369E-3</v>
      </c>
    </row>
    <row r="5338" spans="2:9" x14ac:dyDescent="0.25">
      <c r="B5338" s="1">
        <v>42997</v>
      </c>
      <c r="C5338" s="2">
        <v>10147.549999999999</v>
      </c>
      <c r="D5338" s="2">
        <v>10175.6</v>
      </c>
      <c r="E5338" s="2">
        <v>10178.950000000001</v>
      </c>
      <c r="F5338" s="2">
        <v>10129.950000000001</v>
      </c>
      <c r="G5338" s="3">
        <f t="shared" si="251"/>
        <v>-5.4663107819297174E-4</v>
      </c>
      <c r="H5338" s="2">
        <f t="shared" si="249"/>
        <v>49</v>
      </c>
      <c r="I5338" s="3">
        <f t="shared" si="250"/>
        <v>4.8154408585243131E-3</v>
      </c>
    </row>
    <row r="5339" spans="2:9" x14ac:dyDescent="0.25">
      <c r="B5339" s="1">
        <v>42998</v>
      </c>
      <c r="C5339" s="2">
        <v>10141.15</v>
      </c>
      <c r="D5339" s="2">
        <v>10160.950000000001</v>
      </c>
      <c r="E5339" s="2">
        <v>10171.049999999999</v>
      </c>
      <c r="F5339" s="2">
        <v>10134.200000000001</v>
      </c>
      <c r="G5339" s="3">
        <f t="shared" si="251"/>
        <v>-6.3069410843008544E-4</v>
      </c>
      <c r="H5339" s="2">
        <f t="shared" si="249"/>
        <v>36.849999999998545</v>
      </c>
      <c r="I5339" s="3">
        <f t="shared" si="250"/>
        <v>3.6266293998099136E-3</v>
      </c>
    </row>
    <row r="5340" spans="2:9" x14ac:dyDescent="0.25">
      <c r="B5340" s="1">
        <v>42999</v>
      </c>
      <c r="C5340" s="2">
        <v>10121.9</v>
      </c>
      <c r="D5340" s="2">
        <v>10139.6</v>
      </c>
      <c r="E5340" s="2">
        <v>10158.9</v>
      </c>
      <c r="F5340" s="2">
        <v>10058.6</v>
      </c>
      <c r="G5340" s="3">
        <f t="shared" si="251"/>
        <v>-1.8982068108646111E-3</v>
      </c>
      <c r="H5340" s="2">
        <f t="shared" si="249"/>
        <v>100.29999999999927</v>
      </c>
      <c r="I5340" s="3">
        <f t="shared" si="250"/>
        <v>9.8919089510433617E-3</v>
      </c>
    </row>
    <row r="5341" spans="2:9" x14ac:dyDescent="0.25">
      <c r="B5341" s="1">
        <v>43000</v>
      </c>
      <c r="C5341" s="2">
        <v>9964.4</v>
      </c>
      <c r="D5341" s="2">
        <v>10094.35</v>
      </c>
      <c r="E5341" s="2">
        <v>10095.049999999999</v>
      </c>
      <c r="F5341" s="2">
        <v>9952.7999999999993</v>
      </c>
      <c r="G5341" s="3">
        <f t="shared" si="251"/>
        <v>-1.5560319702822567E-2</v>
      </c>
      <c r="H5341" s="2">
        <f t="shared" si="249"/>
        <v>142.25</v>
      </c>
      <c r="I5341" s="3">
        <f t="shared" si="250"/>
        <v>1.4092041587620797E-2</v>
      </c>
    </row>
    <row r="5342" spans="2:9" x14ac:dyDescent="0.25">
      <c r="B5342" s="1">
        <v>43003</v>
      </c>
      <c r="C5342" s="2">
        <v>9872.6</v>
      </c>
      <c r="D5342" s="2">
        <v>9960.1</v>
      </c>
      <c r="E5342" s="2">
        <v>9960.5</v>
      </c>
      <c r="F5342" s="2">
        <v>9816.0499999999993</v>
      </c>
      <c r="G5342" s="3">
        <f t="shared" si="251"/>
        <v>-9.2127975593110367E-3</v>
      </c>
      <c r="H5342" s="2">
        <f t="shared" si="249"/>
        <v>144.45000000000073</v>
      </c>
      <c r="I5342" s="3">
        <f t="shared" si="250"/>
        <v>1.4502866437084037E-2</v>
      </c>
    </row>
    <row r="5343" spans="2:9" x14ac:dyDescent="0.25">
      <c r="B5343" s="1">
        <v>43004</v>
      </c>
      <c r="C5343" s="2">
        <v>9871.5</v>
      </c>
      <c r="D5343" s="2">
        <v>9875.25</v>
      </c>
      <c r="E5343" s="2">
        <v>9891.35</v>
      </c>
      <c r="F5343" s="2">
        <v>9813</v>
      </c>
      <c r="G5343" s="3">
        <f t="shared" si="251"/>
        <v>-1.1141948422910275E-4</v>
      </c>
      <c r="H5343" s="2">
        <f t="shared" si="249"/>
        <v>78.350000000000364</v>
      </c>
      <c r="I5343" s="3">
        <f t="shared" si="250"/>
        <v>7.9339763550290241E-3</v>
      </c>
    </row>
    <row r="5344" spans="2:9" x14ac:dyDescent="0.25">
      <c r="B5344" s="1">
        <v>43005</v>
      </c>
      <c r="C5344" s="2">
        <v>9735.75</v>
      </c>
      <c r="D5344" s="2">
        <v>9920.6</v>
      </c>
      <c r="E5344" s="2">
        <v>9921.0499999999993</v>
      </c>
      <c r="F5344" s="2">
        <v>9714.4</v>
      </c>
      <c r="G5344" s="3">
        <f t="shared" si="251"/>
        <v>-1.3751709466646389E-2</v>
      </c>
      <c r="H5344" s="2">
        <f t="shared" si="249"/>
        <v>206.64999999999964</v>
      </c>
      <c r="I5344" s="3">
        <f t="shared" si="250"/>
        <v>2.0830393322984458E-2</v>
      </c>
    </row>
    <row r="5345" spans="2:9" x14ac:dyDescent="0.25">
      <c r="B5345" s="1">
        <v>43006</v>
      </c>
      <c r="C5345" s="2">
        <v>9768.9500000000007</v>
      </c>
      <c r="D5345" s="2">
        <v>9736.4</v>
      </c>
      <c r="E5345" s="2">
        <v>9789.2000000000007</v>
      </c>
      <c r="F5345" s="2">
        <v>9687.5499999999993</v>
      </c>
      <c r="G5345" s="3">
        <f t="shared" si="251"/>
        <v>3.4101122152891961E-3</v>
      </c>
      <c r="H5345" s="2">
        <f t="shared" si="249"/>
        <v>101.65000000000146</v>
      </c>
      <c r="I5345" s="3">
        <f t="shared" si="250"/>
        <v>1.0440203771414636E-2</v>
      </c>
    </row>
    <row r="5346" spans="2:9" x14ac:dyDescent="0.25">
      <c r="B5346" s="1">
        <v>43007</v>
      </c>
      <c r="C5346" s="2">
        <v>9788.6</v>
      </c>
      <c r="D5346" s="2">
        <v>9814.2999999999993</v>
      </c>
      <c r="E5346" s="2">
        <v>9854</v>
      </c>
      <c r="F5346" s="2">
        <v>9775.35</v>
      </c>
      <c r="G5346" s="3">
        <f t="shared" si="251"/>
        <v>2.0114751329467495E-3</v>
      </c>
      <c r="H5346" s="2">
        <f t="shared" si="249"/>
        <v>78.649999999999636</v>
      </c>
      <c r="I5346" s="3">
        <f t="shared" si="250"/>
        <v>8.013816573774965E-3</v>
      </c>
    </row>
    <row r="5347" spans="2:9" x14ac:dyDescent="0.25">
      <c r="B5347" s="1">
        <v>43011</v>
      </c>
      <c r="C5347" s="2">
        <v>9859.5</v>
      </c>
      <c r="D5347" s="2">
        <v>9893.2999999999993</v>
      </c>
      <c r="E5347" s="2">
        <v>9895.4</v>
      </c>
      <c r="F5347" s="2">
        <v>9831.0499999999993</v>
      </c>
      <c r="G5347" s="3">
        <f t="shared" si="251"/>
        <v>7.2431195472284493E-3</v>
      </c>
      <c r="H5347" s="2">
        <f t="shared" si="249"/>
        <v>64.350000000000364</v>
      </c>
      <c r="I5347" s="3">
        <f t="shared" si="250"/>
        <v>6.5044019690093666E-3</v>
      </c>
    </row>
    <row r="5348" spans="2:9" x14ac:dyDescent="0.25">
      <c r="B5348" s="1">
        <v>43012</v>
      </c>
      <c r="C5348" s="2">
        <v>9914.9</v>
      </c>
      <c r="D5348" s="2">
        <v>9884.35</v>
      </c>
      <c r="E5348" s="2">
        <v>9938.2999999999993</v>
      </c>
      <c r="F5348" s="2">
        <v>9850.65</v>
      </c>
      <c r="G5348" s="3">
        <f t="shared" si="251"/>
        <v>5.61894619402592E-3</v>
      </c>
      <c r="H5348" s="2">
        <f t="shared" si="249"/>
        <v>87.649999999999636</v>
      </c>
      <c r="I5348" s="3">
        <f t="shared" si="250"/>
        <v>8.8675532533752481E-3</v>
      </c>
    </row>
    <row r="5349" spans="2:9" x14ac:dyDescent="0.25">
      <c r="B5349" s="1">
        <v>43013</v>
      </c>
      <c r="C5349" s="2">
        <v>9888.7000000000007</v>
      </c>
      <c r="D5349" s="2">
        <v>9927</v>
      </c>
      <c r="E5349" s="2">
        <v>9945.9500000000007</v>
      </c>
      <c r="F5349" s="2">
        <v>9881.85</v>
      </c>
      <c r="G5349" s="3">
        <f t="shared" si="251"/>
        <v>-2.6424875692139249E-3</v>
      </c>
      <c r="H5349" s="2">
        <f t="shared" si="249"/>
        <v>64.100000000000364</v>
      </c>
      <c r="I5349" s="3">
        <f t="shared" si="250"/>
        <v>6.4571371008361406E-3</v>
      </c>
    </row>
    <row r="5350" spans="2:9" x14ac:dyDescent="0.25">
      <c r="B5350" s="1">
        <v>43014</v>
      </c>
      <c r="C5350" s="2">
        <v>9979.7000000000007</v>
      </c>
      <c r="D5350" s="2">
        <v>9908.15</v>
      </c>
      <c r="E5350" s="2">
        <v>9989.35</v>
      </c>
      <c r="F5350" s="2">
        <v>9906.6</v>
      </c>
      <c r="G5350" s="3">
        <f t="shared" si="251"/>
        <v>9.202422967629742E-3</v>
      </c>
      <c r="H5350" s="2">
        <f t="shared" si="249"/>
        <v>82.75</v>
      </c>
      <c r="I5350" s="3">
        <f t="shared" si="250"/>
        <v>8.3517104605804315E-3</v>
      </c>
    </row>
    <row r="5351" spans="2:9" x14ac:dyDescent="0.25">
      <c r="B5351" s="1">
        <v>43017</v>
      </c>
      <c r="C5351" s="2">
        <v>9988.75</v>
      </c>
      <c r="D5351" s="2">
        <v>9988.2000000000007</v>
      </c>
      <c r="E5351" s="2">
        <v>10015.75</v>
      </c>
      <c r="F5351" s="2">
        <v>9959.4500000000007</v>
      </c>
      <c r="G5351" s="3">
        <f t="shared" si="251"/>
        <v>9.0684088700054843E-4</v>
      </c>
      <c r="H5351" s="2">
        <f t="shared" si="249"/>
        <v>56.299999999999272</v>
      </c>
      <c r="I5351" s="3">
        <f t="shared" si="250"/>
        <v>5.6366512484731252E-3</v>
      </c>
    </row>
    <row r="5352" spans="2:9" x14ac:dyDescent="0.25">
      <c r="B5352" s="1">
        <v>43018</v>
      </c>
      <c r="C5352" s="2">
        <v>10016.950000000001</v>
      </c>
      <c r="D5352" s="2">
        <v>10013.700000000001</v>
      </c>
      <c r="E5352" s="2">
        <v>10034</v>
      </c>
      <c r="F5352" s="2">
        <v>10002.299999999999</v>
      </c>
      <c r="G5352" s="3">
        <f t="shared" si="251"/>
        <v>2.8231760730823563E-3</v>
      </c>
      <c r="H5352" s="2">
        <f t="shared" si="249"/>
        <v>31.700000000000728</v>
      </c>
      <c r="I5352" s="3">
        <f t="shared" si="250"/>
        <v>3.1656630416330351E-3</v>
      </c>
    </row>
    <row r="5353" spans="2:9" x14ac:dyDescent="0.25">
      <c r="B5353" s="1">
        <v>43019</v>
      </c>
      <c r="C5353" s="2">
        <v>9984.7999999999993</v>
      </c>
      <c r="D5353" s="2">
        <v>10042.6</v>
      </c>
      <c r="E5353" s="2">
        <v>10067.25</v>
      </c>
      <c r="F5353" s="2">
        <v>9955.7999999999993</v>
      </c>
      <c r="G5353" s="3">
        <f t="shared" si="251"/>
        <v>-3.2095597961456779E-3</v>
      </c>
      <c r="H5353" s="2">
        <f t="shared" si="249"/>
        <v>111.45000000000073</v>
      </c>
      <c r="I5353" s="3">
        <f t="shared" si="250"/>
        <v>1.1097723697050636E-2</v>
      </c>
    </row>
    <row r="5354" spans="2:9" x14ac:dyDescent="0.25">
      <c r="B5354" s="1">
        <v>43020</v>
      </c>
      <c r="C5354" s="2">
        <v>10096.4</v>
      </c>
      <c r="D5354" s="2">
        <v>10011.200000000001</v>
      </c>
      <c r="E5354" s="2">
        <v>10104.450000000001</v>
      </c>
      <c r="F5354" s="2">
        <v>9977.1</v>
      </c>
      <c r="G5354" s="3">
        <f t="shared" si="251"/>
        <v>1.1176989023315542E-2</v>
      </c>
      <c r="H5354" s="2">
        <f t="shared" si="249"/>
        <v>127.35000000000036</v>
      </c>
      <c r="I5354" s="3">
        <f t="shared" si="250"/>
        <v>1.2720752756912293E-2</v>
      </c>
    </row>
    <row r="5355" spans="2:9" x14ac:dyDescent="0.25">
      <c r="B5355" s="1">
        <v>43021</v>
      </c>
      <c r="C5355" s="2">
        <v>10167.450000000001</v>
      </c>
      <c r="D5355" s="2">
        <v>10123.700000000001</v>
      </c>
      <c r="E5355" s="2">
        <v>10191.9</v>
      </c>
      <c r="F5355" s="2">
        <v>10120.1</v>
      </c>
      <c r="G5355" s="3">
        <f t="shared" si="251"/>
        <v>7.0371617606277415E-3</v>
      </c>
      <c r="H5355" s="2">
        <f t="shared" si="249"/>
        <v>71.799999999999272</v>
      </c>
      <c r="I5355" s="3">
        <f t="shared" si="250"/>
        <v>7.0922686369607225E-3</v>
      </c>
    </row>
    <row r="5356" spans="2:9" x14ac:dyDescent="0.25">
      <c r="B5356" s="1">
        <v>43024</v>
      </c>
      <c r="C5356" s="2">
        <v>10230.85</v>
      </c>
      <c r="D5356" s="2">
        <v>10207.4</v>
      </c>
      <c r="E5356" s="2">
        <v>10242.950000000001</v>
      </c>
      <c r="F5356" s="2">
        <v>10175.1</v>
      </c>
      <c r="G5356" s="3">
        <f t="shared" si="251"/>
        <v>6.2355851270474716E-3</v>
      </c>
      <c r="H5356" s="2">
        <f t="shared" si="249"/>
        <v>67.850000000000364</v>
      </c>
      <c r="I5356" s="3">
        <f t="shared" si="250"/>
        <v>6.6471383506084177E-3</v>
      </c>
    </row>
    <row r="5357" spans="2:9" x14ac:dyDescent="0.25">
      <c r="B5357" s="1">
        <v>43025</v>
      </c>
      <c r="C5357" s="2">
        <v>10234.450000000001</v>
      </c>
      <c r="D5357" s="2">
        <v>10227.65</v>
      </c>
      <c r="E5357" s="2">
        <v>10251.85</v>
      </c>
      <c r="F5357" s="2">
        <v>10212.6</v>
      </c>
      <c r="G5357" s="3">
        <f t="shared" si="251"/>
        <v>3.5187692127247594E-4</v>
      </c>
      <c r="H5357" s="2">
        <f t="shared" si="249"/>
        <v>39.25</v>
      </c>
      <c r="I5357" s="3">
        <f t="shared" si="250"/>
        <v>3.8376362116419706E-3</v>
      </c>
    </row>
    <row r="5358" spans="2:9" x14ac:dyDescent="0.25">
      <c r="B5358" s="1">
        <v>43026</v>
      </c>
      <c r="C5358" s="2">
        <v>10210.85</v>
      </c>
      <c r="D5358" s="2">
        <v>10209.4</v>
      </c>
      <c r="E5358" s="2">
        <v>10236.450000000001</v>
      </c>
      <c r="F5358" s="2">
        <v>10175.75</v>
      </c>
      <c r="G5358" s="3">
        <f t="shared" si="251"/>
        <v>-2.3059373000015038E-3</v>
      </c>
      <c r="H5358" s="2">
        <f t="shared" si="249"/>
        <v>60.700000000000728</v>
      </c>
      <c r="I5358" s="3">
        <f t="shared" si="250"/>
        <v>5.9455012047721443E-3</v>
      </c>
    </row>
    <row r="5359" spans="2:9" x14ac:dyDescent="0.25">
      <c r="B5359" s="1">
        <v>43027</v>
      </c>
      <c r="C5359" s="2">
        <v>10146.549999999999</v>
      </c>
      <c r="D5359" s="2">
        <v>10210.35</v>
      </c>
      <c r="E5359" s="2">
        <v>10211.950000000001</v>
      </c>
      <c r="F5359" s="2">
        <v>10123.35</v>
      </c>
      <c r="G5359" s="3">
        <f t="shared" si="251"/>
        <v>-6.2972230519497963E-3</v>
      </c>
      <c r="H5359" s="2">
        <f t="shared" si="249"/>
        <v>88.600000000000364</v>
      </c>
      <c r="I5359" s="3">
        <f t="shared" si="250"/>
        <v>8.677469430528861E-3</v>
      </c>
    </row>
    <row r="5360" spans="2:9" x14ac:dyDescent="0.25">
      <c r="B5360" s="1">
        <v>43031</v>
      </c>
      <c r="C5360" s="2">
        <v>10184.85</v>
      </c>
      <c r="D5360" s="2">
        <v>10176.65</v>
      </c>
      <c r="E5360" s="2">
        <v>10224.15</v>
      </c>
      <c r="F5360" s="2">
        <v>10124.5</v>
      </c>
      <c r="G5360" s="3">
        <f t="shared" si="251"/>
        <v>3.7746820347803745E-3</v>
      </c>
      <c r="H5360" s="2">
        <f t="shared" si="249"/>
        <v>99.649999999999636</v>
      </c>
      <c r="I5360" s="3">
        <f t="shared" si="250"/>
        <v>9.7920238978445404E-3</v>
      </c>
    </row>
    <row r="5361" spans="2:9" x14ac:dyDescent="0.25">
      <c r="B5361" s="1">
        <v>43032</v>
      </c>
      <c r="C5361" s="2">
        <v>10207.700000000001</v>
      </c>
      <c r="D5361" s="2">
        <v>10218.549999999999</v>
      </c>
      <c r="E5361" s="2">
        <v>10237.75</v>
      </c>
      <c r="F5361" s="2">
        <v>10182.4</v>
      </c>
      <c r="G5361" s="3">
        <f t="shared" si="251"/>
        <v>2.2435283779338455E-3</v>
      </c>
      <c r="H5361" s="2">
        <f t="shared" si="249"/>
        <v>55.350000000000364</v>
      </c>
      <c r="I5361" s="3">
        <f t="shared" si="250"/>
        <v>5.4166197748213166E-3</v>
      </c>
    </row>
    <row r="5362" spans="2:9" x14ac:dyDescent="0.25">
      <c r="B5362" s="1">
        <v>43033</v>
      </c>
      <c r="C5362" s="2">
        <v>10295.35</v>
      </c>
      <c r="D5362" s="2">
        <v>10321.15</v>
      </c>
      <c r="E5362" s="2">
        <v>10340.549999999999</v>
      </c>
      <c r="F5362" s="2">
        <v>10240.9</v>
      </c>
      <c r="G5362" s="3">
        <f t="shared" si="251"/>
        <v>8.5866551720759077E-3</v>
      </c>
      <c r="H5362" s="2">
        <f t="shared" si="249"/>
        <v>99.649999999999636</v>
      </c>
      <c r="I5362" s="3">
        <f t="shared" si="250"/>
        <v>9.6549318632128817E-3</v>
      </c>
    </row>
    <row r="5363" spans="2:9" x14ac:dyDescent="0.25">
      <c r="B5363" s="1">
        <v>43034</v>
      </c>
      <c r="C5363" s="2">
        <v>10343.799999999999</v>
      </c>
      <c r="D5363" s="2">
        <v>10291.799999999999</v>
      </c>
      <c r="E5363" s="2">
        <v>10355.65</v>
      </c>
      <c r="F5363" s="2">
        <v>10271.85</v>
      </c>
      <c r="G5363" s="3">
        <f t="shared" si="251"/>
        <v>4.7060080521788006E-3</v>
      </c>
      <c r="H5363" s="2">
        <f t="shared" si="249"/>
        <v>83.799999999999272</v>
      </c>
      <c r="I5363" s="3">
        <f t="shared" si="250"/>
        <v>8.142404632814404E-3</v>
      </c>
    </row>
    <row r="5364" spans="2:9" x14ac:dyDescent="0.25">
      <c r="B5364" s="1">
        <v>43035</v>
      </c>
      <c r="C5364" s="2">
        <v>10323.049999999999</v>
      </c>
      <c r="D5364" s="2">
        <v>10362.299999999999</v>
      </c>
      <c r="E5364" s="2">
        <v>10366.15</v>
      </c>
      <c r="F5364" s="2">
        <v>10311.299999999999</v>
      </c>
      <c r="G5364" s="3">
        <f t="shared" si="251"/>
        <v>-2.00603259923815E-3</v>
      </c>
      <c r="H5364" s="2">
        <f t="shared" si="249"/>
        <v>54.850000000000364</v>
      </c>
      <c r="I5364" s="3">
        <f t="shared" si="250"/>
        <v>5.2932264072648319E-3</v>
      </c>
    </row>
    <row r="5365" spans="2:9" x14ac:dyDescent="0.25">
      <c r="B5365" s="1">
        <v>43038</v>
      </c>
      <c r="C5365" s="2">
        <v>10363.65</v>
      </c>
      <c r="D5365" s="2">
        <v>10353.85</v>
      </c>
      <c r="E5365" s="2">
        <v>10384.5</v>
      </c>
      <c r="F5365" s="2">
        <v>10344.299999999999</v>
      </c>
      <c r="G5365" s="3">
        <f t="shared" si="251"/>
        <v>3.9329461738537574E-3</v>
      </c>
      <c r="H5365" s="2">
        <f t="shared" si="249"/>
        <v>40.200000000000728</v>
      </c>
      <c r="I5365" s="3">
        <f t="shared" si="250"/>
        <v>3.882613713739404E-3</v>
      </c>
    </row>
    <row r="5366" spans="2:9" x14ac:dyDescent="0.25">
      <c r="B5366" s="1">
        <v>43039</v>
      </c>
      <c r="C5366" s="2">
        <v>10335.299999999999</v>
      </c>
      <c r="D5366" s="2">
        <v>10364.9</v>
      </c>
      <c r="E5366" s="2">
        <v>10367.700000000001</v>
      </c>
      <c r="F5366" s="2">
        <v>10323.950000000001</v>
      </c>
      <c r="G5366" s="3">
        <f t="shared" si="251"/>
        <v>-2.7355227164175266E-3</v>
      </c>
      <c r="H5366" s="2">
        <f t="shared" si="249"/>
        <v>43.75</v>
      </c>
      <c r="I5366" s="3">
        <f t="shared" si="250"/>
        <v>4.2209765651381103E-3</v>
      </c>
    </row>
    <row r="5367" spans="2:9" x14ac:dyDescent="0.25">
      <c r="B5367" s="1">
        <v>43040</v>
      </c>
      <c r="C5367" s="2">
        <v>10440.5</v>
      </c>
      <c r="D5367" s="2">
        <v>10390.35</v>
      </c>
      <c r="E5367" s="2">
        <v>10451.65</v>
      </c>
      <c r="F5367" s="2">
        <v>10383.049999999999</v>
      </c>
      <c r="G5367" s="3">
        <f t="shared" si="251"/>
        <v>1.0178707923330865E-2</v>
      </c>
      <c r="H5367" s="2">
        <f t="shared" si="249"/>
        <v>68.600000000000364</v>
      </c>
      <c r="I5367" s="3">
        <f t="shared" si="250"/>
        <v>6.6022800001925208E-3</v>
      </c>
    </row>
    <row r="5368" spans="2:9" x14ac:dyDescent="0.25">
      <c r="B5368" s="1">
        <v>43041</v>
      </c>
      <c r="C5368" s="2">
        <v>10423.799999999999</v>
      </c>
      <c r="D5368" s="2">
        <v>10440.5</v>
      </c>
      <c r="E5368" s="2">
        <v>10453</v>
      </c>
      <c r="F5368" s="2">
        <v>10412.549999999999</v>
      </c>
      <c r="G5368" s="3">
        <f t="shared" si="251"/>
        <v>-1.599540251903675E-3</v>
      </c>
      <c r="H5368" s="2">
        <f t="shared" si="249"/>
        <v>40.450000000000728</v>
      </c>
      <c r="I5368" s="3">
        <f t="shared" si="250"/>
        <v>3.8743355203295559E-3</v>
      </c>
    </row>
    <row r="5369" spans="2:9" x14ac:dyDescent="0.25">
      <c r="B5369" s="1">
        <v>43042</v>
      </c>
      <c r="C5369" s="2">
        <v>10452.5</v>
      </c>
      <c r="D5369" s="2">
        <v>10461.549999999999</v>
      </c>
      <c r="E5369" s="2">
        <v>10461.700000000001</v>
      </c>
      <c r="F5369" s="2">
        <v>10403.6</v>
      </c>
      <c r="G5369" s="3">
        <f t="shared" si="251"/>
        <v>2.7533145302098827E-3</v>
      </c>
      <c r="H5369" s="2">
        <f t="shared" si="249"/>
        <v>58.100000000000364</v>
      </c>
      <c r="I5369" s="3">
        <f t="shared" si="250"/>
        <v>5.5536703452165664E-3</v>
      </c>
    </row>
    <row r="5370" spans="2:9" x14ac:dyDescent="0.25">
      <c r="B5370" s="1">
        <v>43045</v>
      </c>
      <c r="C5370" s="2">
        <v>10451.799999999999</v>
      </c>
      <c r="D5370" s="2">
        <v>10431.75</v>
      </c>
      <c r="E5370" s="2">
        <v>10490.45</v>
      </c>
      <c r="F5370" s="2">
        <v>10413.75</v>
      </c>
      <c r="G5370" s="3">
        <f t="shared" si="251"/>
        <v>-6.6969624491819424E-5</v>
      </c>
      <c r="H5370" s="2">
        <f t="shared" si="249"/>
        <v>76.700000000000728</v>
      </c>
      <c r="I5370" s="3">
        <f t="shared" si="250"/>
        <v>7.352553502528409E-3</v>
      </c>
    </row>
    <row r="5371" spans="2:9" x14ac:dyDescent="0.25">
      <c r="B5371" s="1">
        <v>43046</v>
      </c>
      <c r="C5371" s="2">
        <v>10350.15</v>
      </c>
      <c r="D5371" s="2">
        <v>10477.15</v>
      </c>
      <c r="E5371" s="2">
        <v>10485.75</v>
      </c>
      <c r="F5371" s="2">
        <v>10340.799999999999</v>
      </c>
      <c r="G5371" s="3">
        <f t="shared" si="251"/>
        <v>-9.7255975047360055E-3</v>
      </c>
      <c r="H5371" s="2">
        <f t="shared" si="249"/>
        <v>144.95000000000073</v>
      </c>
      <c r="I5371" s="3">
        <f t="shared" si="250"/>
        <v>1.3834869215387843E-2</v>
      </c>
    </row>
    <row r="5372" spans="2:9" x14ac:dyDescent="0.25">
      <c r="B5372" s="1">
        <v>43047</v>
      </c>
      <c r="C5372" s="2">
        <v>10303.15</v>
      </c>
      <c r="D5372" s="2">
        <v>10361.950000000001</v>
      </c>
      <c r="E5372" s="2">
        <v>10384.25</v>
      </c>
      <c r="F5372" s="2">
        <v>10285.5</v>
      </c>
      <c r="G5372" s="3">
        <f t="shared" si="251"/>
        <v>-4.5409969903817959E-3</v>
      </c>
      <c r="H5372" s="2">
        <f t="shared" si="249"/>
        <v>98.75</v>
      </c>
      <c r="I5372" s="3">
        <f t="shared" si="250"/>
        <v>9.5300594965233368E-3</v>
      </c>
    </row>
    <row r="5373" spans="2:9" x14ac:dyDescent="0.25">
      <c r="B5373" s="1">
        <v>43048</v>
      </c>
      <c r="C5373" s="2">
        <v>10308.950000000001</v>
      </c>
      <c r="D5373" s="2">
        <v>10358.65</v>
      </c>
      <c r="E5373" s="2">
        <v>10368.450000000001</v>
      </c>
      <c r="F5373" s="2">
        <v>10266.950000000001</v>
      </c>
      <c r="G5373" s="3">
        <f t="shared" si="251"/>
        <v>5.6293463649481623E-4</v>
      </c>
      <c r="H5373" s="2">
        <f t="shared" si="249"/>
        <v>101.5</v>
      </c>
      <c r="I5373" s="3">
        <f t="shared" si="250"/>
        <v>9.7985741385219118E-3</v>
      </c>
    </row>
    <row r="5374" spans="2:9" x14ac:dyDescent="0.25">
      <c r="B5374" s="1">
        <v>43049</v>
      </c>
      <c r="C5374" s="2">
        <v>10321.75</v>
      </c>
      <c r="D5374" s="2">
        <v>10304.35</v>
      </c>
      <c r="E5374" s="2">
        <v>10344.950000000001</v>
      </c>
      <c r="F5374" s="2">
        <v>10254.1</v>
      </c>
      <c r="G5374" s="3">
        <f t="shared" si="251"/>
        <v>1.2416395462195862E-3</v>
      </c>
      <c r="H5374" s="2">
        <f t="shared" si="249"/>
        <v>90.850000000000364</v>
      </c>
      <c r="I5374" s="3">
        <f t="shared" si="250"/>
        <v>8.8166648066108355E-3</v>
      </c>
    </row>
    <row r="5375" spans="2:9" x14ac:dyDescent="0.25">
      <c r="B5375" s="1">
        <v>43052</v>
      </c>
      <c r="C5375" s="2">
        <v>10224.950000000001</v>
      </c>
      <c r="D5375" s="2">
        <v>10322</v>
      </c>
      <c r="E5375" s="2">
        <v>10334.15</v>
      </c>
      <c r="F5375" s="2">
        <v>10216.25</v>
      </c>
      <c r="G5375" s="3">
        <f t="shared" si="251"/>
        <v>-9.3782546564292746E-3</v>
      </c>
      <c r="H5375" s="2">
        <f t="shared" si="249"/>
        <v>117.89999999999964</v>
      </c>
      <c r="I5375" s="3">
        <f t="shared" si="250"/>
        <v>1.142220499903116E-2</v>
      </c>
    </row>
    <row r="5376" spans="2:9" x14ac:dyDescent="0.25">
      <c r="B5376" s="1">
        <v>43053</v>
      </c>
      <c r="C5376" s="2">
        <v>10186.6</v>
      </c>
      <c r="D5376" s="2">
        <v>10223.4</v>
      </c>
      <c r="E5376" s="2">
        <v>10248</v>
      </c>
      <c r="F5376" s="2">
        <v>10175.549999999999</v>
      </c>
      <c r="G5376" s="3">
        <f t="shared" si="251"/>
        <v>-3.750629587430776E-3</v>
      </c>
      <c r="H5376" s="2">
        <f t="shared" si="249"/>
        <v>72.450000000000728</v>
      </c>
      <c r="I5376" s="3">
        <f t="shared" si="250"/>
        <v>7.0866834908152598E-3</v>
      </c>
    </row>
    <row r="5377" spans="2:9" x14ac:dyDescent="0.25">
      <c r="B5377" s="1">
        <v>43054</v>
      </c>
      <c r="C5377" s="2">
        <v>10118.049999999999</v>
      </c>
      <c r="D5377" s="2">
        <v>10171.950000000001</v>
      </c>
      <c r="E5377" s="2">
        <v>10175.450000000001</v>
      </c>
      <c r="F5377" s="2">
        <v>10094</v>
      </c>
      <c r="G5377" s="3">
        <f t="shared" si="251"/>
        <v>-6.7294288575188155E-3</v>
      </c>
      <c r="H5377" s="2">
        <f t="shared" si="249"/>
        <v>81.450000000000728</v>
      </c>
      <c r="I5377" s="3">
        <f t="shared" si="250"/>
        <v>8.0073142317845375E-3</v>
      </c>
    </row>
    <row r="5378" spans="2:9" x14ac:dyDescent="0.25">
      <c r="B5378" s="1">
        <v>43055</v>
      </c>
      <c r="C5378" s="2">
        <v>10214.75</v>
      </c>
      <c r="D5378" s="2">
        <v>10152.9</v>
      </c>
      <c r="E5378" s="2">
        <v>10232.25</v>
      </c>
      <c r="F5378" s="2">
        <v>10139.200000000001</v>
      </c>
      <c r="G5378" s="3">
        <f t="shared" si="251"/>
        <v>9.557177519383675E-3</v>
      </c>
      <c r="H5378" s="2">
        <f t="shared" si="249"/>
        <v>93.049999999999272</v>
      </c>
      <c r="I5378" s="3">
        <f t="shared" si="250"/>
        <v>9.1648691506859403E-3</v>
      </c>
    </row>
    <row r="5379" spans="2:9" x14ac:dyDescent="0.25">
      <c r="B5379" s="1">
        <v>43056</v>
      </c>
      <c r="C5379" s="2">
        <v>10283.6</v>
      </c>
      <c r="D5379" s="2">
        <v>10324.549999999999</v>
      </c>
      <c r="E5379" s="2">
        <v>10343.6</v>
      </c>
      <c r="F5379" s="2">
        <v>10268.049999999999</v>
      </c>
      <c r="G5379" s="3">
        <f t="shared" si="251"/>
        <v>6.7402530654201431E-3</v>
      </c>
      <c r="H5379" s="2">
        <f t="shared" si="249"/>
        <v>75.550000000001091</v>
      </c>
      <c r="I5379" s="3">
        <f t="shared" si="250"/>
        <v>7.3175102062560688E-3</v>
      </c>
    </row>
    <row r="5380" spans="2:9" x14ac:dyDescent="0.25">
      <c r="B5380" s="1">
        <v>43059</v>
      </c>
      <c r="C5380" s="2">
        <v>10298.75</v>
      </c>
      <c r="D5380" s="2">
        <v>10287.200000000001</v>
      </c>
      <c r="E5380" s="2">
        <v>10309.85</v>
      </c>
      <c r="F5380" s="2">
        <v>10261.5</v>
      </c>
      <c r="G5380" s="3">
        <f t="shared" si="251"/>
        <v>1.4732194951183608E-3</v>
      </c>
      <c r="H5380" s="2">
        <f t="shared" si="249"/>
        <v>48.350000000000364</v>
      </c>
      <c r="I5380" s="3">
        <f t="shared" si="250"/>
        <v>4.7000155533090011E-3</v>
      </c>
    </row>
    <row r="5381" spans="2:9" x14ac:dyDescent="0.25">
      <c r="B5381" s="1">
        <v>43060</v>
      </c>
      <c r="C5381" s="2">
        <v>10326.9</v>
      </c>
      <c r="D5381" s="2">
        <v>10329.25</v>
      </c>
      <c r="E5381" s="2">
        <v>10358.700000000001</v>
      </c>
      <c r="F5381" s="2">
        <v>10315.049999999999</v>
      </c>
      <c r="G5381" s="3">
        <f t="shared" si="251"/>
        <v>2.7333414249302024E-3</v>
      </c>
      <c r="H5381" s="2">
        <f t="shared" ref="H5381:H5444" si="252">E5381-F5381</f>
        <v>43.650000000001455</v>
      </c>
      <c r="I5381" s="3">
        <f t="shared" si="250"/>
        <v>4.2258634460393017E-3</v>
      </c>
    </row>
    <row r="5382" spans="2:9" x14ac:dyDescent="0.25">
      <c r="B5382" s="1">
        <v>43061</v>
      </c>
      <c r="C5382" s="2">
        <v>10342.299999999999</v>
      </c>
      <c r="D5382" s="2">
        <v>10350.799999999999</v>
      </c>
      <c r="E5382" s="2">
        <v>10368.700000000001</v>
      </c>
      <c r="F5382" s="2">
        <v>10309.549999999999</v>
      </c>
      <c r="G5382" s="3">
        <f t="shared" si="251"/>
        <v>1.4912510046576344E-3</v>
      </c>
      <c r="H5382" s="2">
        <f t="shared" si="252"/>
        <v>59.150000000001455</v>
      </c>
      <c r="I5382" s="3">
        <f t="shared" ref="I5382:I5445" si="253">H5382/D5382</f>
        <v>5.7145341422886594E-3</v>
      </c>
    </row>
    <row r="5383" spans="2:9" x14ac:dyDescent="0.25">
      <c r="B5383" s="1">
        <v>43062</v>
      </c>
      <c r="C5383" s="2">
        <v>10348.75</v>
      </c>
      <c r="D5383" s="2">
        <v>10358.450000000001</v>
      </c>
      <c r="E5383" s="2">
        <v>10374.299999999999</v>
      </c>
      <c r="F5383" s="2">
        <v>10307.299999999999</v>
      </c>
      <c r="G5383" s="3">
        <f t="shared" ref="G5383:G5446" si="254">C5383/C5382-1</f>
        <v>6.2365237906458759E-4</v>
      </c>
      <c r="H5383" s="2">
        <f t="shared" si="252"/>
        <v>67</v>
      </c>
      <c r="I5383" s="3">
        <f t="shared" si="253"/>
        <v>6.4681491922053969E-3</v>
      </c>
    </row>
    <row r="5384" spans="2:9" x14ac:dyDescent="0.25">
      <c r="B5384" s="1">
        <v>43063</v>
      </c>
      <c r="C5384" s="2">
        <v>10389.700000000001</v>
      </c>
      <c r="D5384" s="2">
        <v>10366.799999999999</v>
      </c>
      <c r="E5384" s="2">
        <v>10404.5</v>
      </c>
      <c r="F5384" s="2">
        <v>10362.25</v>
      </c>
      <c r="G5384" s="3">
        <f t="shared" si="254"/>
        <v>3.9569996376374039E-3</v>
      </c>
      <c r="H5384" s="2">
        <f t="shared" si="252"/>
        <v>42.25</v>
      </c>
      <c r="I5384" s="3">
        <f t="shared" si="253"/>
        <v>4.075510282825945E-3</v>
      </c>
    </row>
    <row r="5385" spans="2:9" x14ac:dyDescent="0.25">
      <c r="B5385" s="1">
        <v>43066</v>
      </c>
      <c r="C5385" s="2">
        <v>10399.549999999999</v>
      </c>
      <c r="D5385" s="2">
        <v>10361.049999999999</v>
      </c>
      <c r="E5385" s="2">
        <v>10407.15</v>
      </c>
      <c r="F5385" s="2">
        <v>10340.200000000001</v>
      </c>
      <c r="G5385" s="3">
        <f t="shared" si="254"/>
        <v>9.4805432303135539E-4</v>
      </c>
      <c r="H5385" s="2">
        <f t="shared" si="252"/>
        <v>66.949999999998909</v>
      </c>
      <c r="I5385" s="3">
        <f t="shared" si="253"/>
        <v>6.4617003102966312E-3</v>
      </c>
    </row>
    <row r="5386" spans="2:9" x14ac:dyDescent="0.25">
      <c r="B5386" s="1">
        <v>43067</v>
      </c>
      <c r="C5386" s="2">
        <v>10370.25</v>
      </c>
      <c r="D5386" s="2">
        <v>10387.9</v>
      </c>
      <c r="E5386" s="2">
        <v>10409.549999999999</v>
      </c>
      <c r="F5386" s="2">
        <v>10355.200000000001</v>
      </c>
      <c r="G5386" s="3">
        <f t="shared" si="254"/>
        <v>-2.8174296003191657E-3</v>
      </c>
      <c r="H5386" s="2">
        <f t="shared" si="252"/>
        <v>54.349999999998545</v>
      </c>
      <c r="I5386" s="3">
        <f t="shared" si="253"/>
        <v>5.2320488260378462E-3</v>
      </c>
    </row>
    <row r="5387" spans="2:9" x14ac:dyDescent="0.25">
      <c r="B5387" s="1">
        <v>43068</v>
      </c>
      <c r="C5387" s="2">
        <v>10361.299999999999</v>
      </c>
      <c r="D5387" s="2">
        <v>10376.65</v>
      </c>
      <c r="E5387" s="2">
        <v>10392.950000000001</v>
      </c>
      <c r="F5387" s="2">
        <v>10345.9</v>
      </c>
      <c r="G5387" s="3">
        <f t="shared" si="254"/>
        <v>-8.6304573178086486E-4</v>
      </c>
      <c r="H5387" s="2">
        <f t="shared" si="252"/>
        <v>47.050000000001091</v>
      </c>
      <c r="I5387" s="3">
        <f t="shared" si="253"/>
        <v>4.5342186543827819E-3</v>
      </c>
    </row>
    <row r="5388" spans="2:9" x14ac:dyDescent="0.25">
      <c r="B5388" s="1">
        <v>43069</v>
      </c>
      <c r="C5388" s="2">
        <v>10226.549999999999</v>
      </c>
      <c r="D5388" s="2">
        <v>10332.700000000001</v>
      </c>
      <c r="E5388" s="2">
        <v>10332.700000000001</v>
      </c>
      <c r="F5388" s="2">
        <v>10211.25</v>
      </c>
      <c r="G5388" s="3">
        <f t="shared" si="254"/>
        <v>-1.3005124839547189E-2</v>
      </c>
      <c r="H5388" s="2">
        <f t="shared" si="252"/>
        <v>121.45000000000073</v>
      </c>
      <c r="I5388" s="3">
        <f t="shared" si="253"/>
        <v>1.1753946209606465E-2</v>
      </c>
    </row>
    <row r="5389" spans="2:9" x14ac:dyDescent="0.25">
      <c r="B5389" s="1">
        <v>43070</v>
      </c>
      <c r="C5389" s="2">
        <v>10121.799999999999</v>
      </c>
      <c r="D5389" s="2">
        <v>10263.700000000001</v>
      </c>
      <c r="E5389" s="2">
        <v>10272.700000000001</v>
      </c>
      <c r="F5389" s="2">
        <v>10108.549999999999</v>
      </c>
      <c r="G5389" s="3">
        <f t="shared" si="254"/>
        <v>-1.0242946057076874E-2</v>
      </c>
      <c r="H5389" s="2">
        <f t="shared" si="252"/>
        <v>164.15000000000146</v>
      </c>
      <c r="I5389" s="3">
        <f t="shared" si="253"/>
        <v>1.599325779202446E-2</v>
      </c>
    </row>
    <row r="5390" spans="2:9" x14ac:dyDescent="0.25">
      <c r="B5390" s="1">
        <v>43073</v>
      </c>
      <c r="C5390" s="2">
        <v>10127.75</v>
      </c>
      <c r="D5390" s="2">
        <v>10175.049999999999</v>
      </c>
      <c r="E5390" s="2">
        <v>10179.200000000001</v>
      </c>
      <c r="F5390" s="2">
        <v>10095.700000000001</v>
      </c>
      <c r="G5390" s="3">
        <f t="shared" si="254"/>
        <v>5.8784010749080018E-4</v>
      </c>
      <c r="H5390" s="2">
        <f t="shared" si="252"/>
        <v>83.5</v>
      </c>
      <c r="I5390" s="3">
        <f t="shared" si="253"/>
        <v>8.2063478803543963E-3</v>
      </c>
    </row>
    <row r="5391" spans="2:9" x14ac:dyDescent="0.25">
      <c r="B5391" s="1">
        <v>43074</v>
      </c>
      <c r="C5391" s="2">
        <v>10118.25</v>
      </c>
      <c r="D5391" s="2">
        <v>10118.25</v>
      </c>
      <c r="E5391" s="2">
        <v>10147.950000000001</v>
      </c>
      <c r="F5391" s="2">
        <v>10069.1</v>
      </c>
      <c r="G5391" s="3">
        <f t="shared" si="254"/>
        <v>-9.3801683493377475E-4</v>
      </c>
      <c r="H5391" s="2">
        <f t="shared" si="252"/>
        <v>78.850000000000364</v>
      </c>
      <c r="I5391" s="3">
        <f t="shared" si="253"/>
        <v>7.7928495540237064E-3</v>
      </c>
    </row>
    <row r="5392" spans="2:9" x14ac:dyDescent="0.25">
      <c r="B5392" s="1">
        <v>43075</v>
      </c>
      <c r="C5392" s="2">
        <v>10044.1</v>
      </c>
      <c r="D5392" s="2">
        <v>10088.799999999999</v>
      </c>
      <c r="E5392" s="2">
        <v>10104.200000000001</v>
      </c>
      <c r="F5392" s="2">
        <v>10033.35</v>
      </c>
      <c r="G5392" s="3">
        <f t="shared" si="254"/>
        <v>-7.3283423516912194E-3</v>
      </c>
      <c r="H5392" s="2">
        <f t="shared" si="252"/>
        <v>70.850000000000364</v>
      </c>
      <c r="I5392" s="3">
        <f t="shared" si="253"/>
        <v>7.0226389659821158E-3</v>
      </c>
    </row>
    <row r="5393" spans="2:9" x14ac:dyDescent="0.25">
      <c r="B5393" s="1">
        <v>43076</v>
      </c>
      <c r="C5393" s="2">
        <v>10166.700000000001</v>
      </c>
      <c r="D5393" s="2">
        <v>10063.450000000001</v>
      </c>
      <c r="E5393" s="2">
        <v>10182.65</v>
      </c>
      <c r="F5393" s="2">
        <v>10061.9</v>
      </c>
      <c r="G5393" s="3">
        <f t="shared" si="254"/>
        <v>1.2206170786830173E-2</v>
      </c>
      <c r="H5393" s="2">
        <f t="shared" si="252"/>
        <v>120.75</v>
      </c>
      <c r="I5393" s="3">
        <f t="shared" si="253"/>
        <v>1.1998867187694081E-2</v>
      </c>
    </row>
    <row r="5394" spans="2:9" x14ac:dyDescent="0.25">
      <c r="B5394" s="1">
        <v>43077</v>
      </c>
      <c r="C5394" s="2">
        <v>10265.65</v>
      </c>
      <c r="D5394" s="2">
        <v>10198.450000000001</v>
      </c>
      <c r="E5394" s="2">
        <v>10270.85</v>
      </c>
      <c r="F5394" s="2">
        <v>10195.25</v>
      </c>
      <c r="G5394" s="3">
        <f t="shared" si="254"/>
        <v>9.7327549745738207E-3</v>
      </c>
      <c r="H5394" s="2">
        <f t="shared" si="252"/>
        <v>75.600000000000364</v>
      </c>
      <c r="I5394" s="3">
        <f t="shared" si="253"/>
        <v>7.4128911746393182E-3</v>
      </c>
    </row>
    <row r="5395" spans="2:9" x14ac:dyDescent="0.25">
      <c r="B5395" s="1">
        <v>43080</v>
      </c>
      <c r="C5395" s="2">
        <v>10322.25</v>
      </c>
      <c r="D5395" s="2">
        <v>10310.5</v>
      </c>
      <c r="E5395" s="2">
        <v>10329.200000000001</v>
      </c>
      <c r="F5395" s="2">
        <v>10282.049999999999</v>
      </c>
      <c r="G5395" s="3">
        <f t="shared" si="254"/>
        <v>5.5135329959623558E-3</v>
      </c>
      <c r="H5395" s="2">
        <f t="shared" si="252"/>
        <v>47.150000000001455</v>
      </c>
      <c r="I5395" s="3">
        <f t="shared" si="253"/>
        <v>4.5730080985404639E-3</v>
      </c>
    </row>
    <row r="5396" spans="2:9" x14ac:dyDescent="0.25">
      <c r="B5396" s="1">
        <v>43081</v>
      </c>
      <c r="C5396" s="2">
        <v>10240.15</v>
      </c>
      <c r="D5396" s="2">
        <v>10324.9</v>
      </c>
      <c r="E5396" s="2">
        <v>10326.1</v>
      </c>
      <c r="F5396" s="2">
        <v>10230.200000000001</v>
      </c>
      <c r="G5396" s="3">
        <f t="shared" si="254"/>
        <v>-7.9536922667055032E-3</v>
      </c>
      <c r="H5396" s="2">
        <f t="shared" si="252"/>
        <v>95.899999999999636</v>
      </c>
      <c r="I5396" s="3">
        <f t="shared" si="253"/>
        <v>9.2882255518212907E-3</v>
      </c>
    </row>
    <row r="5397" spans="2:9" x14ac:dyDescent="0.25">
      <c r="B5397" s="1">
        <v>43082</v>
      </c>
      <c r="C5397" s="2">
        <v>10192.950000000001</v>
      </c>
      <c r="D5397" s="2">
        <v>10236.6</v>
      </c>
      <c r="E5397" s="2">
        <v>10296.549999999999</v>
      </c>
      <c r="F5397" s="2">
        <v>10169.85</v>
      </c>
      <c r="G5397" s="3">
        <f t="shared" si="254"/>
        <v>-4.6093074808473133E-3</v>
      </c>
      <c r="H5397" s="2">
        <f t="shared" si="252"/>
        <v>126.69999999999891</v>
      </c>
      <c r="I5397" s="3">
        <f t="shared" si="253"/>
        <v>1.2377156477736642E-2</v>
      </c>
    </row>
    <row r="5398" spans="2:9" x14ac:dyDescent="0.25">
      <c r="B5398" s="1">
        <v>43083</v>
      </c>
      <c r="C5398" s="2">
        <v>10252.1</v>
      </c>
      <c r="D5398" s="2">
        <v>10229.299999999999</v>
      </c>
      <c r="E5398" s="2">
        <v>10276.1</v>
      </c>
      <c r="F5398" s="2">
        <v>10141.549999999999</v>
      </c>
      <c r="G5398" s="3">
        <f t="shared" si="254"/>
        <v>5.8030305260008408E-3</v>
      </c>
      <c r="H5398" s="2">
        <f t="shared" si="252"/>
        <v>134.55000000000109</v>
      </c>
      <c r="I5398" s="3">
        <f t="shared" si="253"/>
        <v>1.3153392705268307E-2</v>
      </c>
    </row>
    <row r="5399" spans="2:9" x14ac:dyDescent="0.25">
      <c r="B5399" s="1">
        <v>43084</v>
      </c>
      <c r="C5399" s="2">
        <v>10333.25</v>
      </c>
      <c r="D5399" s="2">
        <v>10345.65</v>
      </c>
      <c r="E5399" s="2">
        <v>10373.1</v>
      </c>
      <c r="F5399" s="2">
        <v>10319.65</v>
      </c>
      <c r="G5399" s="3">
        <f t="shared" si="254"/>
        <v>7.9154514684796062E-3</v>
      </c>
      <c r="H5399" s="2">
        <f t="shared" si="252"/>
        <v>53.450000000000728</v>
      </c>
      <c r="I5399" s="3">
        <f t="shared" si="253"/>
        <v>5.1664226027364861E-3</v>
      </c>
    </row>
    <row r="5400" spans="2:9" x14ac:dyDescent="0.25">
      <c r="B5400" s="1">
        <v>43087</v>
      </c>
      <c r="C5400" s="2">
        <v>10388.75</v>
      </c>
      <c r="D5400" s="2">
        <v>10263.1</v>
      </c>
      <c r="E5400" s="2">
        <v>10443.549999999999</v>
      </c>
      <c r="F5400" s="2">
        <v>10074.799999999999</v>
      </c>
      <c r="G5400" s="3">
        <f t="shared" si="254"/>
        <v>5.3710110565408087E-3</v>
      </c>
      <c r="H5400" s="2">
        <f t="shared" si="252"/>
        <v>368.75</v>
      </c>
      <c r="I5400" s="3">
        <f t="shared" si="253"/>
        <v>3.5929689859788949E-2</v>
      </c>
    </row>
    <row r="5401" spans="2:9" x14ac:dyDescent="0.25">
      <c r="B5401" s="1">
        <v>43088</v>
      </c>
      <c r="C5401" s="2">
        <v>10463.200000000001</v>
      </c>
      <c r="D5401" s="2">
        <v>10414.799999999999</v>
      </c>
      <c r="E5401" s="2">
        <v>10472.200000000001</v>
      </c>
      <c r="F5401" s="2">
        <v>10406</v>
      </c>
      <c r="G5401" s="3">
        <f t="shared" si="254"/>
        <v>7.1664059679943382E-3</v>
      </c>
      <c r="H5401" s="2">
        <f t="shared" si="252"/>
        <v>66.200000000000728</v>
      </c>
      <c r="I5401" s="3">
        <f t="shared" si="253"/>
        <v>6.356339055958898E-3</v>
      </c>
    </row>
    <row r="5402" spans="2:9" x14ac:dyDescent="0.25">
      <c r="B5402" s="1">
        <v>43089</v>
      </c>
      <c r="C5402" s="2">
        <v>10444.200000000001</v>
      </c>
      <c r="D5402" s="2">
        <v>10494.4</v>
      </c>
      <c r="E5402" s="2">
        <v>10494.45</v>
      </c>
      <c r="F5402" s="2">
        <v>10437.15</v>
      </c>
      <c r="G5402" s="3">
        <f t="shared" si="254"/>
        <v>-1.8158880648367903E-3</v>
      </c>
      <c r="H5402" s="2">
        <f t="shared" si="252"/>
        <v>57.300000000001091</v>
      </c>
      <c r="I5402" s="3">
        <f t="shared" si="253"/>
        <v>5.4600548864157166E-3</v>
      </c>
    </row>
    <row r="5403" spans="2:9" x14ac:dyDescent="0.25">
      <c r="B5403" s="1">
        <v>43090</v>
      </c>
      <c r="C5403" s="2">
        <v>10440.299999999999</v>
      </c>
      <c r="D5403" s="2">
        <v>10473.950000000001</v>
      </c>
      <c r="E5403" s="2">
        <v>10473.950000000001</v>
      </c>
      <c r="F5403" s="2">
        <v>10426.9</v>
      </c>
      <c r="G5403" s="3">
        <f t="shared" si="254"/>
        <v>-3.7341299477233747E-4</v>
      </c>
      <c r="H5403" s="2">
        <f t="shared" si="252"/>
        <v>47.050000000001091</v>
      </c>
      <c r="I5403" s="3">
        <f t="shared" si="253"/>
        <v>4.4920970598485849E-3</v>
      </c>
    </row>
    <row r="5404" spans="2:9" x14ac:dyDescent="0.25">
      <c r="B5404" s="1">
        <v>43091</v>
      </c>
      <c r="C5404" s="2">
        <v>10493</v>
      </c>
      <c r="D5404" s="2">
        <v>10457.299999999999</v>
      </c>
      <c r="E5404" s="2">
        <v>10501.1</v>
      </c>
      <c r="F5404" s="2">
        <v>10448.25</v>
      </c>
      <c r="G5404" s="3">
        <f t="shared" si="254"/>
        <v>5.047747670086089E-3</v>
      </c>
      <c r="H5404" s="2">
        <f t="shared" si="252"/>
        <v>52.850000000000364</v>
      </c>
      <c r="I5404" s="3">
        <f t="shared" si="253"/>
        <v>5.053885802262569E-3</v>
      </c>
    </row>
    <row r="5405" spans="2:9" x14ac:dyDescent="0.25">
      <c r="B5405" s="1">
        <v>43095</v>
      </c>
      <c r="C5405" s="2">
        <v>10531.5</v>
      </c>
      <c r="D5405" s="2">
        <v>10512.3</v>
      </c>
      <c r="E5405" s="2">
        <v>10545.45</v>
      </c>
      <c r="F5405" s="2">
        <v>10477.950000000001</v>
      </c>
      <c r="G5405" s="3">
        <f t="shared" si="254"/>
        <v>3.6691127418277958E-3</v>
      </c>
      <c r="H5405" s="2">
        <f t="shared" si="252"/>
        <v>67.5</v>
      </c>
      <c r="I5405" s="3">
        <f t="shared" si="253"/>
        <v>6.4210496275791222E-3</v>
      </c>
    </row>
    <row r="5406" spans="2:9" x14ac:dyDescent="0.25">
      <c r="B5406" s="1">
        <v>43096</v>
      </c>
      <c r="C5406" s="2">
        <v>10490.75</v>
      </c>
      <c r="D5406" s="2">
        <v>10531.05</v>
      </c>
      <c r="E5406" s="2">
        <v>10552.4</v>
      </c>
      <c r="F5406" s="2">
        <v>10469.25</v>
      </c>
      <c r="G5406" s="3">
        <f t="shared" si="254"/>
        <v>-3.8693443479086431E-3</v>
      </c>
      <c r="H5406" s="2">
        <f t="shared" si="252"/>
        <v>83.149999999999636</v>
      </c>
      <c r="I5406" s="3">
        <f t="shared" si="253"/>
        <v>7.8956989094154557E-3</v>
      </c>
    </row>
    <row r="5407" spans="2:9" x14ac:dyDescent="0.25">
      <c r="B5407" s="1">
        <v>43097</v>
      </c>
      <c r="C5407" s="2">
        <v>10477.9</v>
      </c>
      <c r="D5407" s="2">
        <v>10498.2</v>
      </c>
      <c r="E5407" s="2">
        <v>10534.55</v>
      </c>
      <c r="F5407" s="2">
        <v>10460.450000000001</v>
      </c>
      <c r="G5407" s="3">
        <f t="shared" si="254"/>
        <v>-1.2248885923313857E-3</v>
      </c>
      <c r="H5407" s="2">
        <f t="shared" si="252"/>
        <v>74.099999999998545</v>
      </c>
      <c r="I5407" s="3">
        <f t="shared" si="253"/>
        <v>7.0583528604902307E-3</v>
      </c>
    </row>
    <row r="5408" spans="2:9" x14ac:dyDescent="0.25">
      <c r="B5408" s="1">
        <v>43098</v>
      </c>
      <c r="C5408" s="2">
        <v>10530.7</v>
      </c>
      <c r="D5408" s="2">
        <v>10492.35</v>
      </c>
      <c r="E5408" s="2">
        <v>10538.7</v>
      </c>
      <c r="F5408" s="2">
        <v>10488.65</v>
      </c>
      <c r="G5408" s="3">
        <f t="shared" si="254"/>
        <v>5.03917769782114E-3</v>
      </c>
      <c r="H5408" s="2">
        <f t="shared" si="252"/>
        <v>50.050000000001091</v>
      </c>
      <c r="I5408" s="3">
        <f t="shared" si="253"/>
        <v>4.7701420558789107E-3</v>
      </c>
    </row>
    <row r="5409" spans="2:9" x14ac:dyDescent="0.25">
      <c r="B5409" s="1">
        <v>43101</v>
      </c>
      <c r="C5409" s="2">
        <v>10435.549999999999</v>
      </c>
      <c r="D5409" s="2">
        <v>10531.7</v>
      </c>
      <c r="E5409" s="2">
        <v>10537.85</v>
      </c>
      <c r="F5409" s="2">
        <v>10423.1</v>
      </c>
      <c r="G5409" s="3">
        <f t="shared" si="254"/>
        <v>-9.0354867197813826E-3</v>
      </c>
      <c r="H5409" s="2">
        <f t="shared" si="252"/>
        <v>114.75</v>
      </c>
      <c r="I5409" s="3">
        <f t="shared" si="253"/>
        <v>1.0895676861285451E-2</v>
      </c>
    </row>
    <row r="5410" spans="2:9" x14ac:dyDescent="0.25">
      <c r="B5410" s="1">
        <v>43102</v>
      </c>
      <c r="C5410" s="2">
        <v>10442.200000000001</v>
      </c>
      <c r="D5410" s="2">
        <v>10477.549999999999</v>
      </c>
      <c r="E5410" s="2">
        <v>10495.2</v>
      </c>
      <c r="F5410" s="2">
        <v>10404.65</v>
      </c>
      <c r="G5410" s="3">
        <f t="shared" si="254"/>
        <v>6.3724480262195016E-4</v>
      </c>
      <c r="H5410" s="2">
        <f t="shared" si="252"/>
        <v>90.550000000001091</v>
      </c>
      <c r="I5410" s="3">
        <f t="shared" si="253"/>
        <v>8.6422875576829608E-3</v>
      </c>
    </row>
    <row r="5411" spans="2:9" x14ac:dyDescent="0.25">
      <c r="B5411" s="1">
        <v>43103</v>
      </c>
      <c r="C5411" s="2">
        <v>10443.200000000001</v>
      </c>
      <c r="D5411" s="2">
        <v>10482.65</v>
      </c>
      <c r="E5411" s="2">
        <v>10503.6</v>
      </c>
      <c r="F5411" s="2">
        <v>10429.549999999999</v>
      </c>
      <c r="G5411" s="3">
        <f t="shared" si="254"/>
        <v>9.5765260194280444E-5</v>
      </c>
      <c r="H5411" s="2">
        <f t="shared" si="252"/>
        <v>74.050000000001091</v>
      </c>
      <c r="I5411" s="3">
        <f t="shared" si="253"/>
        <v>7.0640534597645726E-3</v>
      </c>
    </row>
    <row r="5412" spans="2:9" x14ac:dyDescent="0.25">
      <c r="B5412" s="1">
        <v>43104</v>
      </c>
      <c r="C5412" s="2">
        <v>10504.8</v>
      </c>
      <c r="D5412" s="2">
        <v>10469.4</v>
      </c>
      <c r="E5412" s="2">
        <v>10513</v>
      </c>
      <c r="F5412" s="2">
        <v>10441.450000000001</v>
      </c>
      <c r="G5412" s="3">
        <f t="shared" si="254"/>
        <v>5.8985751493794147E-3</v>
      </c>
      <c r="H5412" s="2">
        <f t="shared" si="252"/>
        <v>71.549999999999272</v>
      </c>
      <c r="I5412" s="3">
        <f t="shared" si="253"/>
        <v>6.8342025330963832E-3</v>
      </c>
    </row>
    <row r="5413" spans="2:9" x14ac:dyDescent="0.25">
      <c r="B5413" s="1">
        <v>43105</v>
      </c>
      <c r="C5413" s="2">
        <v>10558.85</v>
      </c>
      <c r="D5413" s="2">
        <v>10534.25</v>
      </c>
      <c r="E5413" s="2">
        <v>10566.1</v>
      </c>
      <c r="F5413" s="2">
        <v>10520.1</v>
      </c>
      <c r="G5413" s="3">
        <f t="shared" si="254"/>
        <v>5.1452669255960259E-3</v>
      </c>
      <c r="H5413" s="2">
        <f t="shared" si="252"/>
        <v>46</v>
      </c>
      <c r="I5413" s="3">
        <f t="shared" si="253"/>
        <v>4.3667085933977263E-3</v>
      </c>
    </row>
    <row r="5414" spans="2:9" x14ac:dyDescent="0.25">
      <c r="B5414" s="1">
        <v>43108</v>
      </c>
      <c r="C5414" s="2">
        <v>10623.6</v>
      </c>
      <c r="D5414" s="2">
        <v>10591.7</v>
      </c>
      <c r="E5414" s="2">
        <v>10631.2</v>
      </c>
      <c r="F5414" s="2">
        <v>10588.55</v>
      </c>
      <c r="G5414" s="3">
        <f t="shared" si="254"/>
        <v>6.132296604270282E-3</v>
      </c>
      <c r="H5414" s="2">
        <f t="shared" si="252"/>
        <v>42.650000000001455</v>
      </c>
      <c r="I5414" s="3">
        <f t="shared" si="253"/>
        <v>4.0267379174260464E-3</v>
      </c>
    </row>
    <row r="5415" spans="2:9" x14ac:dyDescent="0.25">
      <c r="B5415" s="1">
        <v>43109</v>
      </c>
      <c r="C5415" s="2">
        <v>10637</v>
      </c>
      <c r="D5415" s="2">
        <v>10645.1</v>
      </c>
      <c r="E5415" s="2">
        <v>10659.15</v>
      </c>
      <c r="F5415" s="2">
        <v>10603.6</v>
      </c>
      <c r="G5415" s="3">
        <f t="shared" si="254"/>
        <v>1.2613426710341713E-3</v>
      </c>
      <c r="H5415" s="2">
        <f t="shared" si="252"/>
        <v>55.549999999999272</v>
      </c>
      <c r="I5415" s="3">
        <f t="shared" si="253"/>
        <v>5.2183633784557469E-3</v>
      </c>
    </row>
    <row r="5416" spans="2:9" x14ac:dyDescent="0.25">
      <c r="B5416" s="1">
        <v>43110</v>
      </c>
      <c r="C5416" s="2">
        <v>10632.2</v>
      </c>
      <c r="D5416" s="2">
        <v>10652.05</v>
      </c>
      <c r="E5416" s="2">
        <v>10655.5</v>
      </c>
      <c r="F5416" s="2">
        <v>10592.7</v>
      </c>
      <c r="G5416" s="3">
        <f t="shared" si="254"/>
        <v>-4.5125505311638392E-4</v>
      </c>
      <c r="H5416" s="2">
        <f t="shared" si="252"/>
        <v>62.799999999999272</v>
      </c>
      <c r="I5416" s="3">
        <f t="shared" si="253"/>
        <v>5.8955787853041692E-3</v>
      </c>
    </row>
    <row r="5417" spans="2:9" x14ac:dyDescent="0.25">
      <c r="B5417" s="1">
        <v>43111</v>
      </c>
      <c r="C5417" s="2">
        <v>10651.2</v>
      </c>
      <c r="D5417" s="2">
        <v>10637.05</v>
      </c>
      <c r="E5417" s="2">
        <v>10664.6</v>
      </c>
      <c r="F5417" s="2">
        <v>10612.35</v>
      </c>
      <c r="G5417" s="3">
        <f t="shared" si="254"/>
        <v>1.7870243223414572E-3</v>
      </c>
      <c r="H5417" s="2">
        <f t="shared" si="252"/>
        <v>52.25</v>
      </c>
      <c r="I5417" s="3">
        <f t="shared" si="253"/>
        <v>4.9120761865366807E-3</v>
      </c>
    </row>
    <row r="5418" spans="2:9" x14ac:dyDescent="0.25">
      <c r="B5418" s="1">
        <v>43112</v>
      </c>
      <c r="C5418" s="2">
        <v>10681.25</v>
      </c>
      <c r="D5418" s="2">
        <v>10682.55</v>
      </c>
      <c r="E5418" s="2">
        <v>10690.4</v>
      </c>
      <c r="F5418" s="2">
        <v>10597.1</v>
      </c>
      <c r="G5418" s="3">
        <f t="shared" si="254"/>
        <v>2.8212783536125663E-3</v>
      </c>
      <c r="H5418" s="2">
        <f t="shared" si="252"/>
        <v>93.299999999999272</v>
      </c>
      <c r="I5418" s="3">
        <f t="shared" si="253"/>
        <v>8.733869722116842E-3</v>
      </c>
    </row>
    <row r="5419" spans="2:9" x14ac:dyDescent="0.25">
      <c r="B5419" s="1">
        <v>43115</v>
      </c>
      <c r="C5419" s="2">
        <v>10741.55</v>
      </c>
      <c r="D5419" s="2">
        <v>10718.5</v>
      </c>
      <c r="E5419" s="2">
        <v>10782.65</v>
      </c>
      <c r="F5419" s="2">
        <v>10713.8</v>
      </c>
      <c r="G5419" s="3">
        <f t="shared" si="254"/>
        <v>5.6454066705675654E-3</v>
      </c>
      <c r="H5419" s="2">
        <f t="shared" si="252"/>
        <v>68.850000000000364</v>
      </c>
      <c r="I5419" s="3">
        <f t="shared" si="253"/>
        <v>6.4234734337827457E-3</v>
      </c>
    </row>
    <row r="5420" spans="2:9" x14ac:dyDescent="0.25">
      <c r="B5420" s="1">
        <v>43116</v>
      </c>
      <c r="C5420" s="2">
        <v>10700.45</v>
      </c>
      <c r="D5420" s="2">
        <v>10761.5</v>
      </c>
      <c r="E5420" s="2">
        <v>10762.35</v>
      </c>
      <c r="F5420" s="2">
        <v>10687.85</v>
      </c>
      <c r="G5420" s="3">
        <f t="shared" si="254"/>
        <v>-3.8262634349789382E-3</v>
      </c>
      <c r="H5420" s="2">
        <f t="shared" si="252"/>
        <v>74.5</v>
      </c>
      <c r="I5420" s="3">
        <f t="shared" si="253"/>
        <v>6.9228267434837147E-3</v>
      </c>
    </row>
    <row r="5421" spans="2:9" x14ac:dyDescent="0.25">
      <c r="B5421" s="1">
        <v>43117</v>
      </c>
      <c r="C5421" s="2">
        <v>10788.55</v>
      </c>
      <c r="D5421" s="2">
        <v>10702.45</v>
      </c>
      <c r="E5421" s="2">
        <v>10803</v>
      </c>
      <c r="F5421" s="2">
        <v>10666.75</v>
      </c>
      <c r="G5421" s="3">
        <f t="shared" si="254"/>
        <v>8.2332985995914321E-3</v>
      </c>
      <c r="H5421" s="2">
        <f t="shared" si="252"/>
        <v>136.25</v>
      </c>
      <c r="I5421" s="3">
        <f t="shared" si="253"/>
        <v>1.2730729879607005E-2</v>
      </c>
    </row>
    <row r="5422" spans="2:9" x14ac:dyDescent="0.25">
      <c r="B5422" s="1">
        <v>43118</v>
      </c>
      <c r="C5422" s="2">
        <v>10817</v>
      </c>
      <c r="D5422" s="2">
        <v>10873.4</v>
      </c>
      <c r="E5422" s="2">
        <v>10887.5</v>
      </c>
      <c r="F5422" s="2">
        <v>10782.4</v>
      </c>
      <c r="G5422" s="3">
        <f t="shared" si="254"/>
        <v>2.6370550259302572E-3</v>
      </c>
      <c r="H5422" s="2">
        <f t="shared" si="252"/>
        <v>105.10000000000036</v>
      </c>
      <c r="I5422" s="3">
        <f t="shared" si="253"/>
        <v>9.6657899093200265E-3</v>
      </c>
    </row>
    <row r="5423" spans="2:9" x14ac:dyDescent="0.25">
      <c r="B5423" s="1">
        <v>43119</v>
      </c>
      <c r="C5423" s="2">
        <v>10894.7</v>
      </c>
      <c r="D5423" s="2">
        <v>10829.2</v>
      </c>
      <c r="E5423" s="2">
        <v>10906.85</v>
      </c>
      <c r="F5423" s="2">
        <v>10793.9</v>
      </c>
      <c r="G5423" s="3">
        <f t="shared" si="254"/>
        <v>7.1831376536932723E-3</v>
      </c>
      <c r="H5423" s="2">
        <f t="shared" si="252"/>
        <v>112.95000000000073</v>
      </c>
      <c r="I5423" s="3">
        <f t="shared" si="253"/>
        <v>1.0430133343183311E-2</v>
      </c>
    </row>
    <row r="5424" spans="2:9" x14ac:dyDescent="0.25">
      <c r="B5424" s="1">
        <v>43122</v>
      </c>
      <c r="C5424" s="2">
        <v>10966.2</v>
      </c>
      <c r="D5424" s="2">
        <v>10883.2</v>
      </c>
      <c r="E5424" s="2">
        <v>10975.1</v>
      </c>
      <c r="F5424" s="2">
        <v>10881.4</v>
      </c>
      <c r="G5424" s="3">
        <f t="shared" si="254"/>
        <v>6.5628241254922504E-3</v>
      </c>
      <c r="H5424" s="2">
        <f t="shared" si="252"/>
        <v>93.700000000000728</v>
      </c>
      <c r="I5424" s="3">
        <f t="shared" si="253"/>
        <v>8.6096001176125328E-3</v>
      </c>
    </row>
    <row r="5425" spans="2:9" x14ac:dyDescent="0.25">
      <c r="B5425" s="1">
        <v>43123</v>
      </c>
      <c r="C5425" s="2">
        <v>11083.7</v>
      </c>
      <c r="D5425" s="2">
        <v>10997.4</v>
      </c>
      <c r="E5425" s="2">
        <v>11092.9</v>
      </c>
      <c r="F5425" s="2">
        <v>10994.55</v>
      </c>
      <c r="G5425" s="3">
        <f t="shared" si="254"/>
        <v>1.071474166073938E-2</v>
      </c>
      <c r="H5425" s="2">
        <f t="shared" si="252"/>
        <v>98.350000000000364</v>
      </c>
      <c r="I5425" s="3">
        <f t="shared" si="253"/>
        <v>8.9430228963209811E-3</v>
      </c>
    </row>
    <row r="5426" spans="2:9" x14ac:dyDescent="0.25">
      <c r="B5426" s="1">
        <v>43124</v>
      </c>
      <c r="C5426" s="2">
        <v>11086</v>
      </c>
      <c r="D5426" s="2">
        <v>11069.35</v>
      </c>
      <c r="E5426" s="2">
        <v>11110.1</v>
      </c>
      <c r="F5426" s="2">
        <v>11046.15</v>
      </c>
      <c r="G5426" s="3">
        <f t="shared" si="254"/>
        <v>2.0751193193602191E-4</v>
      </c>
      <c r="H5426" s="2">
        <f t="shared" si="252"/>
        <v>63.950000000000728</v>
      </c>
      <c r="I5426" s="3">
        <f t="shared" si="253"/>
        <v>5.7772136575318985E-3</v>
      </c>
    </row>
    <row r="5427" spans="2:9" x14ac:dyDescent="0.25">
      <c r="B5427" s="1">
        <v>43125</v>
      </c>
      <c r="C5427" s="2">
        <v>11069.65</v>
      </c>
      <c r="D5427" s="2">
        <v>11095.6</v>
      </c>
      <c r="E5427" s="2">
        <v>11095.6</v>
      </c>
      <c r="F5427" s="2">
        <v>11009.2</v>
      </c>
      <c r="G5427" s="3">
        <f t="shared" si="254"/>
        <v>-1.4748331228576772E-3</v>
      </c>
      <c r="H5427" s="2">
        <f t="shared" si="252"/>
        <v>86.399999999999636</v>
      </c>
      <c r="I5427" s="3">
        <f t="shared" si="253"/>
        <v>7.7868704711777309E-3</v>
      </c>
    </row>
    <row r="5428" spans="2:9" x14ac:dyDescent="0.25">
      <c r="B5428" s="1">
        <v>43129</v>
      </c>
      <c r="C5428" s="2">
        <v>11130.4</v>
      </c>
      <c r="D5428" s="2">
        <v>11079.35</v>
      </c>
      <c r="E5428" s="2">
        <v>11171.55</v>
      </c>
      <c r="F5428" s="2">
        <v>11075.95</v>
      </c>
      <c r="G5428" s="3">
        <f t="shared" si="254"/>
        <v>5.4879783913674984E-3</v>
      </c>
      <c r="H5428" s="2">
        <f t="shared" si="252"/>
        <v>95.599999999998545</v>
      </c>
      <c r="I5428" s="3">
        <f t="shared" si="253"/>
        <v>8.62866503901389E-3</v>
      </c>
    </row>
    <row r="5429" spans="2:9" x14ac:dyDescent="0.25">
      <c r="B5429" s="1">
        <v>43130</v>
      </c>
      <c r="C5429" s="2">
        <v>11049.65</v>
      </c>
      <c r="D5429" s="2">
        <v>11120.85</v>
      </c>
      <c r="E5429" s="2">
        <v>11121.1</v>
      </c>
      <c r="F5429" s="2">
        <v>11033.9</v>
      </c>
      <c r="G5429" s="3">
        <f t="shared" si="254"/>
        <v>-7.2549054840795879E-3</v>
      </c>
      <c r="H5429" s="2">
        <f t="shared" si="252"/>
        <v>87.200000000000728</v>
      </c>
      <c r="I5429" s="3">
        <f t="shared" si="253"/>
        <v>7.8411272519637188E-3</v>
      </c>
    </row>
    <row r="5430" spans="2:9" x14ac:dyDescent="0.25">
      <c r="B5430" s="1">
        <v>43131</v>
      </c>
      <c r="C5430" s="2">
        <v>11027.7</v>
      </c>
      <c r="D5430" s="2">
        <v>11018.8</v>
      </c>
      <c r="E5430" s="2">
        <v>11058.5</v>
      </c>
      <c r="F5430" s="2">
        <v>10979.3</v>
      </c>
      <c r="G5430" s="3">
        <f t="shared" si="254"/>
        <v>-1.9864882598090716E-3</v>
      </c>
      <c r="H5430" s="2">
        <f t="shared" si="252"/>
        <v>79.200000000000728</v>
      </c>
      <c r="I5430" s="3">
        <f t="shared" si="253"/>
        <v>7.1877155407123038E-3</v>
      </c>
    </row>
    <row r="5431" spans="2:9" x14ac:dyDescent="0.25">
      <c r="B5431" s="1">
        <v>43132</v>
      </c>
      <c r="C5431" s="2">
        <v>11016.9</v>
      </c>
      <c r="D5431" s="2">
        <v>11044.55</v>
      </c>
      <c r="E5431" s="2">
        <v>11117.35</v>
      </c>
      <c r="F5431" s="2">
        <v>10878.8</v>
      </c>
      <c r="G5431" s="3">
        <f t="shared" si="254"/>
        <v>-9.7935199542975582E-4</v>
      </c>
      <c r="H5431" s="2">
        <f t="shared" si="252"/>
        <v>238.55000000000109</v>
      </c>
      <c r="I5431" s="3">
        <f t="shared" si="253"/>
        <v>2.1598888139399169E-2</v>
      </c>
    </row>
    <row r="5432" spans="2:9" x14ac:dyDescent="0.25">
      <c r="B5432" s="1">
        <v>43133</v>
      </c>
      <c r="C5432" s="2">
        <v>10760.6</v>
      </c>
      <c r="D5432" s="2">
        <v>10938.2</v>
      </c>
      <c r="E5432" s="2">
        <v>10954.95</v>
      </c>
      <c r="F5432" s="2">
        <v>10736.1</v>
      </c>
      <c r="G5432" s="3">
        <f t="shared" si="254"/>
        <v>-2.326425764053397E-2</v>
      </c>
      <c r="H5432" s="2">
        <f t="shared" si="252"/>
        <v>218.85000000000036</v>
      </c>
      <c r="I5432" s="3">
        <f t="shared" si="253"/>
        <v>2.0007862353952237E-2</v>
      </c>
    </row>
    <row r="5433" spans="2:9" x14ac:dyDescent="0.25">
      <c r="B5433" s="1">
        <v>43136</v>
      </c>
      <c r="C5433" s="2">
        <v>10666.55</v>
      </c>
      <c r="D5433" s="2">
        <v>10604.3</v>
      </c>
      <c r="E5433" s="2">
        <v>10702.75</v>
      </c>
      <c r="F5433" s="2">
        <v>10586.8</v>
      </c>
      <c r="G5433" s="3">
        <f t="shared" si="254"/>
        <v>-8.7402189468990255E-3</v>
      </c>
      <c r="H5433" s="2">
        <f t="shared" si="252"/>
        <v>115.95000000000073</v>
      </c>
      <c r="I5433" s="3">
        <f t="shared" si="253"/>
        <v>1.0934243655875517E-2</v>
      </c>
    </row>
    <row r="5434" spans="2:9" x14ac:dyDescent="0.25">
      <c r="B5434" s="1">
        <v>43137</v>
      </c>
      <c r="C5434" s="2">
        <v>10498.25</v>
      </c>
      <c r="D5434" s="2">
        <v>10295.15</v>
      </c>
      <c r="E5434" s="2">
        <v>10594.15</v>
      </c>
      <c r="F5434" s="2">
        <v>10276.299999999999</v>
      </c>
      <c r="G5434" s="3">
        <f t="shared" si="254"/>
        <v>-1.5778297575129607E-2</v>
      </c>
      <c r="H5434" s="2">
        <f t="shared" si="252"/>
        <v>317.85000000000036</v>
      </c>
      <c r="I5434" s="3">
        <f t="shared" si="253"/>
        <v>3.0873760945688056E-2</v>
      </c>
    </row>
    <row r="5435" spans="2:9" x14ac:dyDescent="0.25">
      <c r="B5435" s="1">
        <v>43138</v>
      </c>
      <c r="C5435" s="2">
        <v>10476.700000000001</v>
      </c>
      <c r="D5435" s="2">
        <v>10607.2</v>
      </c>
      <c r="E5435" s="2">
        <v>10614</v>
      </c>
      <c r="F5435" s="2">
        <v>10446.4</v>
      </c>
      <c r="G5435" s="3">
        <f t="shared" si="254"/>
        <v>-2.052723072893059E-3</v>
      </c>
      <c r="H5435" s="2">
        <f t="shared" si="252"/>
        <v>167.60000000000036</v>
      </c>
      <c r="I5435" s="3">
        <f t="shared" si="253"/>
        <v>1.5800588279659133E-2</v>
      </c>
    </row>
    <row r="5436" spans="2:9" x14ac:dyDescent="0.25">
      <c r="B5436" s="1">
        <v>43139</v>
      </c>
      <c r="C5436" s="2">
        <v>10576.85</v>
      </c>
      <c r="D5436" s="2">
        <v>10518.5</v>
      </c>
      <c r="E5436" s="2">
        <v>10637.8</v>
      </c>
      <c r="F5436" s="2">
        <v>10479.549999999999</v>
      </c>
      <c r="G5436" s="3">
        <f t="shared" si="254"/>
        <v>9.5593077973026297E-3</v>
      </c>
      <c r="H5436" s="2">
        <f t="shared" si="252"/>
        <v>158.25</v>
      </c>
      <c r="I5436" s="3">
        <f t="shared" si="253"/>
        <v>1.5044920853733898E-2</v>
      </c>
    </row>
    <row r="5437" spans="2:9" x14ac:dyDescent="0.25">
      <c r="B5437" s="1">
        <v>43140</v>
      </c>
      <c r="C5437" s="2">
        <v>10454.950000000001</v>
      </c>
      <c r="D5437" s="2">
        <v>10416.5</v>
      </c>
      <c r="E5437" s="2">
        <v>10480.200000000001</v>
      </c>
      <c r="F5437" s="2">
        <v>10398.200000000001</v>
      </c>
      <c r="G5437" s="3">
        <f t="shared" si="254"/>
        <v>-1.1525170537541873E-2</v>
      </c>
      <c r="H5437" s="2">
        <f t="shared" si="252"/>
        <v>82</v>
      </c>
      <c r="I5437" s="3">
        <f t="shared" si="253"/>
        <v>7.872125954015265E-3</v>
      </c>
    </row>
    <row r="5438" spans="2:9" x14ac:dyDescent="0.25">
      <c r="B5438" s="1">
        <v>43143</v>
      </c>
      <c r="C5438" s="2">
        <v>10539.75</v>
      </c>
      <c r="D5438" s="2">
        <v>10518.2</v>
      </c>
      <c r="E5438" s="2">
        <v>10555.5</v>
      </c>
      <c r="F5438" s="2">
        <v>10485.4</v>
      </c>
      <c r="G5438" s="3">
        <f t="shared" si="254"/>
        <v>8.1109904877592065E-3</v>
      </c>
      <c r="H5438" s="2">
        <f t="shared" si="252"/>
        <v>70.100000000000364</v>
      </c>
      <c r="I5438" s="3">
        <f t="shared" si="253"/>
        <v>6.6646384362343712E-3</v>
      </c>
    </row>
    <row r="5439" spans="2:9" x14ac:dyDescent="0.25">
      <c r="B5439" s="1">
        <v>43145</v>
      </c>
      <c r="C5439" s="2">
        <v>10500.9</v>
      </c>
      <c r="D5439" s="2">
        <v>10585.75</v>
      </c>
      <c r="E5439" s="2">
        <v>10590.55</v>
      </c>
      <c r="F5439" s="2">
        <v>10456.65</v>
      </c>
      <c r="G5439" s="3">
        <f t="shared" si="254"/>
        <v>-3.6860456841956157E-3</v>
      </c>
      <c r="H5439" s="2">
        <f t="shared" si="252"/>
        <v>133.89999999999964</v>
      </c>
      <c r="I5439" s="3">
        <f t="shared" si="253"/>
        <v>1.2649080131308565E-2</v>
      </c>
    </row>
    <row r="5440" spans="2:9" x14ac:dyDescent="0.25">
      <c r="B5440" s="1">
        <v>43146</v>
      </c>
      <c r="C5440" s="2">
        <v>10545.5</v>
      </c>
      <c r="D5440" s="2">
        <v>10537.9</v>
      </c>
      <c r="E5440" s="2">
        <v>10618.1</v>
      </c>
      <c r="F5440" s="2">
        <v>10511.05</v>
      </c>
      <c r="G5440" s="3">
        <f t="shared" si="254"/>
        <v>4.247254997190808E-3</v>
      </c>
      <c r="H5440" s="2">
        <f t="shared" si="252"/>
        <v>107.05000000000109</v>
      </c>
      <c r="I5440" s="3">
        <f t="shared" si="253"/>
        <v>1.0158570493172368E-2</v>
      </c>
    </row>
    <row r="5441" spans="2:9" x14ac:dyDescent="0.25">
      <c r="B5441" s="1">
        <v>43147</v>
      </c>
      <c r="C5441" s="2">
        <v>10452.299999999999</v>
      </c>
      <c r="D5441" s="2">
        <v>10596.2</v>
      </c>
      <c r="E5441" s="2">
        <v>10612.9</v>
      </c>
      <c r="F5441" s="2">
        <v>10434.049999999999</v>
      </c>
      <c r="G5441" s="3">
        <f t="shared" si="254"/>
        <v>-8.8378929401167206E-3</v>
      </c>
      <c r="H5441" s="2">
        <f t="shared" si="252"/>
        <v>178.85000000000036</v>
      </c>
      <c r="I5441" s="3">
        <f t="shared" si="253"/>
        <v>1.6878692361412616E-2</v>
      </c>
    </row>
    <row r="5442" spans="2:9" x14ac:dyDescent="0.25">
      <c r="B5442" s="1">
        <v>43150</v>
      </c>
      <c r="C5442" s="2">
        <v>10378.4</v>
      </c>
      <c r="D5442" s="2">
        <v>10488.9</v>
      </c>
      <c r="E5442" s="2">
        <v>10489.35</v>
      </c>
      <c r="F5442" s="2">
        <v>10302.75</v>
      </c>
      <c r="G5442" s="3">
        <f t="shared" si="254"/>
        <v>-7.0702142112262223E-3</v>
      </c>
      <c r="H5442" s="2">
        <f t="shared" si="252"/>
        <v>186.60000000000036</v>
      </c>
      <c r="I5442" s="3">
        <f t="shared" si="253"/>
        <v>1.7790235391699834E-2</v>
      </c>
    </row>
    <row r="5443" spans="2:9" x14ac:dyDescent="0.25">
      <c r="B5443" s="1">
        <v>43151</v>
      </c>
      <c r="C5443" s="2">
        <v>10360.4</v>
      </c>
      <c r="D5443" s="2">
        <v>10391</v>
      </c>
      <c r="E5443" s="2">
        <v>10429.35</v>
      </c>
      <c r="F5443" s="2">
        <v>10347.65</v>
      </c>
      <c r="G5443" s="3">
        <f t="shared" si="254"/>
        <v>-1.7343713867262744E-3</v>
      </c>
      <c r="H5443" s="2">
        <f t="shared" si="252"/>
        <v>81.700000000000728</v>
      </c>
      <c r="I5443" s="3">
        <f t="shared" si="253"/>
        <v>7.8625733808103861E-3</v>
      </c>
    </row>
    <row r="5444" spans="2:9" x14ac:dyDescent="0.25">
      <c r="B5444" s="1">
        <v>43152</v>
      </c>
      <c r="C5444" s="2">
        <v>10397.450000000001</v>
      </c>
      <c r="D5444" s="2">
        <v>10426</v>
      </c>
      <c r="E5444" s="2">
        <v>10426.1</v>
      </c>
      <c r="F5444" s="2">
        <v>10349.6</v>
      </c>
      <c r="G5444" s="3">
        <f t="shared" si="254"/>
        <v>3.5761167522490034E-3</v>
      </c>
      <c r="H5444" s="2">
        <f t="shared" si="252"/>
        <v>76.5</v>
      </c>
      <c r="I5444" s="3">
        <f t="shared" si="253"/>
        <v>7.3374256666027243E-3</v>
      </c>
    </row>
    <row r="5445" spans="2:9" x14ac:dyDescent="0.25">
      <c r="B5445" s="1">
        <v>43153</v>
      </c>
      <c r="C5445" s="2">
        <v>10382.700000000001</v>
      </c>
      <c r="D5445" s="2">
        <v>10354.35</v>
      </c>
      <c r="E5445" s="2">
        <v>10397.549999999999</v>
      </c>
      <c r="F5445" s="2">
        <v>10340.65</v>
      </c>
      <c r="G5445" s="3">
        <f t="shared" si="254"/>
        <v>-1.4186170647610963E-3</v>
      </c>
      <c r="H5445" s="2">
        <f t="shared" ref="H5445:H5508" si="255">E5445-F5445</f>
        <v>56.899999999999636</v>
      </c>
      <c r="I5445" s="3">
        <f t="shared" si="253"/>
        <v>5.4952749327576945E-3</v>
      </c>
    </row>
    <row r="5446" spans="2:9" x14ac:dyDescent="0.25">
      <c r="B5446" s="1">
        <v>43154</v>
      </c>
      <c r="C5446" s="2">
        <v>10491.05</v>
      </c>
      <c r="D5446" s="2">
        <v>10408.1</v>
      </c>
      <c r="E5446" s="2">
        <v>10499.1</v>
      </c>
      <c r="F5446" s="2">
        <v>10396.65</v>
      </c>
      <c r="G5446" s="3">
        <f t="shared" si="254"/>
        <v>1.0435628497404092E-2</v>
      </c>
      <c r="H5446" s="2">
        <f t="shared" si="255"/>
        <v>102.45000000000073</v>
      </c>
      <c r="I5446" s="3">
        <f t="shared" ref="I5446:I5509" si="256">H5446/D5446</f>
        <v>9.8432951259116198E-3</v>
      </c>
    </row>
    <row r="5447" spans="2:9" x14ac:dyDescent="0.25">
      <c r="B5447" s="1">
        <v>43157</v>
      </c>
      <c r="C5447" s="2">
        <v>10582.6</v>
      </c>
      <c r="D5447" s="2">
        <v>10526.55</v>
      </c>
      <c r="E5447" s="2">
        <v>10592.95</v>
      </c>
      <c r="F5447" s="2">
        <v>10520.2</v>
      </c>
      <c r="G5447" s="3">
        <f t="shared" ref="G5447:G5510" si="257">C5447/C5446-1</f>
        <v>8.7264859094180469E-3</v>
      </c>
      <c r="H5447" s="2">
        <f t="shared" si="255"/>
        <v>72.75</v>
      </c>
      <c r="I5447" s="3">
        <f t="shared" si="256"/>
        <v>6.9110962281089252E-3</v>
      </c>
    </row>
    <row r="5448" spans="2:9" x14ac:dyDescent="0.25">
      <c r="B5448" s="1">
        <v>43158</v>
      </c>
      <c r="C5448" s="2">
        <v>10554.3</v>
      </c>
      <c r="D5448" s="2">
        <v>10615.2</v>
      </c>
      <c r="E5448" s="2">
        <v>10631.65</v>
      </c>
      <c r="F5448" s="2">
        <v>10537.25</v>
      </c>
      <c r="G5448" s="3">
        <f t="shared" si="257"/>
        <v>-2.6742010470017785E-3</v>
      </c>
      <c r="H5448" s="2">
        <f t="shared" si="255"/>
        <v>94.399999999999636</v>
      </c>
      <c r="I5448" s="3">
        <f t="shared" si="256"/>
        <v>8.892908282462848E-3</v>
      </c>
    </row>
    <row r="5449" spans="2:9" x14ac:dyDescent="0.25">
      <c r="B5449" s="1">
        <v>43159</v>
      </c>
      <c r="C5449" s="2">
        <v>10492.85</v>
      </c>
      <c r="D5449" s="2">
        <v>10488.95</v>
      </c>
      <c r="E5449" s="2">
        <v>10535.5</v>
      </c>
      <c r="F5449" s="2">
        <v>10461.549999999999</v>
      </c>
      <c r="G5449" s="3">
        <f t="shared" si="257"/>
        <v>-5.8222714912404827E-3</v>
      </c>
      <c r="H5449" s="2">
        <f t="shared" si="255"/>
        <v>73.950000000000728</v>
      </c>
      <c r="I5449" s="3">
        <f t="shared" si="256"/>
        <v>7.0502767197861294E-3</v>
      </c>
    </row>
    <row r="5450" spans="2:9" x14ac:dyDescent="0.25">
      <c r="B5450" s="1">
        <v>43160</v>
      </c>
      <c r="C5450" s="2">
        <v>10458.35</v>
      </c>
      <c r="D5450" s="2">
        <v>10479.950000000001</v>
      </c>
      <c r="E5450" s="2">
        <v>10525.5</v>
      </c>
      <c r="F5450" s="2">
        <v>10447.15</v>
      </c>
      <c r="G5450" s="3">
        <f t="shared" si="257"/>
        <v>-3.2879532252915178E-3</v>
      </c>
      <c r="H5450" s="2">
        <f t="shared" si="255"/>
        <v>78.350000000000364</v>
      </c>
      <c r="I5450" s="3">
        <f t="shared" si="256"/>
        <v>7.476180706969056E-3</v>
      </c>
    </row>
    <row r="5451" spans="2:9" x14ac:dyDescent="0.25">
      <c r="B5451" s="1">
        <v>43164</v>
      </c>
      <c r="C5451" s="2">
        <v>10358.85</v>
      </c>
      <c r="D5451" s="2">
        <v>10428.299999999999</v>
      </c>
      <c r="E5451" s="2">
        <v>10428.700000000001</v>
      </c>
      <c r="F5451" s="2">
        <v>10323.9</v>
      </c>
      <c r="G5451" s="3">
        <f t="shared" si="257"/>
        <v>-9.5139290614676408E-3</v>
      </c>
      <c r="H5451" s="2">
        <f t="shared" si="255"/>
        <v>104.80000000000109</v>
      </c>
      <c r="I5451" s="3">
        <f t="shared" si="256"/>
        <v>1.0049576632816576E-2</v>
      </c>
    </row>
    <row r="5452" spans="2:9" x14ac:dyDescent="0.25">
      <c r="B5452" s="1">
        <v>43165</v>
      </c>
      <c r="C5452" s="2">
        <v>10249.25</v>
      </c>
      <c r="D5452" s="2">
        <v>10420.5</v>
      </c>
      <c r="E5452" s="2">
        <v>10441.35</v>
      </c>
      <c r="F5452" s="2">
        <v>10215.9</v>
      </c>
      <c r="G5452" s="3">
        <f t="shared" si="257"/>
        <v>-1.0580325036080307E-2</v>
      </c>
      <c r="H5452" s="2">
        <f t="shared" si="255"/>
        <v>225.45000000000073</v>
      </c>
      <c r="I5452" s="3">
        <f t="shared" si="256"/>
        <v>2.1635238232330573E-2</v>
      </c>
    </row>
    <row r="5453" spans="2:9" x14ac:dyDescent="0.25">
      <c r="B5453" s="1">
        <v>43166</v>
      </c>
      <c r="C5453" s="2">
        <v>10154.200000000001</v>
      </c>
      <c r="D5453" s="2">
        <v>10232.950000000001</v>
      </c>
      <c r="E5453" s="2">
        <v>10243.35</v>
      </c>
      <c r="F5453" s="2">
        <v>10141.549999999999</v>
      </c>
      <c r="G5453" s="3">
        <f t="shared" si="257"/>
        <v>-9.2738493060466887E-3</v>
      </c>
      <c r="H5453" s="2">
        <f t="shared" si="255"/>
        <v>101.80000000000109</v>
      </c>
      <c r="I5453" s="3">
        <f t="shared" si="256"/>
        <v>9.9482553906743501E-3</v>
      </c>
    </row>
    <row r="5454" spans="2:9" x14ac:dyDescent="0.25">
      <c r="B5454" s="1">
        <v>43167</v>
      </c>
      <c r="C5454" s="2">
        <v>10242.65</v>
      </c>
      <c r="D5454" s="2">
        <v>10216.25</v>
      </c>
      <c r="E5454" s="2">
        <v>10270.35</v>
      </c>
      <c r="F5454" s="2">
        <v>10146.4</v>
      </c>
      <c r="G5454" s="3">
        <f t="shared" si="257"/>
        <v>8.7106812944395262E-3</v>
      </c>
      <c r="H5454" s="2">
        <f t="shared" si="255"/>
        <v>123.95000000000073</v>
      </c>
      <c r="I5454" s="3">
        <f t="shared" si="256"/>
        <v>1.2132631836535004E-2</v>
      </c>
    </row>
    <row r="5455" spans="2:9" x14ac:dyDescent="0.25">
      <c r="B5455" s="1">
        <v>43168</v>
      </c>
      <c r="C5455" s="2">
        <v>10226.85</v>
      </c>
      <c r="D5455" s="2">
        <v>10271.299999999999</v>
      </c>
      <c r="E5455" s="2">
        <v>10296.700000000001</v>
      </c>
      <c r="F5455" s="2">
        <v>10211.9</v>
      </c>
      <c r="G5455" s="3">
        <f t="shared" si="257"/>
        <v>-1.542569549872308E-3</v>
      </c>
      <c r="H5455" s="2">
        <f t="shared" si="255"/>
        <v>84.800000000001091</v>
      </c>
      <c r="I5455" s="3">
        <f t="shared" si="256"/>
        <v>8.2560143311947946E-3</v>
      </c>
    </row>
    <row r="5456" spans="2:9" x14ac:dyDescent="0.25">
      <c r="B5456" s="1">
        <v>43171</v>
      </c>
      <c r="C5456" s="2">
        <v>10421.4</v>
      </c>
      <c r="D5456" s="2">
        <v>10301.6</v>
      </c>
      <c r="E5456" s="2">
        <v>10433.65</v>
      </c>
      <c r="F5456" s="2">
        <v>10295.450000000001</v>
      </c>
      <c r="G5456" s="3">
        <f t="shared" si="257"/>
        <v>1.9023452969389343E-2</v>
      </c>
      <c r="H5456" s="2">
        <f t="shared" si="255"/>
        <v>138.19999999999891</v>
      </c>
      <c r="I5456" s="3">
        <f t="shared" si="256"/>
        <v>1.3415391783800468E-2</v>
      </c>
    </row>
    <row r="5457" spans="2:9" x14ac:dyDescent="0.25">
      <c r="B5457" s="1">
        <v>43172</v>
      </c>
      <c r="C5457" s="2">
        <v>10426.85</v>
      </c>
      <c r="D5457" s="2">
        <v>10389.5</v>
      </c>
      <c r="E5457" s="2">
        <v>10478.6</v>
      </c>
      <c r="F5457" s="2">
        <v>10377.85</v>
      </c>
      <c r="G5457" s="3">
        <f t="shared" si="257"/>
        <v>5.229623659011029E-4</v>
      </c>
      <c r="H5457" s="2">
        <f t="shared" si="255"/>
        <v>100.75</v>
      </c>
      <c r="I5457" s="3">
        <f t="shared" si="256"/>
        <v>9.6972905337119209E-3</v>
      </c>
    </row>
    <row r="5458" spans="2:9" x14ac:dyDescent="0.25">
      <c r="B5458" s="1">
        <v>43173</v>
      </c>
      <c r="C5458" s="2">
        <v>10410.9</v>
      </c>
      <c r="D5458" s="2">
        <v>10393.049999999999</v>
      </c>
      <c r="E5458" s="2">
        <v>10420.35</v>
      </c>
      <c r="F5458" s="2">
        <v>10336.299999999999</v>
      </c>
      <c r="G5458" s="3">
        <f t="shared" si="257"/>
        <v>-1.5297045608214654E-3</v>
      </c>
      <c r="H5458" s="2">
        <f t="shared" si="255"/>
        <v>84.050000000001091</v>
      </c>
      <c r="I5458" s="3">
        <f t="shared" si="256"/>
        <v>8.087135152818576E-3</v>
      </c>
    </row>
    <row r="5459" spans="2:9" x14ac:dyDescent="0.25">
      <c r="B5459" s="1">
        <v>43174</v>
      </c>
      <c r="C5459" s="2">
        <v>10360.15</v>
      </c>
      <c r="D5459" s="2">
        <v>10405.450000000001</v>
      </c>
      <c r="E5459" s="2">
        <v>10420</v>
      </c>
      <c r="F5459" s="2">
        <v>10346.200000000001</v>
      </c>
      <c r="G5459" s="3">
        <f t="shared" si="257"/>
        <v>-4.8746986331633657E-3</v>
      </c>
      <c r="H5459" s="2">
        <f t="shared" si="255"/>
        <v>73.799999999999272</v>
      </c>
      <c r="I5459" s="3">
        <f t="shared" si="256"/>
        <v>7.0924371363083067E-3</v>
      </c>
    </row>
    <row r="5460" spans="2:9" x14ac:dyDescent="0.25">
      <c r="B5460" s="1">
        <v>43175</v>
      </c>
      <c r="C5460" s="2">
        <v>10195.15</v>
      </c>
      <c r="D5460" s="2">
        <v>10345.15</v>
      </c>
      <c r="E5460" s="2">
        <v>10346.299999999999</v>
      </c>
      <c r="F5460" s="2">
        <v>10180.25</v>
      </c>
      <c r="G5460" s="3">
        <f t="shared" si="257"/>
        <v>-1.592641033189679E-2</v>
      </c>
      <c r="H5460" s="2">
        <f t="shared" si="255"/>
        <v>166.04999999999927</v>
      </c>
      <c r="I5460" s="3">
        <f t="shared" si="256"/>
        <v>1.6050999743841249E-2</v>
      </c>
    </row>
    <row r="5461" spans="2:9" x14ac:dyDescent="0.25">
      <c r="B5461" s="1">
        <v>43178</v>
      </c>
      <c r="C5461" s="2">
        <v>10094.25</v>
      </c>
      <c r="D5461" s="2">
        <v>10215.35</v>
      </c>
      <c r="E5461" s="2">
        <v>10224.549999999999</v>
      </c>
      <c r="F5461" s="2">
        <v>10075.299999999999</v>
      </c>
      <c r="G5461" s="3">
        <f t="shared" si="257"/>
        <v>-9.8968627239421902E-3</v>
      </c>
      <c r="H5461" s="2">
        <f t="shared" si="255"/>
        <v>149.25</v>
      </c>
      <c r="I5461" s="3">
        <f t="shared" si="256"/>
        <v>1.461036577307679E-2</v>
      </c>
    </row>
    <row r="5462" spans="2:9" x14ac:dyDescent="0.25">
      <c r="B5462" s="1">
        <v>43179</v>
      </c>
      <c r="C5462" s="2">
        <v>10124.35</v>
      </c>
      <c r="D5462" s="2">
        <v>10051.549999999999</v>
      </c>
      <c r="E5462" s="2">
        <v>10155.65</v>
      </c>
      <c r="F5462" s="2">
        <v>10049.1</v>
      </c>
      <c r="G5462" s="3">
        <f t="shared" si="257"/>
        <v>2.9818956336529201E-3</v>
      </c>
      <c r="H5462" s="2">
        <f t="shared" si="255"/>
        <v>106.54999999999927</v>
      </c>
      <c r="I5462" s="3">
        <f t="shared" si="256"/>
        <v>1.0600355169103201E-2</v>
      </c>
    </row>
    <row r="5463" spans="2:9" x14ac:dyDescent="0.25">
      <c r="B5463" s="1">
        <v>43180</v>
      </c>
      <c r="C5463" s="2">
        <v>10155.25</v>
      </c>
      <c r="D5463" s="2">
        <v>10181.950000000001</v>
      </c>
      <c r="E5463" s="2">
        <v>10227.299999999999</v>
      </c>
      <c r="F5463" s="2">
        <v>10132.950000000001</v>
      </c>
      <c r="G5463" s="3">
        <f t="shared" si="257"/>
        <v>3.0520477857838291E-3</v>
      </c>
      <c r="H5463" s="2">
        <f t="shared" si="255"/>
        <v>94.349999999998545</v>
      </c>
      <c r="I5463" s="3">
        <f t="shared" si="256"/>
        <v>9.2663978903843106E-3</v>
      </c>
    </row>
    <row r="5464" spans="2:9" x14ac:dyDescent="0.25">
      <c r="B5464" s="1">
        <v>43181</v>
      </c>
      <c r="C5464" s="2">
        <v>10114.75</v>
      </c>
      <c r="D5464" s="2">
        <v>10167.5</v>
      </c>
      <c r="E5464" s="2">
        <v>10207.85</v>
      </c>
      <c r="F5464" s="2">
        <v>10105.4</v>
      </c>
      <c r="G5464" s="3">
        <f t="shared" si="257"/>
        <v>-3.988084980675044E-3</v>
      </c>
      <c r="H5464" s="2">
        <f t="shared" si="255"/>
        <v>102.45000000000073</v>
      </c>
      <c r="I5464" s="3">
        <f t="shared" si="256"/>
        <v>1.0076223260388564E-2</v>
      </c>
    </row>
    <row r="5465" spans="2:9" x14ac:dyDescent="0.25">
      <c r="B5465" s="1">
        <v>43182</v>
      </c>
      <c r="C5465" s="2">
        <v>9998.0499999999993</v>
      </c>
      <c r="D5465" s="2">
        <v>9968.7999999999993</v>
      </c>
      <c r="E5465" s="2">
        <v>10027.700000000001</v>
      </c>
      <c r="F5465" s="2">
        <v>9951.9</v>
      </c>
      <c r="G5465" s="3">
        <f t="shared" si="257"/>
        <v>-1.1537605971477349E-2</v>
      </c>
      <c r="H5465" s="2">
        <f t="shared" si="255"/>
        <v>75.800000000001091</v>
      </c>
      <c r="I5465" s="3">
        <f t="shared" si="256"/>
        <v>7.6037236176872943E-3</v>
      </c>
    </row>
    <row r="5466" spans="2:9" x14ac:dyDescent="0.25">
      <c r="B5466" s="1">
        <v>43185</v>
      </c>
      <c r="C5466" s="2">
        <v>10130.65</v>
      </c>
      <c r="D5466" s="2">
        <v>9989.15</v>
      </c>
      <c r="E5466" s="2">
        <v>10143.5</v>
      </c>
      <c r="F5466" s="2">
        <v>9958.5499999999993</v>
      </c>
      <c r="G5466" s="3">
        <f t="shared" si="257"/>
        <v>1.3262586204309867E-2</v>
      </c>
      <c r="H5466" s="2">
        <f t="shared" si="255"/>
        <v>184.95000000000073</v>
      </c>
      <c r="I5466" s="3">
        <f t="shared" si="256"/>
        <v>1.851508887142557E-2</v>
      </c>
    </row>
    <row r="5467" spans="2:9" x14ac:dyDescent="0.25">
      <c r="B5467" s="1">
        <v>43186</v>
      </c>
      <c r="C5467" s="2">
        <v>10184.15</v>
      </c>
      <c r="D5467" s="2">
        <v>10188</v>
      </c>
      <c r="E5467" s="2">
        <v>10207.9</v>
      </c>
      <c r="F5467" s="2">
        <v>10139.65</v>
      </c>
      <c r="G5467" s="3">
        <f t="shared" si="257"/>
        <v>5.2810036868315979E-3</v>
      </c>
      <c r="H5467" s="2">
        <f t="shared" si="255"/>
        <v>68.25</v>
      </c>
      <c r="I5467" s="3">
        <f t="shared" si="256"/>
        <v>6.6990577149587749E-3</v>
      </c>
    </row>
    <row r="5468" spans="2:9" x14ac:dyDescent="0.25">
      <c r="B5468" s="1">
        <v>43187</v>
      </c>
      <c r="C5468" s="2">
        <v>10113.700000000001</v>
      </c>
      <c r="D5468" s="2">
        <v>10143.6</v>
      </c>
      <c r="E5468" s="2">
        <v>10158.35</v>
      </c>
      <c r="F5468" s="2">
        <v>10096.9</v>
      </c>
      <c r="G5468" s="3">
        <f t="shared" si="257"/>
        <v>-6.9176121718551586E-3</v>
      </c>
      <c r="H5468" s="2">
        <f t="shared" si="255"/>
        <v>61.450000000000728</v>
      </c>
      <c r="I5468" s="3">
        <f t="shared" si="256"/>
        <v>6.0580070192042985E-3</v>
      </c>
    </row>
    <row r="5469" spans="2:9" x14ac:dyDescent="0.25">
      <c r="B5469" s="1">
        <v>43192</v>
      </c>
      <c r="C5469" s="2">
        <v>10211.799999999999</v>
      </c>
      <c r="D5469" s="2">
        <v>10151.65</v>
      </c>
      <c r="E5469" s="2">
        <v>10220.1</v>
      </c>
      <c r="F5469" s="2">
        <v>10127.75</v>
      </c>
      <c r="G5469" s="3">
        <f t="shared" si="257"/>
        <v>9.6997142489887445E-3</v>
      </c>
      <c r="H5469" s="2">
        <f t="shared" si="255"/>
        <v>92.350000000000364</v>
      </c>
      <c r="I5469" s="3">
        <f t="shared" si="256"/>
        <v>9.0970433377825649E-3</v>
      </c>
    </row>
    <row r="5470" spans="2:9" x14ac:dyDescent="0.25">
      <c r="B5470" s="1">
        <v>43193</v>
      </c>
      <c r="C5470" s="2">
        <v>10245</v>
      </c>
      <c r="D5470" s="2">
        <v>10186.85</v>
      </c>
      <c r="E5470" s="2">
        <v>10255.35</v>
      </c>
      <c r="F5470" s="2">
        <v>10171.049999999999</v>
      </c>
      <c r="G5470" s="3">
        <f t="shared" si="257"/>
        <v>3.2511408370710093E-3</v>
      </c>
      <c r="H5470" s="2">
        <f t="shared" si="255"/>
        <v>84.300000000001091</v>
      </c>
      <c r="I5470" s="3">
        <f t="shared" si="256"/>
        <v>8.275374625129563E-3</v>
      </c>
    </row>
    <row r="5471" spans="2:9" x14ac:dyDescent="0.25">
      <c r="B5471" s="1">
        <v>43194</v>
      </c>
      <c r="C5471" s="2">
        <v>10128.4</v>
      </c>
      <c r="D5471" s="2">
        <v>10274.6</v>
      </c>
      <c r="E5471" s="2">
        <v>10279.85</v>
      </c>
      <c r="F5471" s="2">
        <v>10111.299999999999</v>
      </c>
      <c r="G5471" s="3">
        <f t="shared" si="257"/>
        <v>-1.1381161542215801E-2</v>
      </c>
      <c r="H5471" s="2">
        <f t="shared" si="255"/>
        <v>168.55000000000109</v>
      </c>
      <c r="I5471" s="3">
        <f t="shared" si="256"/>
        <v>1.640453156327264E-2</v>
      </c>
    </row>
    <row r="5472" spans="2:9" x14ac:dyDescent="0.25">
      <c r="B5472" s="1">
        <v>43195</v>
      </c>
      <c r="C5472" s="2">
        <v>10325.15</v>
      </c>
      <c r="D5472" s="2">
        <v>10228.450000000001</v>
      </c>
      <c r="E5472" s="2">
        <v>10331.799999999999</v>
      </c>
      <c r="F5472" s="2">
        <v>10227.450000000001</v>
      </c>
      <c r="G5472" s="3">
        <f t="shared" si="257"/>
        <v>1.9425575609178125E-2</v>
      </c>
      <c r="H5472" s="2">
        <f t="shared" si="255"/>
        <v>104.34999999999854</v>
      </c>
      <c r="I5472" s="3">
        <f t="shared" si="256"/>
        <v>1.0201936754835633E-2</v>
      </c>
    </row>
    <row r="5473" spans="2:9" x14ac:dyDescent="0.25">
      <c r="B5473" s="1">
        <v>43196</v>
      </c>
      <c r="C5473" s="2">
        <v>10331.6</v>
      </c>
      <c r="D5473" s="2">
        <v>10322.75</v>
      </c>
      <c r="E5473" s="2">
        <v>10350.450000000001</v>
      </c>
      <c r="F5473" s="2">
        <v>10290.85</v>
      </c>
      <c r="G5473" s="3">
        <f t="shared" si="257"/>
        <v>6.2468826118755594E-4</v>
      </c>
      <c r="H5473" s="2">
        <f t="shared" si="255"/>
        <v>59.600000000000364</v>
      </c>
      <c r="I5473" s="3">
        <f t="shared" si="256"/>
        <v>5.7736552759681641E-3</v>
      </c>
    </row>
    <row r="5474" spans="2:9" x14ac:dyDescent="0.25">
      <c r="B5474" s="1">
        <v>43199</v>
      </c>
      <c r="C5474" s="2">
        <v>10379.35</v>
      </c>
      <c r="D5474" s="2">
        <v>10333.700000000001</v>
      </c>
      <c r="E5474" s="2">
        <v>10397.700000000001</v>
      </c>
      <c r="F5474" s="2">
        <v>10328.5</v>
      </c>
      <c r="G5474" s="3">
        <f t="shared" si="257"/>
        <v>4.6217430020518702E-3</v>
      </c>
      <c r="H5474" s="2">
        <f t="shared" si="255"/>
        <v>69.200000000000728</v>
      </c>
      <c r="I5474" s="3">
        <f t="shared" si="256"/>
        <v>6.6965365745087161E-3</v>
      </c>
    </row>
    <row r="5475" spans="2:9" x14ac:dyDescent="0.25">
      <c r="B5475" s="1">
        <v>43200</v>
      </c>
      <c r="C5475" s="2">
        <v>10402.25</v>
      </c>
      <c r="D5475" s="2">
        <v>10412.9</v>
      </c>
      <c r="E5475" s="2">
        <v>10424.85</v>
      </c>
      <c r="F5475" s="2">
        <v>10381.5</v>
      </c>
      <c r="G5475" s="3">
        <f t="shared" si="257"/>
        <v>2.206303862958725E-3</v>
      </c>
      <c r="H5475" s="2">
        <f t="shared" si="255"/>
        <v>43.350000000000364</v>
      </c>
      <c r="I5475" s="3">
        <f t="shared" si="256"/>
        <v>4.1631053789050474E-3</v>
      </c>
    </row>
    <row r="5476" spans="2:9" x14ac:dyDescent="0.25">
      <c r="B5476" s="1">
        <v>43201</v>
      </c>
      <c r="C5476" s="2">
        <v>10417.15</v>
      </c>
      <c r="D5476" s="2">
        <v>10428.15</v>
      </c>
      <c r="E5476" s="2">
        <v>10428.15</v>
      </c>
      <c r="F5476" s="2">
        <v>10355.6</v>
      </c>
      <c r="G5476" s="3">
        <f t="shared" si="257"/>
        <v>1.4323824172655097E-3</v>
      </c>
      <c r="H5476" s="2">
        <f t="shared" si="255"/>
        <v>72.549999999999272</v>
      </c>
      <c r="I5476" s="3">
        <f t="shared" si="256"/>
        <v>6.9571304593815083E-3</v>
      </c>
    </row>
    <row r="5477" spans="2:9" x14ac:dyDescent="0.25">
      <c r="B5477" s="1">
        <v>43202</v>
      </c>
      <c r="C5477" s="2">
        <v>10458.65</v>
      </c>
      <c r="D5477" s="2">
        <v>10410.65</v>
      </c>
      <c r="E5477" s="2">
        <v>10469.9</v>
      </c>
      <c r="F5477" s="2">
        <v>10395.25</v>
      </c>
      <c r="G5477" s="3">
        <f t="shared" si="257"/>
        <v>3.9838151509770103E-3</v>
      </c>
      <c r="H5477" s="2">
        <f t="shared" si="255"/>
        <v>74.649999999999636</v>
      </c>
      <c r="I5477" s="3">
        <f t="shared" si="256"/>
        <v>7.1705417048887089E-3</v>
      </c>
    </row>
    <row r="5478" spans="2:9" x14ac:dyDescent="0.25">
      <c r="B5478" s="1">
        <v>43203</v>
      </c>
      <c r="C5478" s="2">
        <v>10480.6</v>
      </c>
      <c r="D5478" s="2">
        <v>10495.3</v>
      </c>
      <c r="E5478" s="2">
        <v>10519.9</v>
      </c>
      <c r="F5478" s="2">
        <v>10451.450000000001</v>
      </c>
      <c r="G5478" s="3">
        <f t="shared" si="257"/>
        <v>2.0987412333333122E-3</v>
      </c>
      <c r="H5478" s="2">
        <f t="shared" si="255"/>
        <v>68.449999999998909</v>
      </c>
      <c r="I5478" s="3">
        <f t="shared" si="256"/>
        <v>6.5219669756937781E-3</v>
      </c>
    </row>
    <row r="5479" spans="2:9" x14ac:dyDescent="0.25">
      <c r="B5479" s="1">
        <v>43206</v>
      </c>
      <c r="C5479" s="2">
        <v>10528.35</v>
      </c>
      <c r="D5479" s="2">
        <v>10398.299999999999</v>
      </c>
      <c r="E5479" s="2">
        <v>10540.15</v>
      </c>
      <c r="F5479" s="2">
        <v>10396.35</v>
      </c>
      <c r="G5479" s="3">
        <f t="shared" si="257"/>
        <v>4.5560368681183405E-3</v>
      </c>
      <c r="H5479" s="2">
        <f t="shared" si="255"/>
        <v>143.79999999999927</v>
      </c>
      <c r="I5479" s="3">
        <f t="shared" si="256"/>
        <v>1.3829183616552637E-2</v>
      </c>
    </row>
    <row r="5480" spans="2:9" x14ac:dyDescent="0.25">
      <c r="B5480" s="1">
        <v>43207</v>
      </c>
      <c r="C5480" s="2">
        <v>10548.7</v>
      </c>
      <c r="D5480" s="2">
        <v>10557.3</v>
      </c>
      <c r="E5480" s="2">
        <v>10560.45</v>
      </c>
      <c r="F5480" s="2">
        <v>10495.65</v>
      </c>
      <c r="G5480" s="3">
        <f t="shared" si="257"/>
        <v>1.9328764716219915E-3</v>
      </c>
      <c r="H5480" s="2">
        <f t="shared" si="255"/>
        <v>64.800000000001091</v>
      </c>
      <c r="I5480" s="3">
        <f t="shared" si="256"/>
        <v>6.1379329942315838E-3</v>
      </c>
    </row>
    <row r="5481" spans="2:9" x14ac:dyDescent="0.25">
      <c r="B5481" s="1">
        <v>43208</v>
      </c>
      <c r="C5481" s="2">
        <v>10526.2</v>
      </c>
      <c r="D5481" s="2">
        <v>10578.9</v>
      </c>
      <c r="E5481" s="2">
        <v>10594.2</v>
      </c>
      <c r="F5481" s="2">
        <v>10509.7</v>
      </c>
      <c r="G5481" s="3">
        <f t="shared" si="257"/>
        <v>-2.1329642515190983E-3</v>
      </c>
      <c r="H5481" s="2">
        <f t="shared" si="255"/>
        <v>84.5</v>
      </c>
      <c r="I5481" s="3">
        <f t="shared" si="256"/>
        <v>7.9875979544187011E-3</v>
      </c>
    </row>
    <row r="5482" spans="2:9" x14ac:dyDescent="0.25">
      <c r="B5482" s="1">
        <v>43209</v>
      </c>
      <c r="C5482" s="2">
        <v>10565.3</v>
      </c>
      <c r="D5482" s="2">
        <v>10563.65</v>
      </c>
      <c r="E5482" s="2">
        <v>10572.2</v>
      </c>
      <c r="F5482" s="2">
        <v>10546.2</v>
      </c>
      <c r="G5482" s="3">
        <f t="shared" si="257"/>
        <v>3.7145408599492669E-3</v>
      </c>
      <c r="H5482" s="2">
        <f t="shared" si="255"/>
        <v>26</v>
      </c>
      <c r="I5482" s="3">
        <f t="shared" si="256"/>
        <v>2.461270488893517E-3</v>
      </c>
    </row>
    <row r="5483" spans="2:9" x14ac:dyDescent="0.25">
      <c r="B5483" s="1">
        <v>43210</v>
      </c>
      <c r="C5483" s="2">
        <v>10564.05</v>
      </c>
      <c r="D5483" s="2">
        <v>10560.35</v>
      </c>
      <c r="E5483" s="2">
        <v>10582.35</v>
      </c>
      <c r="F5483" s="2">
        <v>10527.45</v>
      </c>
      <c r="G5483" s="3">
        <f t="shared" si="257"/>
        <v>-1.1831183212973606E-4</v>
      </c>
      <c r="H5483" s="2">
        <f t="shared" si="255"/>
        <v>54.899999999999636</v>
      </c>
      <c r="I5483" s="3">
        <f t="shared" si="256"/>
        <v>5.1986913312531908E-3</v>
      </c>
    </row>
    <row r="5484" spans="2:9" x14ac:dyDescent="0.25">
      <c r="B5484" s="1">
        <v>43213</v>
      </c>
      <c r="C5484" s="2">
        <v>10584.7</v>
      </c>
      <c r="D5484" s="2">
        <v>10592.8</v>
      </c>
      <c r="E5484" s="2">
        <v>10638.35</v>
      </c>
      <c r="F5484" s="2">
        <v>10514.95</v>
      </c>
      <c r="G5484" s="3">
        <f t="shared" si="257"/>
        <v>1.9547427359773994E-3</v>
      </c>
      <c r="H5484" s="2">
        <f t="shared" si="255"/>
        <v>123.39999999999964</v>
      </c>
      <c r="I5484" s="3">
        <f t="shared" si="256"/>
        <v>1.1649422249074809E-2</v>
      </c>
    </row>
    <row r="5485" spans="2:9" x14ac:dyDescent="0.25">
      <c r="B5485" s="1">
        <v>43214</v>
      </c>
      <c r="C5485" s="2">
        <v>10614.35</v>
      </c>
      <c r="D5485" s="2">
        <v>10578.1</v>
      </c>
      <c r="E5485" s="2">
        <v>10636.8</v>
      </c>
      <c r="F5485" s="2">
        <v>10569</v>
      </c>
      <c r="G5485" s="3">
        <f t="shared" si="257"/>
        <v>2.8012130716978945E-3</v>
      </c>
      <c r="H5485" s="2">
        <f t="shared" si="255"/>
        <v>67.799999999999272</v>
      </c>
      <c r="I5485" s="3">
        <f t="shared" si="256"/>
        <v>6.4094686191281296E-3</v>
      </c>
    </row>
    <row r="5486" spans="2:9" x14ac:dyDescent="0.25">
      <c r="B5486" s="1">
        <v>43215</v>
      </c>
      <c r="C5486" s="2">
        <v>10570.55</v>
      </c>
      <c r="D5486" s="2">
        <v>10612.4</v>
      </c>
      <c r="E5486" s="2">
        <v>10612.6</v>
      </c>
      <c r="F5486" s="2">
        <v>10536.45</v>
      </c>
      <c r="G5486" s="3">
        <f t="shared" si="257"/>
        <v>-4.1264891397024828E-3</v>
      </c>
      <c r="H5486" s="2">
        <f t="shared" si="255"/>
        <v>76.149999999999636</v>
      </c>
      <c r="I5486" s="3">
        <f t="shared" si="256"/>
        <v>7.1755682032339186E-3</v>
      </c>
    </row>
    <row r="5487" spans="2:9" x14ac:dyDescent="0.25">
      <c r="B5487" s="1">
        <v>43216</v>
      </c>
      <c r="C5487" s="2">
        <v>10617.8</v>
      </c>
      <c r="D5487" s="2">
        <v>10586.5</v>
      </c>
      <c r="E5487" s="2">
        <v>10628.4</v>
      </c>
      <c r="F5487" s="2">
        <v>10559.65</v>
      </c>
      <c r="G5487" s="3">
        <f t="shared" si="257"/>
        <v>4.4699660850191503E-3</v>
      </c>
      <c r="H5487" s="2">
        <f t="shared" si="255"/>
        <v>68.75</v>
      </c>
      <c r="I5487" s="3">
        <f t="shared" si="256"/>
        <v>6.4941198696453033E-3</v>
      </c>
    </row>
    <row r="5488" spans="2:9" x14ac:dyDescent="0.25">
      <c r="B5488" s="1">
        <v>43217</v>
      </c>
      <c r="C5488" s="2">
        <v>10692.3</v>
      </c>
      <c r="D5488" s="2">
        <v>10651.65</v>
      </c>
      <c r="E5488" s="2">
        <v>10719.8</v>
      </c>
      <c r="F5488" s="2">
        <v>10647.55</v>
      </c>
      <c r="G5488" s="3">
        <f t="shared" si="257"/>
        <v>7.0165194296369915E-3</v>
      </c>
      <c r="H5488" s="2">
        <f t="shared" si="255"/>
        <v>72.25</v>
      </c>
      <c r="I5488" s="3">
        <f t="shared" si="256"/>
        <v>6.7829866734261833E-3</v>
      </c>
    </row>
    <row r="5489" spans="2:9" x14ac:dyDescent="0.25">
      <c r="B5489" s="1">
        <v>43220</v>
      </c>
      <c r="C5489" s="2">
        <v>10739.35</v>
      </c>
      <c r="D5489" s="2">
        <v>10705.75</v>
      </c>
      <c r="E5489" s="2">
        <v>10759</v>
      </c>
      <c r="F5489" s="2">
        <v>10704.6</v>
      </c>
      <c r="G5489" s="3">
        <f t="shared" si="257"/>
        <v>4.4003628779589743E-3</v>
      </c>
      <c r="H5489" s="2">
        <f t="shared" si="255"/>
        <v>54.399999999999636</v>
      </c>
      <c r="I5489" s="3">
        <f t="shared" si="256"/>
        <v>5.0813815005954404E-3</v>
      </c>
    </row>
    <row r="5490" spans="2:9" x14ac:dyDescent="0.25">
      <c r="B5490" s="1">
        <v>43222</v>
      </c>
      <c r="C5490" s="2">
        <v>10718.05</v>
      </c>
      <c r="D5490" s="2">
        <v>10783.85</v>
      </c>
      <c r="E5490" s="2">
        <v>10784.65</v>
      </c>
      <c r="F5490" s="2">
        <v>10689.8</v>
      </c>
      <c r="G5490" s="3">
        <f t="shared" si="257"/>
        <v>-1.9833602592336241E-3</v>
      </c>
      <c r="H5490" s="2">
        <f t="shared" si="255"/>
        <v>94.850000000000364</v>
      </c>
      <c r="I5490" s="3">
        <f t="shared" si="256"/>
        <v>8.7955600272630243E-3</v>
      </c>
    </row>
    <row r="5491" spans="2:9" x14ac:dyDescent="0.25">
      <c r="B5491" s="1">
        <v>43223</v>
      </c>
      <c r="C5491" s="2">
        <v>10679.65</v>
      </c>
      <c r="D5491" s="2">
        <v>10720.15</v>
      </c>
      <c r="E5491" s="2">
        <v>10720.6</v>
      </c>
      <c r="F5491" s="2">
        <v>10647.45</v>
      </c>
      <c r="G5491" s="3">
        <f t="shared" si="257"/>
        <v>-3.5827412635693889E-3</v>
      </c>
      <c r="H5491" s="2">
        <f t="shared" si="255"/>
        <v>73.149999999999636</v>
      </c>
      <c r="I5491" s="3">
        <f t="shared" si="256"/>
        <v>6.8235985503933847E-3</v>
      </c>
    </row>
    <row r="5492" spans="2:9" x14ac:dyDescent="0.25">
      <c r="B5492" s="1">
        <v>43224</v>
      </c>
      <c r="C5492" s="2">
        <v>10618.25</v>
      </c>
      <c r="D5492" s="2">
        <v>10700.45</v>
      </c>
      <c r="E5492" s="2">
        <v>10700.45</v>
      </c>
      <c r="F5492" s="2">
        <v>10601.6</v>
      </c>
      <c r="G5492" s="3">
        <f t="shared" si="257"/>
        <v>-5.7492520822310933E-3</v>
      </c>
      <c r="H5492" s="2">
        <f t="shared" si="255"/>
        <v>98.850000000000364</v>
      </c>
      <c r="I5492" s="3">
        <f t="shared" si="256"/>
        <v>9.2379292459663243E-3</v>
      </c>
    </row>
    <row r="5493" spans="2:9" x14ac:dyDescent="0.25">
      <c r="B5493" s="1">
        <v>43227</v>
      </c>
      <c r="C5493" s="2">
        <v>10715.5</v>
      </c>
      <c r="D5493" s="2">
        <v>10653.15</v>
      </c>
      <c r="E5493" s="2">
        <v>10725.65</v>
      </c>
      <c r="F5493" s="2">
        <v>10635.65</v>
      </c>
      <c r="G5493" s="3">
        <f t="shared" si="257"/>
        <v>9.1587596826219198E-3</v>
      </c>
      <c r="H5493" s="2">
        <f t="shared" si="255"/>
        <v>90</v>
      </c>
      <c r="I5493" s="3">
        <f t="shared" si="256"/>
        <v>8.4482054603567964E-3</v>
      </c>
    </row>
    <row r="5494" spans="2:9" x14ac:dyDescent="0.25">
      <c r="B5494" s="1">
        <v>43228</v>
      </c>
      <c r="C5494" s="2">
        <v>10717.8</v>
      </c>
      <c r="D5494" s="2">
        <v>10757.9</v>
      </c>
      <c r="E5494" s="2">
        <v>10758.55</v>
      </c>
      <c r="F5494" s="2">
        <v>10689.4</v>
      </c>
      <c r="G5494" s="3">
        <f t="shared" si="257"/>
        <v>2.1464234053469866E-4</v>
      </c>
      <c r="H5494" s="2">
        <f t="shared" si="255"/>
        <v>69.149999999999636</v>
      </c>
      <c r="I5494" s="3">
        <f t="shared" si="256"/>
        <v>6.4278344286523986E-3</v>
      </c>
    </row>
    <row r="5495" spans="2:9" x14ac:dyDescent="0.25">
      <c r="B5495" s="1">
        <v>43229</v>
      </c>
      <c r="C5495" s="2">
        <v>10741.7</v>
      </c>
      <c r="D5495" s="2">
        <v>10693.35</v>
      </c>
      <c r="E5495" s="2">
        <v>10766.25</v>
      </c>
      <c r="F5495" s="2">
        <v>10689.85</v>
      </c>
      <c r="G5495" s="3">
        <f t="shared" si="257"/>
        <v>2.2299352479053791E-3</v>
      </c>
      <c r="H5495" s="2">
        <f t="shared" si="255"/>
        <v>76.399999999999636</v>
      </c>
      <c r="I5495" s="3">
        <f t="shared" si="256"/>
        <v>7.144627268348986E-3</v>
      </c>
    </row>
    <row r="5496" spans="2:9" x14ac:dyDescent="0.25">
      <c r="B5496" s="1">
        <v>43230</v>
      </c>
      <c r="C5496" s="2">
        <v>10716.55</v>
      </c>
      <c r="D5496" s="2">
        <v>10779.65</v>
      </c>
      <c r="E5496" s="2">
        <v>10785.55</v>
      </c>
      <c r="F5496" s="2">
        <v>10705</v>
      </c>
      <c r="G5496" s="3">
        <f t="shared" si="257"/>
        <v>-2.3413426180214358E-3</v>
      </c>
      <c r="H5496" s="2">
        <f t="shared" si="255"/>
        <v>80.549999999999272</v>
      </c>
      <c r="I5496" s="3">
        <f t="shared" si="256"/>
        <v>7.4724132972776736E-3</v>
      </c>
    </row>
    <row r="5497" spans="2:9" x14ac:dyDescent="0.25">
      <c r="B5497" s="1">
        <v>43231</v>
      </c>
      <c r="C5497" s="2">
        <v>10806.5</v>
      </c>
      <c r="D5497" s="2">
        <v>10741.95</v>
      </c>
      <c r="E5497" s="2">
        <v>10812.05</v>
      </c>
      <c r="F5497" s="2">
        <v>10724.45</v>
      </c>
      <c r="G5497" s="3">
        <f t="shared" si="257"/>
        <v>8.3935594944268832E-3</v>
      </c>
      <c r="H5497" s="2">
        <f t="shared" si="255"/>
        <v>87.599999999998545</v>
      </c>
      <c r="I5497" s="3">
        <f t="shared" si="256"/>
        <v>8.1549439347603121E-3</v>
      </c>
    </row>
    <row r="5498" spans="2:9" x14ac:dyDescent="0.25">
      <c r="B5498" s="1">
        <v>43234</v>
      </c>
      <c r="C5498" s="2">
        <v>10806.6</v>
      </c>
      <c r="D5498" s="2">
        <v>10815.15</v>
      </c>
      <c r="E5498" s="2">
        <v>10834.85</v>
      </c>
      <c r="F5498" s="2">
        <v>10774.75</v>
      </c>
      <c r="G5498" s="3">
        <f t="shared" si="257"/>
        <v>9.2536899087836133E-6</v>
      </c>
      <c r="H5498" s="2">
        <f t="shared" si="255"/>
        <v>60.100000000000364</v>
      </c>
      <c r="I5498" s="3">
        <f t="shared" si="256"/>
        <v>5.5570195512776397E-3</v>
      </c>
    </row>
    <row r="5499" spans="2:9" x14ac:dyDescent="0.25">
      <c r="B5499" s="1">
        <v>43235</v>
      </c>
      <c r="C5499" s="2">
        <v>10801.85</v>
      </c>
      <c r="D5499" s="2">
        <v>10812.6</v>
      </c>
      <c r="E5499" s="2">
        <v>10929.2</v>
      </c>
      <c r="F5499" s="2">
        <v>10781.4</v>
      </c>
      <c r="G5499" s="3">
        <f t="shared" si="257"/>
        <v>-4.3954620324615501E-4</v>
      </c>
      <c r="H5499" s="2">
        <f t="shared" si="255"/>
        <v>147.80000000000109</v>
      </c>
      <c r="I5499" s="3">
        <f t="shared" si="256"/>
        <v>1.3669237741153939E-2</v>
      </c>
    </row>
    <row r="5500" spans="2:9" x14ac:dyDescent="0.25">
      <c r="B5500" s="1">
        <v>43236</v>
      </c>
      <c r="C5500" s="2">
        <v>10741.1</v>
      </c>
      <c r="D5500" s="2">
        <v>10751.95</v>
      </c>
      <c r="E5500" s="2">
        <v>10790.45</v>
      </c>
      <c r="F5500" s="2">
        <v>10699.7</v>
      </c>
      <c r="G5500" s="3">
        <f t="shared" si="257"/>
        <v>-5.6240366233561989E-3</v>
      </c>
      <c r="H5500" s="2">
        <f t="shared" si="255"/>
        <v>90.75</v>
      </c>
      <c r="I5500" s="3">
        <f t="shared" si="256"/>
        <v>8.4403294286152734E-3</v>
      </c>
    </row>
    <row r="5501" spans="2:9" x14ac:dyDescent="0.25">
      <c r="B5501" s="1">
        <v>43237</v>
      </c>
      <c r="C5501" s="2">
        <v>10682.7</v>
      </c>
      <c r="D5501" s="2">
        <v>10775.6</v>
      </c>
      <c r="E5501" s="2">
        <v>10777.25</v>
      </c>
      <c r="F5501" s="2">
        <v>10664.5</v>
      </c>
      <c r="G5501" s="3">
        <f t="shared" si="257"/>
        <v>-5.4370595190436077E-3</v>
      </c>
      <c r="H5501" s="2">
        <f t="shared" si="255"/>
        <v>112.75</v>
      </c>
      <c r="I5501" s="3">
        <f t="shared" si="256"/>
        <v>1.0463454471212739E-2</v>
      </c>
    </row>
    <row r="5502" spans="2:9" x14ac:dyDescent="0.25">
      <c r="B5502" s="1">
        <v>43238</v>
      </c>
      <c r="C5502" s="2">
        <v>10596.4</v>
      </c>
      <c r="D5502" s="2">
        <v>10671.85</v>
      </c>
      <c r="E5502" s="2">
        <v>10674.95</v>
      </c>
      <c r="F5502" s="2">
        <v>10589.1</v>
      </c>
      <c r="G5502" s="3">
        <f t="shared" si="257"/>
        <v>-8.0784820316962547E-3</v>
      </c>
      <c r="H5502" s="2">
        <f t="shared" si="255"/>
        <v>85.850000000000364</v>
      </c>
      <c r="I5502" s="3">
        <f t="shared" si="256"/>
        <v>8.0445283619991256E-3</v>
      </c>
    </row>
    <row r="5503" spans="2:9" x14ac:dyDescent="0.25">
      <c r="B5503" s="1">
        <v>43241</v>
      </c>
      <c r="C5503" s="2">
        <v>10516.7</v>
      </c>
      <c r="D5503" s="2">
        <v>10616.7</v>
      </c>
      <c r="E5503" s="2">
        <v>10621.7</v>
      </c>
      <c r="F5503" s="2">
        <v>10505.8</v>
      </c>
      <c r="G5503" s="3">
        <f t="shared" si="257"/>
        <v>-7.5214223698613081E-3</v>
      </c>
      <c r="H5503" s="2">
        <f t="shared" si="255"/>
        <v>115.90000000000146</v>
      </c>
      <c r="I5503" s="3">
        <f t="shared" si="256"/>
        <v>1.0916763212674508E-2</v>
      </c>
    </row>
    <row r="5504" spans="2:9" x14ac:dyDescent="0.25">
      <c r="B5504" s="1">
        <v>43242</v>
      </c>
      <c r="C5504" s="2">
        <v>10536.7</v>
      </c>
      <c r="D5504" s="2">
        <v>10518.45</v>
      </c>
      <c r="E5504" s="2">
        <v>10558.6</v>
      </c>
      <c r="F5504" s="2">
        <v>10490.55</v>
      </c>
      <c r="G5504" s="3">
        <f t="shared" si="257"/>
        <v>1.9017372369660723E-3</v>
      </c>
      <c r="H5504" s="2">
        <f t="shared" si="255"/>
        <v>68.050000000001091</v>
      </c>
      <c r="I5504" s="3">
        <f t="shared" si="256"/>
        <v>6.4695843969407169E-3</v>
      </c>
    </row>
    <row r="5505" spans="2:9" x14ac:dyDescent="0.25">
      <c r="B5505" s="1">
        <v>43243</v>
      </c>
      <c r="C5505" s="2">
        <v>10430.35</v>
      </c>
      <c r="D5505" s="2">
        <v>10521.1</v>
      </c>
      <c r="E5505" s="2">
        <v>10533.55</v>
      </c>
      <c r="F5505" s="2">
        <v>10417.799999999999</v>
      </c>
      <c r="G5505" s="3">
        <f t="shared" si="257"/>
        <v>-1.0093292966488643E-2</v>
      </c>
      <c r="H5505" s="2">
        <f t="shared" si="255"/>
        <v>115.75</v>
      </c>
      <c r="I5505" s="3">
        <f t="shared" si="256"/>
        <v>1.1001701343015464E-2</v>
      </c>
    </row>
    <row r="5506" spans="2:9" x14ac:dyDescent="0.25">
      <c r="B5506" s="1">
        <v>43244</v>
      </c>
      <c r="C5506" s="2">
        <v>10513.85</v>
      </c>
      <c r="D5506" s="2">
        <v>10464.85</v>
      </c>
      <c r="E5506" s="2">
        <v>10535.15</v>
      </c>
      <c r="F5506" s="2">
        <v>10419.799999999999</v>
      </c>
      <c r="G5506" s="3">
        <f t="shared" si="257"/>
        <v>8.0054839962224733E-3</v>
      </c>
      <c r="H5506" s="2">
        <f t="shared" si="255"/>
        <v>115.35000000000036</v>
      </c>
      <c r="I5506" s="3">
        <f t="shared" si="256"/>
        <v>1.1022613797617774E-2</v>
      </c>
    </row>
    <row r="5507" spans="2:9" x14ac:dyDescent="0.25">
      <c r="B5507" s="1">
        <v>43245</v>
      </c>
      <c r="C5507" s="2">
        <v>10605.15</v>
      </c>
      <c r="D5507" s="2">
        <v>10533.05</v>
      </c>
      <c r="E5507" s="2">
        <v>10628.05</v>
      </c>
      <c r="F5507" s="2">
        <v>10524</v>
      </c>
      <c r="G5507" s="3">
        <f t="shared" si="257"/>
        <v>8.6837837709305976E-3</v>
      </c>
      <c r="H5507" s="2">
        <f t="shared" si="255"/>
        <v>104.04999999999927</v>
      </c>
      <c r="I5507" s="3">
        <f t="shared" si="256"/>
        <v>9.8784302742319918E-3</v>
      </c>
    </row>
    <row r="5508" spans="2:9" x14ac:dyDescent="0.25">
      <c r="B5508" s="1">
        <v>43248</v>
      </c>
      <c r="C5508" s="2">
        <v>10688.65</v>
      </c>
      <c r="D5508" s="2">
        <v>10648.35</v>
      </c>
      <c r="E5508" s="2">
        <v>10709.8</v>
      </c>
      <c r="F5508" s="2">
        <v>10640.55</v>
      </c>
      <c r="G5508" s="3">
        <f t="shared" si="257"/>
        <v>7.8735331419168553E-3</v>
      </c>
      <c r="H5508" s="2">
        <f t="shared" si="255"/>
        <v>69.25</v>
      </c>
      <c r="I5508" s="3">
        <f t="shared" si="256"/>
        <v>6.503354979879512E-3</v>
      </c>
    </row>
    <row r="5509" spans="2:9" x14ac:dyDescent="0.25">
      <c r="B5509" s="1">
        <v>43249</v>
      </c>
      <c r="C5509" s="2">
        <v>10633.3</v>
      </c>
      <c r="D5509" s="2">
        <v>10689.4</v>
      </c>
      <c r="E5509" s="2">
        <v>10717.25</v>
      </c>
      <c r="F5509" s="2">
        <v>10616.1</v>
      </c>
      <c r="G5509" s="3">
        <f t="shared" si="257"/>
        <v>-5.1783901615265471E-3</v>
      </c>
      <c r="H5509" s="2">
        <f t="shared" ref="H5509:H5572" si="258">E5509-F5509</f>
        <v>101.14999999999964</v>
      </c>
      <c r="I5509" s="3">
        <f t="shared" si="256"/>
        <v>9.4626452373378894E-3</v>
      </c>
    </row>
    <row r="5510" spans="2:9" x14ac:dyDescent="0.25">
      <c r="B5510" s="1">
        <v>43250</v>
      </c>
      <c r="C5510" s="2">
        <v>10614.35</v>
      </c>
      <c r="D5510" s="2">
        <v>10579</v>
      </c>
      <c r="E5510" s="2">
        <v>10648.7</v>
      </c>
      <c r="F5510" s="2">
        <v>10558.45</v>
      </c>
      <c r="G5510" s="3">
        <f t="shared" si="257"/>
        <v>-1.7821372480790743E-3</v>
      </c>
      <c r="H5510" s="2">
        <f t="shared" si="258"/>
        <v>90.25</v>
      </c>
      <c r="I5510" s="3">
        <f t="shared" ref="I5510:I5573" si="259">H5510/D5510</f>
        <v>8.5310520843179891E-3</v>
      </c>
    </row>
    <row r="5511" spans="2:9" x14ac:dyDescent="0.25">
      <c r="B5511" s="1">
        <v>43251</v>
      </c>
      <c r="C5511" s="2">
        <v>10736.15</v>
      </c>
      <c r="D5511" s="2">
        <v>10670.1</v>
      </c>
      <c r="E5511" s="2">
        <v>10763.8</v>
      </c>
      <c r="F5511" s="2">
        <v>10620.4</v>
      </c>
      <c r="G5511" s="3">
        <f t="shared" ref="G5511:G5574" si="260">C5511/C5510-1</f>
        <v>1.147503144328188E-2</v>
      </c>
      <c r="H5511" s="2">
        <f t="shared" si="258"/>
        <v>143.39999999999964</v>
      </c>
      <c r="I5511" s="3">
        <f t="shared" si="259"/>
        <v>1.3439424185340309E-2</v>
      </c>
    </row>
    <row r="5512" spans="2:9" x14ac:dyDescent="0.25">
      <c r="B5512" s="1">
        <v>43252</v>
      </c>
      <c r="C5512" s="2">
        <v>10696.2</v>
      </c>
      <c r="D5512" s="2">
        <v>10738.45</v>
      </c>
      <c r="E5512" s="2">
        <v>10764.75</v>
      </c>
      <c r="F5512" s="2">
        <v>10681.5</v>
      </c>
      <c r="G5512" s="3">
        <f t="shared" si="260"/>
        <v>-3.7210731966299537E-3</v>
      </c>
      <c r="H5512" s="2">
        <f t="shared" si="258"/>
        <v>83.25</v>
      </c>
      <c r="I5512" s="3">
        <f t="shared" si="259"/>
        <v>7.7525154933905729E-3</v>
      </c>
    </row>
    <row r="5513" spans="2:9" x14ac:dyDescent="0.25">
      <c r="B5513" s="1">
        <v>43255</v>
      </c>
      <c r="C5513" s="2">
        <v>10628.5</v>
      </c>
      <c r="D5513" s="2">
        <v>10765.95</v>
      </c>
      <c r="E5513" s="2">
        <v>10770.3</v>
      </c>
      <c r="F5513" s="2">
        <v>10618.35</v>
      </c>
      <c r="G5513" s="3">
        <f t="shared" si="260"/>
        <v>-6.3293506104972197E-3</v>
      </c>
      <c r="H5513" s="2">
        <f t="shared" si="258"/>
        <v>151.94999999999891</v>
      </c>
      <c r="I5513" s="3">
        <f t="shared" si="259"/>
        <v>1.4113942568932504E-2</v>
      </c>
    </row>
    <row r="5514" spans="2:9" x14ac:dyDescent="0.25">
      <c r="B5514" s="1">
        <v>43256</v>
      </c>
      <c r="C5514" s="2">
        <v>10593.15</v>
      </c>
      <c r="D5514" s="2">
        <v>10630.7</v>
      </c>
      <c r="E5514" s="2">
        <v>10633.15</v>
      </c>
      <c r="F5514" s="2">
        <v>10550.9</v>
      </c>
      <c r="G5514" s="3">
        <f t="shared" si="260"/>
        <v>-3.3259632121184213E-3</v>
      </c>
      <c r="H5514" s="2">
        <f t="shared" si="258"/>
        <v>82.25</v>
      </c>
      <c r="I5514" s="3">
        <f t="shared" si="259"/>
        <v>7.7370257838148002E-3</v>
      </c>
    </row>
    <row r="5515" spans="2:9" x14ac:dyDescent="0.25">
      <c r="B5515" s="1">
        <v>43257</v>
      </c>
      <c r="C5515" s="2">
        <v>10684.65</v>
      </c>
      <c r="D5515" s="2">
        <v>10603.45</v>
      </c>
      <c r="E5515" s="2">
        <v>10698.35</v>
      </c>
      <c r="F5515" s="2">
        <v>10587.5</v>
      </c>
      <c r="G5515" s="3">
        <f t="shared" si="260"/>
        <v>8.6376573540447588E-3</v>
      </c>
      <c r="H5515" s="2">
        <f t="shared" si="258"/>
        <v>110.85000000000036</v>
      </c>
      <c r="I5515" s="3">
        <f t="shared" si="259"/>
        <v>1.045414464160253E-2</v>
      </c>
    </row>
    <row r="5516" spans="2:9" x14ac:dyDescent="0.25">
      <c r="B5516" s="1">
        <v>43258</v>
      </c>
      <c r="C5516" s="2">
        <v>10768.35</v>
      </c>
      <c r="D5516" s="2">
        <v>10722.6</v>
      </c>
      <c r="E5516" s="2">
        <v>10818</v>
      </c>
      <c r="F5516" s="2">
        <v>10722.6</v>
      </c>
      <c r="G5516" s="3">
        <f t="shared" si="260"/>
        <v>7.833667925482013E-3</v>
      </c>
      <c r="H5516" s="2">
        <f t="shared" si="258"/>
        <v>95.399999999999636</v>
      </c>
      <c r="I5516" s="3">
        <f t="shared" si="259"/>
        <v>8.8970958536175593E-3</v>
      </c>
    </row>
    <row r="5517" spans="2:9" x14ac:dyDescent="0.25">
      <c r="B5517" s="1">
        <v>43259</v>
      </c>
      <c r="C5517" s="2">
        <v>10767.65</v>
      </c>
      <c r="D5517" s="2">
        <v>10736.4</v>
      </c>
      <c r="E5517" s="2">
        <v>10779.45</v>
      </c>
      <c r="F5517" s="2">
        <v>10709.05</v>
      </c>
      <c r="G5517" s="3">
        <f t="shared" si="260"/>
        <v>-6.5005316506328015E-5</v>
      </c>
      <c r="H5517" s="2">
        <f t="shared" si="258"/>
        <v>70.400000000001455</v>
      </c>
      <c r="I5517" s="3">
        <f t="shared" si="259"/>
        <v>6.5571327446817792E-3</v>
      </c>
    </row>
    <row r="5518" spans="2:9" x14ac:dyDescent="0.25">
      <c r="B5518" s="1">
        <v>43262</v>
      </c>
      <c r="C5518" s="2">
        <v>10786.95</v>
      </c>
      <c r="D5518" s="2">
        <v>10781.85</v>
      </c>
      <c r="E5518" s="2">
        <v>10850.55</v>
      </c>
      <c r="F5518" s="2">
        <v>10777.05</v>
      </c>
      <c r="G5518" s="3">
        <f t="shared" si="260"/>
        <v>1.7924059567315798E-3</v>
      </c>
      <c r="H5518" s="2">
        <f t="shared" si="258"/>
        <v>73.5</v>
      </c>
      <c r="I5518" s="3">
        <f t="shared" si="259"/>
        <v>6.8170119228147304E-3</v>
      </c>
    </row>
    <row r="5519" spans="2:9" x14ac:dyDescent="0.25">
      <c r="B5519" s="1">
        <v>43263</v>
      </c>
      <c r="C5519" s="2">
        <v>10842.85</v>
      </c>
      <c r="D5519" s="2">
        <v>10816.15</v>
      </c>
      <c r="E5519" s="2">
        <v>10856.55</v>
      </c>
      <c r="F5519" s="2">
        <v>10789.4</v>
      </c>
      <c r="G5519" s="3">
        <f t="shared" si="260"/>
        <v>5.1821877361071245E-3</v>
      </c>
      <c r="H5519" s="2">
        <f t="shared" si="258"/>
        <v>67.149999999999636</v>
      </c>
      <c r="I5519" s="3">
        <f t="shared" si="259"/>
        <v>6.2083088714560758E-3</v>
      </c>
    </row>
    <row r="5520" spans="2:9" x14ac:dyDescent="0.25">
      <c r="B5520" s="1">
        <v>43264</v>
      </c>
      <c r="C5520" s="2">
        <v>10856.7</v>
      </c>
      <c r="D5520" s="2">
        <v>10887.5</v>
      </c>
      <c r="E5520" s="2">
        <v>10893.25</v>
      </c>
      <c r="F5520" s="2">
        <v>10842.65</v>
      </c>
      <c r="G5520" s="3">
        <f t="shared" si="260"/>
        <v>1.2773394448877262E-3</v>
      </c>
      <c r="H5520" s="2">
        <f t="shared" si="258"/>
        <v>50.600000000000364</v>
      </c>
      <c r="I5520" s="3">
        <f t="shared" si="259"/>
        <v>4.6475315729047409E-3</v>
      </c>
    </row>
    <row r="5521" spans="2:9" x14ac:dyDescent="0.25">
      <c r="B5521" s="1">
        <v>43265</v>
      </c>
      <c r="C5521" s="2">
        <v>10808.05</v>
      </c>
      <c r="D5521" s="2">
        <v>10832.9</v>
      </c>
      <c r="E5521" s="2">
        <v>10833.7</v>
      </c>
      <c r="F5521" s="2">
        <v>10773.55</v>
      </c>
      <c r="G5521" s="3">
        <f t="shared" si="260"/>
        <v>-4.4811038344986232E-3</v>
      </c>
      <c r="H5521" s="2">
        <f t="shared" si="258"/>
        <v>60.150000000001455</v>
      </c>
      <c r="I5521" s="3">
        <f t="shared" si="259"/>
        <v>5.5525297934995669E-3</v>
      </c>
    </row>
    <row r="5522" spans="2:9" x14ac:dyDescent="0.25">
      <c r="B5522" s="1">
        <v>43266</v>
      </c>
      <c r="C5522" s="2">
        <v>10817.7</v>
      </c>
      <c r="D5522" s="2">
        <v>10808.65</v>
      </c>
      <c r="E5522" s="2">
        <v>10834</v>
      </c>
      <c r="F5522" s="2">
        <v>10755.4</v>
      </c>
      <c r="G5522" s="3">
        <f t="shared" si="260"/>
        <v>8.9285301233821279E-4</v>
      </c>
      <c r="H5522" s="2">
        <f t="shared" si="258"/>
        <v>78.600000000000364</v>
      </c>
      <c r="I5522" s="3">
        <f t="shared" si="259"/>
        <v>7.2719534817021888E-3</v>
      </c>
    </row>
    <row r="5523" spans="2:9" x14ac:dyDescent="0.25">
      <c r="B5523" s="1">
        <v>43269</v>
      </c>
      <c r="C5523" s="2">
        <v>10799.85</v>
      </c>
      <c r="D5523" s="2">
        <v>10830.2</v>
      </c>
      <c r="E5523" s="2">
        <v>10830.2</v>
      </c>
      <c r="F5523" s="2">
        <v>10787.35</v>
      </c>
      <c r="G5523" s="3">
        <f t="shared" si="260"/>
        <v>-1.6500734906681469E-3</v>
      </c>
      <c r="H5523" s="2">
        <f t="shared" si="258"/>
        <v>42.850000000000364</v>
      </c>
      <c r="I5523" s="3">
        <f t="shared" si="259"/>
        <v>3.9565289653007664E-3</v>
      </c>
    </row>
    <row r="5524" spans="2:9" x14ac:dyDescent="0.25">
      <c r="B5524" s="1">
        <v>43270</v>
      </c>
      <c r="C5524" s="2">
        <v>10710.45</v>
      </c>
      <c r="D5524" s="2">
        <v>10789.45</v>
      </c>
      <c r="E5524" s="2">
        <v>10789.45</v>
      </c>
      <c r="F5524" s="2">
        <v>10701.2</v>
      </c>
      <c r="G5524" s="3">
        <f t="shared" si="260"/>
        <v>-8.2778927485103182E-3</v>
      </c>
      <c r="H5524" s="2">
        <f t="shared" si="258"/>
        <v>88.25</v>
      </c>
      <c r="I5524" s="3">
        <f t="shared" si="259"/>
        <v>8.1792862472137122E-3</v>
      </c>
    </row>
    <row r="5525" spans="2:9" x14ac:dyDescent="0.25">
      <c r="B5525" s="1">
        <v>43271</v>
      </c>
      <c r="C5525" s="2">
        <v>10772.05</v>
      </c>
      <c r="D5525" s="2">
        <v>10734.65</v>
      </c>
      <c r="E5525" s="2">
        <v>10781.8</v>
      </c>
      <c r="F5525" s="2">
        <v>10724.05</v>
      </c>
      <c r="G5525" s="3">
        <f t="shared" si="260"/>
        <v>5.7513923317880078E-3</v>
      </c>
      <c r="H5525" s="2">
        <f t="shared" si="258"/>
        <v>57.75</v>
      </c>
      <c r="I5525" s="3">
        <f t="shared" si="259"/>
        <v>5.3797748412849978E-3</v>
      </c>
    </row>
    <row r="5526" spans="2:9" x14ac:dyDescent="0.25">
      <c r="B5526" s="1">
        <v>43272</v>
      </c>
      <c r="C5526" s="2">
        <v>10741.1</v>
      </c>
      <c r="D5526" s="2">
        <v>10808.45</v>
      </c>
      <c r="E5526" s="2">
        <v>10809.6</v>
      </c>
      <c r="F5526" s="2">
        <v>10725.9</v>
      </c>
      <c r="G5526" s="3">
        <f t="shared" si="260"/>
        <v>-2.8731764148883787E-3</v>
      </c>
      <c r="H5526" s="2">
        <f t="shared" si="258"/>
        <v>83.700000000000728</v>
      </c>
      <c r="I5526" s="3">
        <f t="shared" si="259"/>
        <v>7.7439410831340958E-3</v>
      </c>
    </row>
    <row r="5527" spans="2:9" x14ac:dyDescent="0.25">
      <c r="B5527" s="1">
        <v>43273</v>
      </c>
      <c r="C5527" s="2">
        <v>10821.85</v>
      </c>
      <c r="D5527" s="2">
        <v>10742.7</v>
      </c>
      <c r="E5527" s="2">
        <v>10837</v>
      </c>
      <c r="F5527" s="2">
        <v>10710.45</v>
      </c>
      <c r="G5527" s="3">
        <f t="shared" si="260"/>
        <v>7.5178519890886086E-3</v>
      </c>
      <c r="H5527" s="2">
        <f t="shared" si="258"/>
        <v>126.54999999999927</v>
      </c>
      <c r="I5527" s="3">
        <f t="shared" si="259"/>
        <v>1.1780092527949143E-2</v>
      </c>
    </row>
    <row r="5528" spans="2:9" x14ac:dyDescent="0.25">
      <c r="B5528" s="1">
        <v>43276</v>
      </c>
      <c r="C5528" s="2">
        <v>10762.45</v>
      </c>
      <c r="D5528" s="2">
        <v>10822.9</v>
      </c>
      <c r="E5528" s="2">
        <v>10831.05</v>
      </c>
      <c r="F5528" s="2">
        <v>10753.05</v>
      </c>
      <c r="G5528" s="3">
        <f t="shared" si="260"/>
        <v>-5.4888951519379559E-3</v>
      </c>
      <c r="H5528" s="2">
        <f t="shared" si="258"/>
        <v>78</v>
      </c>
      <c r="I5528" s="3">
        <f t="shared" si="259"/>
        <v>7.2069408384074513E-3</v>
      </c>
    </row>
    <row r="5529" spans="2:9" x14ac:dyDescent="0.25">
      <c r="B5529" s="1">
        <v>43277</v>
      </c>
      <c r="C5529" s="2">
        <v>10769.15</v>
      </c>
      <c r="D5529" s="2">
        <v>10742.7</v>
      </c>
      <c r="E5529" s="2">
        <v>10805.25</v>
      </c>
      <c r="F5529" s="2">
        <v>10732.55</v>
      </c>
      <c r="G5529" s="3">
        <f t="shared" si="260"/>
        <v>6.2253483175278568E-4</v>
      </c>
      <c r="H5529" s="2">
        <f t="shared" si="258"/>
        <v>72.700000000000728</v>
      </c>
      <c r="I5529" s="3">
        <f t="shared" si="259"/>
        <v>6.7673862250645297E-3</v>
      </c>
    </row>
    <row r="5530" spans="2:9" x14ac:dyDescent="0.25">
      <c r="B5530" s="1">
        <v>43278</v>
      </c>
      <c r="C5530" s="2">
        <v>10671.4</v>
      </c>
      <c r="D5530" s="2">
        <v>10785.5</v>
      </c>
      <c r="E5530" s="2">
        <v>10785.5</v>
      </c>
      <c r="F5530" s="2">
        <v>10652.4</v>
      </c>
      <c r="G5530" s="3">
        <f t="shared" si="260"/>
        <v>-9.0768537906891211E-3</v>
      </c>
      <c r="H5530" s="2">
        <f t="shared" si="258"/>
        <v>133.10000000000036</v>
      </c>
      <c r="I5530" s="3">
        <f t="shared" si="259"/>
        <v>1.2340642529321807E-2</v>
      </c>
    </row>
    <row r="5531" spans="2:9" x14ac:dyDescent="0.25">
      <c r="B5531" s="1">
        <v>43279</v>
      </c>
      <c r="C5531" s="2">
        <v>10589.1</v>
      </c>
      <c r="D5531" s="2">
        <v>10660.8</v>
      </c>
      <c r="E5531" s="2">
        <v>10674.2</v>
      </c>
      <c r="F5531" s="2">
        <v>10557.7</v>
      </c>
      <c r="G5531" s="3">
        <f t="shared" si="260"/>
        <v>-7.7122027100473556E-3</v>
      </c>
      <c r="H5531" s="2">
        <f t="shared" si="258"/>
        <v>116.5</v>
      </c>
      <c r="I5531" s="3">
        <f t="shared" si="259"/>
        <v>1.0927885336935315E-2</v>
      </c>
    </row>
    <row r="5532" spans="2:9" x14ac:dyDescent="0.25">
      <c r="B5532" s="1">
        <v>43280</v>
      </c>
      <c r="C5532" s="2">
        <v>10714.3</v>
      </c>
      <c r="D5532" s="2">
        <v>10612.85</v>
      </c>
      <c r="E5532" s="2">
        <v>10723.05</v>
      </c>
      <c r="F5532" s="2">
        <v>10612.35</v>
      </c>
      <c r="G5532" s="3">
        <f t="shared" si="260"/>
        <v>1.1823478860337522E-2</v>
      </c>
      <c r="H5532" s="2">
        <f t="shared" si="258"/>
        <v>110.69999999999891</v>
      </c>
      <c r="I5532" s="3">
        <f t="shared" si="259"/>
        <v>1.0430751400424853E-2</v>
      </c>
    </row>
    <row r="5533" spans="2:9" x14ac:dyDescent="0.25">
      <c r="B5533" s="1">
        <v>43283</v>
      </c>
      <c r="C5533" s="2">
        <v>10657.3</v>
      </c>
      <c r="D5533" s="2">
        <v>10732.35</v>
      </c>
      <c r="E5533" s="2">
        <v>10736.15</v>
      </c>
      <c r="F5533" s="2">
        <v>10604.65</v>
      </c>
      <c r="G5533" s="3">
        <f t="shared" si="260"/>
        <v>-5.3199929066761742E-3</v>
      </c>
      <c r="H5533" s="2">
        <f t="shared" si="258"/>
        <v>131.5</v>
      </c>
      <c r="I5533" s="3">
        <f t="shared" si="259"/>
        <v>1.2252675322739194E-2</v>
      </c>
    </row>
    <row r="5534" spans="2:9" x14ac:dyDescent="0.25">
      <c r="B5534" s="1">
        <v>43284</v>
      </c>
      <c r="C5534" s="2">
        <v>10699.9</v>
      </c>
      <c r="D5534" s="2">
        <v>10668.6</v>
      </c>
      <c r="E5534" s="2">
        <v>10713.3</v>
      </c>
      <c r="F5534" s="2">
        <v>10630.25</v>
      </c>
      <c r="G5534" s="3">
        <f t="shared" si="260"/>
        <v>3.9972600940201275E-3</v>
      </c>
      <c r="H5534" s="2">
        <f t="shared" si="258"/>
        <v>83.049999999999272</v>
      </c>
      <c r="I5534" s="3">
        <f t="shared" si="259"/>
        <v>7.7845265545619172E-3</v>
      </c>
    </row>
    <row r="5535" spans="2:9" x14ac:dyDescent="0.25">
      <c r="B5535" s="1">
        <v>43285</v>
      </c>
      <c r="C5535" s="2">
        <v>10769.9</v>
      </c>
      <c r="D5535" s="2">
        <v>10715</v>
      </c>
      <c r="E5535" s="2">
        <v>10777.15</v>
      </c>
      <c r="F5535" s="2">
        <v>10677.75</v>
      </c>
      <c r="G5535" s="3">
        <f t="shared" si="260"/>
        <v>6.5421172160486929E-3</v>
      </c>
      <c r="H5535" s="2">
        <f t="shared" si="258"/>
        <v>99.399999999999636</v>
      </c>
      <c r="I5535" s="3">
        <f t="shared" si="259"/>
        <v>9.2767148856742546E-3</v>
      </c>
    </row>
    <row r="5536" spans="2:9" x14ac:dyDescent="0.25">
      <c r="B5536" s="1">
        <v>43286</v>
      </c>
      <c r="C5536" s="2">
        <v>10749.75</v>
      </c>
      <c r="D5536" s="2">
        <v>10786.05</v>
      </c>
      <c r="E5536" s="2">
        <v>10786.05</v>
      </c>
      <c r="F5536" s="2">
        <v>10726.25</v>
      </c>
      <c r="G5536" s="3">
        <f t="shared" si="260"/>
        <v>-1.8709551620720299E-3</v>
      </c>
      <c r="H5536" s="2">
        <f t="shared" si="258"/>
        <v>59.799999999999272</v>
      </c>
      <c r="I5536" s="3">
        <f t="shared" si="259"/>
        <v>5.5441982931656421E-3</v>
      </c>
    </row>
    <row r="5537" spans="2:9" x14ac:dyDescent="0.25">
      <c r="B5537" s="1">
        <v>43287</v>
      </c>
      <c r="C5537" s="2">
        <v>10772.65</v>
      </c>
      <c r="D5537" s="2">
        <v>10744.15</v>
      </c>
      <c r="E5537" s="2">
        <v>10816.35</v>
      </c>
      <c r="F5537" s="2">
        <v>10735.05</v>
      </c>
      <c r="G5537" s="3">
        <f t="shared" si="260"/>
        <v>2.130282099583658E-3</v>
      </c>
      <c r="H5537" s="2">
        <f t="shared" si="258"/>
        <v>81.300000000001091</v>
      </c>
      <c r="I5537" s="3">
        <f t="shared" si="259"/>
        <v>7.5669085036974629E-3</v>
      </c>
    </row>
    <row r="5538" spans="2:9" x14ac:dyDescent="0.25">
      <c r="B5538" s="1">
        <v>43290</v>
      </c>
      <c r="C5538" s="2">
        <v>10852.9</v>
      </c>
      <c r="D5538" s="2">
        <v>10838.3</v>
      </c>
      <c r="E5538" s="2">
        <v>10860.35</v>
      </c>
      <c r="F5538" s="2">
        <v>10807.15</v>
      </c>
      <c r="G5538" s="3">
        <f t="shared" si="260"/>
        <v>7.4494205232695787E-3</v>
      </c>
      <c r="H5538" s="2">
        <f t="shared" si="258"/>
        <v>53.200000000000728</v>
      </c>
      <c r="I5538" s="3">
        <f t="shared" si="259"/>
        <v>4.9085188636594978E-3</v>
      </c>
    </row>
    <row r="5539" spans="2:9" x14ac:dyDescent="0.25">
      <c r="B5539" s="1">
        <v>43291</v>
      </c>
      <c r="C5539" s="2">
        <v>10947.25</v>
      </c>
      <c r="D5539" s="2">
        <v>10902.75</v>
      </c>
      <c r="E5539" s="2">
        <v>10956.9</v>
      </c>
      <c r="F5539" s="2">
        <v>10876.65</v>
      </c>
      <c r="G5539" s="3">
        <f t="shared" si="260"/>
        <v>8.6935289185379183E-3</v>
      </c>
      <c r="H5539" s="2">
        <f t="shared" si="258"/>
        <v>80.25</v>
      </c>
      <c r="I5539" s="3">
        <f t="shared" si="259"/>
        <v>7.3605283070784892E-3</v>
      </c>
    </row>
    <row r="5540" spans="2:9" x14ac:dyDescent="0.25">
      <c r="B5540" s="1">
        <v>43292</v>
      </c>
      <c r="C5540" s="2">
        <v>10948.3</v>
      </c>
      <c r="D5540" s="2">
        <v>10956.4</v>
      </c>
      <c r="E5540" s="2">
        <v>10976.65</v>
      </c>
      <c r="F5540" s="2">
        <v>10923</v>
      </c>
      <c r="G5540" s="3">
        <f t="shared" si="260"/>
        <v>9.591449907508931E-5</v>
      </c>
      <c r="H5540" s="2">
        <f t="shared" si="258"/>
        <v>53.649999999999636</v>
      </c>
      <c r="I5540" s="3">
        <f t="shared" si="259"/>
        <v>4.89668139169797E-3</v>
      </c>
    </row>
    <row r="5541" spans="2:9" x14ac:dyDescent="0.25">
      <c r="B5541" s="1">
        <v>43293</v>
      </c>
      <c r="C5541" s="2">
        <v>11023.2</v>
      </c>
      <c r="D5541" s="2">
        <v>11006.95</v>
      </c>
      <c r="E5541" s="2">
        <v>11078.3</v>
      </c>
      <c r="F5541" s="2">
        <v>10999.65</v>
      </c>
      <c r="G5541" s="3">
        <f t="shared" si="260"/>
        <v>6.8412447594605741E-3</v>
      </c>
      <c r="H5541" s="2">
        <f t="shared" si="258"/>
        <v>78.649999999999636</v>
      </c>
      <c r="I5541" s="3">
        <f t="shared" si="259"/>
        <v>7.1454853524363813E-3</v>
      </c>
    </row>
    <row r="5542" spans="2:9" x14ac:dyDescent="0.25">
      <c r="B5542" s="1">
        <v>43294</v>
      </c>
      <c r="C5542" s="2">
        <v>11018.9</v>
      </c>
      <c r="D5542" s="2">
        <v>11056.9</v>
      </c>
      <c r="E5542" s="2">
        <v>11071.35</v>
      </c>
      <c r="F5542" s="2">
        <v>10999.75</v>
      </c>
      <c r="G5542" s="3">
        <f t="shared" si="260"/>
        <v>-3.9008636330661872E-4</v>
      </c>
      <c r="H5542" s="2">
        <f t="shared" si="258"/>
        <v>71.600000000000364</v>
      </c>
      <c r="I5542" s="3">
        <f t="shared" si="259"/>
        <v>6.4755944252005869E-3</v>
      </c>
    </row>
    <row r="5543" spans="2:9" x14ac:dyDescent="0.25">
      <c r="B5543" s="1">
        <v>43297</v>
      </c>
      <c r="C5543" s="2">
        <v>10936.85</v>
      </c>
      <c r="D5543" s="2">
        <v>11018.95</v>
      </c>
      <c r="E5543" s="2">
        <v>11019.5</v>
      </c>
      <c r="F5543" s="2">
        <v>10926.25</v>
      </c>
      <c r="G5543" s="3">
        <f t="shared" si="260"/>
        <v>-7.4462968172865907E-3</v>
      </c>
      <c r="H5543" s="2">
        <f t="shared" si="258"/>
        <v>93.25</v>
      </c>
      <c r="I5543" s="3">
        <f t="shared" si="259"/>
        <v>8.4626938138388855E-3</v>
      </c>
    </row>
    <row r="5544" spans="2:9" x14ac:dyDescent="0.25">
      <c r="B5544" s="1">
        <v>43298</v>
      </c>
      <c r="C5544" s="2">
        <v>11008.05</v>
      </c>
      <c r="D5544" s="2">
        <v>10939.65</v>
      </c>
      <c r="E5544" s="2">
        <v>11018.5</v>
      </c>
      <c r="F5544" s="2">
        <v>10925.6</v>
      </c>
      <c r="G5544" s="3">
        <f t="shared" si="260"/>
        <v>6.5101011717265678E-3</v>
      </c>
      <c r="H5544" s="2">
        <f t="shared" si="258"/>
        <v>92.899999999999636</v>
      </c>
      <c r="I5544" s="3">
        <f t="shared" si="259"/>
        <v>8.4920449922986242E-3</v>
      </c>
    </row>
    <row r="5545" spans="2:9" x14ac:dyDescent="0.25">
      <c r="B5545" s="1">
        <v>43299</v>
      </c>
      <c r="C5545" s="2">
        <v>10980.45</v>
      </c>
      <c r="D5545" s="2">
        <v>11060.2</v>
      </c>
      <c r="E5545" s="2">
        <v>11076.2</v>
      </c>
      <c r="F5545" s="2">
        <v>10956.3</v>
      </c>
      <c r="G5545" s="3">
        <f t="shared" si="260"/>
        <v>-2.5072560535243094E-3</v>
      </c>
      <c r="H5545" s="2">
        <f t="shared" si="258"/>
        <v>119.90000000000146</v>
      </c>
      <c r="I5545" s="3">
        <f t="shared" si="259"/>
        <v>1.0840671958915882E-2</v>
      </c>
    </row>
    <row r="5546" spans="2:9" x14ac:dyDescent="0.25">
      <c r="B5546" s="1">
        <v>43300</v>
      </c>
      <c r="C5546" s="2">
        <v>10957.1</v>
      </c>
      <c r="D5546" s="2">
        <v>10999.5</v>
      </c>
      <c r="E5546" s="2">
        <v>11006.5</v>
      </c>
      <c r="F5546" s="2">
        <v>10935.45</v>
      </c>
      <c r="G5546" s="3">
        <f t="shared" si="260"/>
        <v>-2.1265066550095746E-3</v>
      </c>
      <c r="H5546" s="2">
        <f t="shared" si="258"/>
        <v>71.049999999999272</v>
      </c>
      <c r="I5546" s="3">
        <f t="shared" si="259"/>
        <v>6.4593845174780009E-3</v>
      </c>
    </row>
    <row r="5547" spans="2:9" x14ac:dyDescent="0.25">
      <c r="B5547" s="1">
        <v>43301</v>
      </c>
      <c r="C5547" s="2">
        <v>11010.2</v>
      </c>
      <c r="D5547" s="2">
        <v>10963.5</v>
      </c>
      <c r="E5547" s="2">
        <v>11030.25</v>
      </c>
      <c r="F5547" s="2">
        <v>10946.2</v>
      </c>
      <c r="G5547" s="3">
        <f t="shared" si="260"/>
        <v>4.8461728011974792E-3</v>
      </c>
      <c r="H5547" s="2">
        <f t="shared" si="258"/>
        <v>84.049999999999272</v>
      </c>
      <c r="I5547" s="3">
        <f t="shared" si="259"/>
        <v>7.6663474255483444E-3</v>
      </c>
    </row>
    <row r="5548" spans="2:9" x14ac:dyDescent="0.25">
      <c r="B5548" s="1">
        <v>43304</v>
      </c>
      <c r="C5548" s="2">
        <v>11084.75</v>
      </c>
      <c r="D5548" s="2">
        <v>11019.85</v>
      </c>
      <c r="E5548" s="2">
        <v>11093.4</v>
      </c>
      <c r="F5548" s="2">
        <v>11010.95</v>
      </c>
      <c r="G5548" s="3">
        <f t="shared" si="260"/>
        <v>6.770994169043254E-3</v>
      </c>
      <c r="H5548" s="2">
        <f t="shared" si="258"/>
        <v>82.449999999998909</v>
      </c>
      <c r="I5548" s="3">
        <f t="shared" si="259"/>
        <v>7.4819530211390267E-3</v>
      </c>
    </row>
    <row r="5549" spans="2:9" x14ac:dyDescent="0.25">
      <c r="B5549" s="1">
        <v>43305</v>
      </c>
      <c r="C5549" s="2">
        <v>11134.3</v>
      </c>
      <c r="D5549" s="2">
        <v>11109</v>
      </c>
      <c r="E5549" s="2">
        <v>11143.4</v>
      </c>
      <c r="F5549" s="2">
        <v>11092.5</v>
      </c>
      <c r="G5549" s="3">
        <f t="shared" si="260"/>
        <v>4.4701053248832334E-3</v>
      </c>
      <c r="H5549" s="2">
        <f t="shared" si="258"/>
        <v>50.899999999999636</v>
      </c>
      <c r="I5549" s="3">
        <f t="shared" si="259"/>
        <v>4.5818705554054942E-3</v>
      </c>
    </row>
    <row r="5550" spans="2:9" x14ac:dyDescent="0.25">
      <c r="B5550" s="1">
        <v>43306</v>
      </c>
      <c r="C5550" s="2">
        <v>11132</v>
      </c>
      <c r="D5550" s="2">
        <v>11148.4</v>
      </c>
      <c r="E5550" s="2">
        <v>11157.15</v>
      </c>
      <c r="F5550" s="2">
        <v>11113.25</v>
      </c>
      <c r="G5550" s="3">
        <f t="shared" si="260"/>
        <v>-2.0656889072501183E-4</v>
      </c>
      <c r="H5550" s="2">
        <f t="shared" si="258"/>
        <v>43.899999999999636</v>
      </c>
      <c r="I5550" s="3">
        <f t="shared" si="259"/>
        <v>3.93778479423053E-3</v>
      </c>
    </row>
    <row r="5551" spans="2:9" x14ac:dyDescent="0.25">
      <c r="B5551" s="1">
        <v>43307</v>
      </c>
      <c r="C5551" s="2">
        <v>11167.3</v>
      </c>
      <c r="D5551" s="2">
        <v>11132.95</v>
      </c>
      <c r="E5551" s="2">
        <v>11185.85</v>
      </c>
      <c r="F5551" s="2">
        <v>11125.7</v>
      </c>
      <c r="G5551" s="3">
        <f t="shared" si="260"/>
        <v>3.1710384477181552E-3</v>
      </c>
      <c r="H5551" s="2">
        <f t="shared" si="258"/>
        <v>60.149999999999636</v>
      </c>
      <c r="I5551" s="3">
        <f t="shared" si="259"/>
        <v>5.4028806381057701E-3</v>
      </c>
    </row>
    <row r="5552" spans="2:9" x14ac:dyDescent="0.25">
      <c r="B5552" s="1">
        <v>43308</v>
      </c>
      <c r="C5552" s="2">
        <v>11278.35</v>
      </c>
      <c r="D5552" s="2">
        <v>11232.75</v>
      </c>
      <c r="E5552" s="2">
        <v>11283.4</v>
      </c>
      <c r="F5552" s="2">
        <v>11210.25</v>
      </c>
      <c r="G5552" s="3">
        <f t="shared" si="260"/>
        <v>9.9442121193127342E-3</v>
      </c>
      <c r="H5552" s="2">
        <f t="shared" si="258"/>
        <v>73.149999999999636</v>
      </c>
      <c r="I5552" s="3">
        <f t="shared" si="259"/>
        <v>6.512207607219927E-3</v>
      </c>
    </row>
    <row r="5553" spans="2:9" x14ac:dyDescent="0.25">
      <c r="B5553" s="1">
        <v>43311</v>
      </c>
      <c r="C5553" s="2">
        <v>11319.55</v>
      </c>
      <c r="D5553" s="2">
        <v>11296.65</v>
      </c>
      <c r="E5553" s="2">
        <v>11328.1</v>
      </c>
      <c r="F5553" s="2">
        <v>11261.45</v>
      </c>
      <c r="G5553" s="3">
        <f t="shared" si="260"/>
        <v>3.6530166203387893E-3</v>
      </c>
      <c r="H5553" s="2">
        <f t="shared" si="258"/>
        <v>66.649999999999636</v>
      </c>
      <c r="I5553" s="3">
        <f t="shared" si="259"/>
        <v>5.8999791973726404E-3</v>
      </c>
    </row>
    <row r="5554" spans="2:9" x14ac:dyDescent="0.25">
      <c r="B5554" s="1">
        <v>43312</v>
      </c>
      <c r="C5554" s="2">
        <v>11356.5</v>
      </c>
      <c r="D5554" s="2">
        <v>11311.05</v>
      </c>
      <c r="E5554" s="2">
        <v>11366</v>
      </c>
      <c r="F5554" s="2">
        <v>11267.75</v>
      </c>
      <c r="G5554" s="3">
        <f t="shared" si="260"/>
        <v>3.2642640387647859E-3</v>
      </c>
      <c r="H5554" s="2">
        <f t="shared" si="258"/>
        <v>98.25</v>
      </c>
      <c r="I5554" s="3">
        <f t="shared" si="259"/>
        <v>8.6861962417282227E-3</v>
      </c>
    </row>
    <row r="5555" spans="2:9" x14ac:dyDescent="0.25">
      <c r="B5555" s="1">
        <v>43313</v>
      </c>
      <c r="C5555" s="2">
        <v>11346.2</v>
      </c>
      <c r="D5555" s="2">
        <v>11359.8</v>
      </c>
      <c r="E5555" s="2">
        <v>11390.55</v>
      </c>
      <c r="F5555" s="2">
        <v>11313.55</v>
      </c>
      <c r="G5555" s="3">
        <f t="shared" si="260"/>
        <v>-9.0696957689417879E-4</v>
      </c>
      <c r="H5555" s="2">
        <f t="shared" si="258"/>
        <v>77</v>
      </c>
      <c r="I5555" s="3">
        <f t="shared" si="259"/>
        <v>6.7782883501470098E-3</v>
      </c>
    </row>
    <row r="5556" spans="2:9" x14ac:dyDescent="0.25">
      <c r="B5556" s="1">
        <v>43314</v>
      </c>
      <c r="C5556" s="2">
        <v>11244.7</v>
      </c>
      <c r="D5556" s="2">
        <v>11328.9</v>
      </c>
      <c r="E5556" s="2">
        <v>11328.9</v>
      </c>
      <c r="F5556" s="2">
        <v>11234.95</v>
      </c>
      <c r="G5556" s="3">
        <f t="shared" si="260"/>
        <v>-8.9457263224691497E-3</v>
      </c>
      <c r="H5556" s="2">
        <f t="shared" si="258"/>
        <v>93.949999999998909</v>
      </c>
      <c r="I5556" s="3">
        <f t="shared" si="259"/>
        <v>8.2929498892212756E-3</v>
      </c>
    </row>
    <row r="5557" spans="2:9" x14ac:dyDescent="0.25">
      <c r="B5557" s="1">
        <v>43315</v>
      </c>
      <c r="C5557" s="2">
        <v>11360.8</v>
      </c>
      <c r="D5557" s="2">
        <v>11297.8</v>
      </c>
      <c r="E5557" s="2">
        <v>11368</v>
      </c>
      <c r="F5557" s="2">
        <v>11294.55</v>
      </c>
      <c r="G5557" s="3">
        <f t="shared" si="260"/>
        <v>1.0324864158225422E-2</v>
      </c>
      <c r="H5557" s="2">
        <f t="shared" si="258"/>
        <v>73.450000000000728</v>
      </c>
      <c r="I5557" s="3">
        <f t="shared" si="259"/>
        <v>6.5012657331516522E-3</v>
      </c>
    </row>
    <row r="5558" spans="2:9" x14ac:dyDescent="0.25">
      <c r="B5558" s="1">
        <v>43318</v>
      </c>
      <c r="C5558" s="2">
        <v>11387.1</v>
      </c>
      <c r="D5558" s="2">
        <v>11401.5</v>
      </c>
      <c r="E5558" s="2">
        <v>11427.65</v>
      </c>
      <c r="F5558" s="2">
        <v>11370.6</v>
      </c>
      <c r="G5558" s="3">
        <f t="shared" si="260"/>
        <v>2.3149778184636816E-3</v>
      </c>
      <c r="H5558" s="2">
        <f t="shared" si="258"/>
        <v>57.049999999999272</v>
      </c>
      <c r="I5558" s="3">
        <f t="shared" si="259"/>
        <v>5.0037275797043613E-3</v>
      </c>
    </row>
    <row r="5559" spans="2:9" x14ac:dyDescent="0.25">
      <c r="B5559" s="1">
        <v>43319</v>
      </c>
      <c r="C5559" s="2">
        <v>11389.45</v>
      </c>
      <c r="D5559" s="2">
        <v>11423.15</v>
      </c>
      <c r="E5559" s="2">
        <v>11428.95</v>
      </c>
      <c r="F5559" s="2">
        <v>11359.7</v>
      </c>
      <c r="G5559" s="3">
        <f t="shared" si="260"/>
        <v>2.0637387921418338E-4</v>
      </c>
      <c r="H5559" s="2">
        <f t="shared" si="258"/>
        <v>69.25</v>
      </c>
      <c r="I5559" s="3">
        <f t="shared" si="259"/>
        <v>6.0622507802138639E-3</v>
      </c>
    </row>
    <row r="5560" spans="2:9" x14ac:dyDescent="0.25">
      <c r="B5560" s="1">
        <v>43320</v>
      </c>
      <c r="C5560" s="2">
        <v>11450</v>
      </c>
      <c r="D5560" s="2">
        <v>11412.5</v>
      </c>
      <c r="E5560" s="2">
        <v>11459.95</v>
      </c>
      <c r="F5560" s="2">
        <v>11379.3</v>
      </c>
      <c r="G5560" s="3">
        <f t="shared" si="260"/>
        <v>5.3163234396744752E-3</v>
      </c>
      <c r="H5560" s="2">
        <f t="shared" si="258"/>
        <v>80.650000000001455</v>
      </c>
      <c r="I5560" s="3">
        <f t="shared" si="259"/>
        <v>7.0668127053670499E-3</v>
      </c>
    </row>
    <row r="5561" spans="2:9" x14ac:dyDescent="0.25">
      <c r="B5561" s="1">
        <v>43321</v>
      </c>
      <c r="C5561" s="2">
        <v>11470.7</v>
      </c>
      <c r="D5561" s="2">
        <v>11493.25</v>
      </c>
      <c r="E5561" s="2">
        <v>11495.2</v>
      </c>
      <c r="F5561" s="2">
        <v>11454.1</v>
      </c>
      <c r="G5561" s="3">
        <f t="shared" si="260"/>
        <v>1.8078602620088535E-3</v>
      </c>
      <c r="H5561" s="2">
        <f t="shared" si="258"/>
        <v>41.100000000000364</v>
      </c>
      <c r="I5561" s="3">
        <f t="shared" si="259"/>
        <v>3.5760120070476467E-3</v>
      </c>
    </row>
    <row r="5562" spans="2:9" x14ac:dyDescent="0.25">
      <c r="B5562" s="1">
        <v>43322</v>
      </c>
      <c r="C5562" s="2">
        <v>11429.5</v>
      </c>
      <c r="D5562" s="2">
        <v>11474.95</v>
      </c>
      <c r="E5562" s="2">
        <v>11478.75</v>
      </c>
      <c r="F5562" s="2">
        <v>11419.65</v>
      </c>
      <c r="G5562" s="3">
        <f t="shared" si="260"/>
        <v>-3.5917598751602497E-3</v>
      </c>
      <c r="H5562" s="2">
        <f t="shared" si="258"/>
        <v>59.100000000000364</v>
      </c>
      <c r="I5562" s="3">
        <f t="shared" si="259"/>
        <v>5.1503492389945371E-3</v>
      </c>
    </row>
    <row r="5563" spans="2:9" x14ac:dyDescent="0.25">
      <c r="B5563" s="1">
        <v>43325</v>
      </c>
      <c r="C5563" s="2">
        <v>11355.75</v>
      </c>
      <c r="D5563" s="2">
        <v>11369.6</v>
      </c>
      <c r="E5563" s="2">
        <v>11406.3</v>
      </c>
      <c r="F5563" s="2">
        <v>11340.3</v>
      </c>
      <c r="G5563" s="3">
        <f t="shared" si="260"/>
        <v>-6.4526007261910268E-3</v>
      </c>
      <c r="H5563" s="2">
        <f t="shared" si="258"/>
        <v>66</v>
      </c>
      <c r="I5563" s="3">
        <f t="shared" si="259"/>
        <v>5.8049535603715173E-3</v>
      </c>
    </row>
    <row r="5564" spans="2:9" x14ac:dyDescent="0.25">
      <c r="B5564" s="1">
        <v>43326</v>
      </c>
      <c r="C5564" s="2">
        <v>11435.1</v>
      </c>
      <c r="D5564" s="2">
        <v>11381.7</v>
      </c>
      <c r="E5564" s="2">
        <v>11452.45</v>
      </c>
      <c r="F5564" s="2">
        <v>11370.8</v>
      </c>
      <c r="G5564" s="3">
        <f t="shared" si="260"/>
        <v>6.9876494287035573E-3</v>
      </c>
      <c r="H5564" s="2">
        <f t="shared" si="258"/>
        <v>81.650000000001455</v>
      </c>
      <c r="I5564" s="3">
        <f t="shared" si="259"/>
        <v>7.1737965330312212E-3</v>
      </c>
    </row>
    <row r="5565" spans="2:9" x14ac:dyDescent="0.25">
      <c r="B5565" s="1">
        <v>43328</v>
      </c>
      <c r="C5565" s="2">
        <v>11385.05</v>
      </c>
      <c r="D5565" s="2">
        <v>11397.15</v>
      </c>
      <c r="E5565" s="2">
        <v>11449.85</v>
      </c>
      <c r="F5565" s="2">
        <v>11366.25</v>
      </c>
      <c r="G5565" s="3">
        <f t="shared" si="260"/>
        <v>-4.3768747103217764E-3</v>
      </c>
      <c r="H5565" s="2">
        <f t="shared" si="258"/>
        <v>83.600000000000364</v>
      </c>
      <c r="I5565" s="3">
        <f t="shared" si="259"/>
        <v>7.3351671251146444E-3</v>
      </c>
    </row>
    <row r="5566" spans="2:9" x14ac:dyDescent="0.25">
      <c r="B5566" s="1">
        <v>43329</v>
      </c>
      <c r="C5566" s="2">
        <v>11470.75</v>
      </c>
      <c r="D5566" s="2">
        <v>11437.15</v>
      </c>
      <c r="E5566" s="2">
        <v>11486.45</v>
      </c>
      <c r="F5566" s="2">
        <v>11431.8</v>
      </c>
      <c r="G5566" s="3">
        <f t="shared" si="260"/>
        <v>7.5274153385360698E-3</v>
      </c>
      <c r="H5566" s="2">
        <f t="shared" si="258"/>
        <v>54.650000000001455</v>
      </c>
      <c r="I5566" s="3">
        <f t="shared" si="259"/>
        <v>4.7782882973469313E-3</v>
      </c>
    </row>
    <row r="5567" spans="2:9" x14ac:dyDescent="0.25">
      <c r="B5567" s="1">
        <v>43332</v>
      </c>
      <c r="C5567" s="2">
        <v>11551.75</v>
      </c>
      <c r="D5567" s="2">
        <v>11502.1</v>
      </c>
      <c r="E5567" s="2">
        <v>11565.3</v>
      </c>
      <c r="F5567" s="2">
        <v>11499.65</v>
      </c>
      <c r="G5567" s="3">
        <f t="shared" si="260"/>
        <v>7.061438877143944E-3</v>
      </c>
      <c r="H5567" s="2">
        <f t="shared" si="258"/>
        <v>65.649999999999636</v>
      </c>
      <c r="I5567" s="3">
        <f t="shared" si="259"/>
        <v>5.7076533850340056E-3</v>
      </c>
    </row>
    <row r="5568" spans="2:9" x14ac:dyDescent="0.25">
      <c r="B5568" s="1">
        <v>43333</v>
      </c>
      <c r="C5568" s="2">
        <v>11570.9</v>
      </c>
      <c r="D5568" s="2">
        <v>11576.2</v>
      </c>
      <c r="E5568" s="2">
        <v>11581.75</v>
      </c>
      <c r="F5568" s="2">
        <v>11539.6</v>
      </c>
      <c r="G5568" s="3">
        <f t="shared" si="260"/>
        <v>1.657757482632416E-3</v>
      </c>
      <c r="H5568" s="2">
        <f t="shared" si="258"/>
        <v>42.149999999999636</v>
      </c>
      <c r="I5568" s="3">
        <f t="shared" si="259"/>
        <v>3.6410912043675502E-3</v>
      </c>
    </row>
    <row r="5569" spans="2:9" x14ac:dyDescent="0.25">
      <c r="B5569" s="1">
        <v>43335</v>
      </c>
      <c r="C5569" s="2">
        <v>11582.75</v>
      </c>
      <c r="D5569" s="2">
        <v>11620.7</v>
      </c>
      <c r="E5569" s="2">
        <v>11620.7</v>
      </c>
      <c r="F5569" s="2">
        <v>11546.7</v>
      </c>
      <c r="G5569" s="3">
        <f t="shared" si="260"/>
        <v>1.024120854903332E-3</v>
      </c>
      <c r="H5569" s="2">
        <f t="shared" si="258"/>
        <v>74</v>
      </c>
      <c r="I5569" s="3">
        <f t="shared" si="259"/>
        <v>6.3679468534597735E-3</v>
      </c>
    </row>
    <row r="5570" spans="2:9" x14ac:dyDescent="0.25">
      <c r="B5570" s="1">
        <v>43336</v>
      </c>
      <c r="C5570" s="2">
        <v>11557.1</v>
      </c>
      <c r="D5570" s="2">
        <v>11566.6</v>
      </c>
      <c r="E5570" s="2">
        <v>11604.6</v>
      </c>
      <c r="F5570" s="2">
        <v>11532</v>
      </c>
      <c r="G5570" s="3">
        <f t="shared" si="260"/>
        <v>-2.214500010791931E-3</v>
      </c>
      <c r="H5570" s="2">
        <f t="shared" si="258"/>
        <v>72.600000000000364</v>
      </c>
      <c r="I5570" s="3">
        <f t="shared" si="259"/>
        <v>6.2766932374250309E-3</v>
      </c>
    </row>
    <row r="5571" spans="2:9" x14ac:dyDescent="0.25">
      <c r="B5571" s="1">
        <v>43339</v>
      </c>
      <c r="C5571" s="2">
        <v>11691.95</v>
      </c>
      <c r="D5571" s="2">
        <v>11605.85</v>
      </c>
      <c r="E5571" s="2">
        <v>11700.95</v>
      </c>
      <c r="F5571" s="2">
        <v>11595.6</v>
      </c>
      <c r="G5571" s="3">
        <f t="shared" si="260"/>
        <v>1.1668152045063218E-2</v>
      </c>
      <c r="H5571" s="2">
        <f t="shared" si="258"/>
        <v>105.35000000000036</v>
      </c>
      <c r="I5571" s="3">
        <f t="shared" si="259"/>
        <v>9.0773187659671933E-3</v>
      </c>
    </row>
    <row r="5572" spans="2:9" x14ac:dyDescent="0.25">
      <c r="B5572" s="1">
        <v>43340</v>
      </c>
      <c r="C5572" s="2">
        <v>11738.5</v>
      </c>
      <c r="D5572" s="2">
        <v>11731.95</v>
      </c>
      <c r="E5572" s="2">
        <v>11760.2</v>
      </c>
      <c r="F5572" s="2">
        <v>11710.5</v>
      </c>
      <c r="G5572" s="3">
        <f t="shared" si="260"/>
        <v>3.9813717985450747E-3</v>
      </c>
      <c r="H5572" s="2">
        <f t="shared" si="258"/>
        <v>49.700000000000728</v>
      </c>
      <c r="I5572" s="3">
        <f t="shared" si="259"/>
        <v>4.2362949040867653E-3</v>
      </c>
    </row>
    <row r="5573" spans="2:9" x14ac:dyDescent="0.25">
      <c r="B5573" s="1">
        <v>43341</v>
      </c>
      <c r="C5573" s="2">
        <v>11691.9</v>
      </c>
      <c r="D5573" s="2">
        <v>11744.95</v>
      </c>
      <c r="E5573" s="2">
        <v>11753.2</v>
      </c>
      <c r="F5573" s="2">
        <v>11678.85</v>
      </c>
      <c r="G5573" s="3">
        <f t="shared" si="260"/>
        <v>-3.9698428248924333E-3</v>
      </c>
      <c r="H5573" s="2">
        <f t="shared" ref="H5573:H5636" si="261">E5573-F5573</f>
        <v>74.350000000000364</v>
      </c>
      <c r="I5573" s="3">
        <f t="shared" si="259"/>
        <v>6.3303802911038667E-3</v>
      </c>
    </row>
    <row r="5574" spans="2:9" x14ac:dyDescent="0.25">
      <c r="B5574" s="1">
        <v>43342</v>
      </c>
      <c r="C5574" s="2">
        <v>11676.8</v>
      </c>
      <c r="D5574" s="2">
        <v>11694.75</v>
      </c>
      <c r="E5574" s="2">
        <v>11698.8</v>
      </c>
      <c r="F5574" s="2">
        <v>11639.7</v>
      </c>
      <c r="G5574" s="3">
        <f t="shared" si="260"/>
        <v>-1.2914924007219053E-3</v>
      </c>
      <c r="H5574" s="2">
        <f t="shared" si="261"/>
        <v>59.099999999998545</v>
      </c>
      <c r="I5574" s="3">
        <f t="shared" ref="I5574:I5637" si="262">H5574/D5574</f>
        <v>5.0535496697234695E-3</v>
      </c>
    </row>
    <row r="5575" spans="2:9" x14ac:dyDescent="0.25">
      <c r="B5575" s="1">
        <v>43343</v>
      </c>
      <c r="C5575" s="2">
        <v>11680.5</v>
      </c>
      <c r="D5575" s="2">
        <v>11675.85</v>
      </c>
      <c r="E5575" s="2">
        <v>11727.65</v>
      </c>
      <c r="F5575" s="2">
        <v>11640.1</v>
      </c>
      <c r="G5575" s="3">
        <f t="shared" ref="G5575:G5638" si="263">C5575/C5574-1</f>
        <v>3.1686763496852066E-4</v>
      </c>
      <c r="H5575" s="2">
        <f t="shared" si="261"/>
        <v>87.549999999999272</v>
      </c>
      <c r="I5575" s="3">
        <f t="shared" si="262"/>
        <v>7.4983834153401485E-3</v>
      </c>
    </row>
    <row r="5576" spans="2:9" x14ac:dyDescent="0.25">
      <c r="B5576" s="1">
        <v>43346</v>
      </c>
      <c r="C5576" s="2">
        <v>11582.35</v>
      </c>
      <c r="D5576" s="2">
        <v>11751.8</v>
      </c>
      <c r="E5576" s="2">
        <v>11751.8</v>
      </c>
      <c r="F5576" s="2">
        <v>11567.4</v>
      </c>
      <c r="G5576" s="3">
        <f t="shared" si="263"/>
        <v>-8.4028937117417435E-3</v>
      </c>
      <c r="H5576" s="2">
        <f t="shared" si="261"/>
        <v>184.39999999999964</v>
      </c>
      <c r="I5576" s="3">
        <f t="shared" si="262"/>
        <v>1.5691213260947228E-2</v>
      </c>
    </row>
    <row r="5577" spans="2:9" x14ac:dyDescent="0.25">
      <c r="B5577" s="1">
        <v>43347</v>
      </c>
      <c r="C5577" s="2">
        <v>11520.3</v>
      </c>
      <c r="D5577" s="2">
        <v>11598.75</v>
      </c>
      <c r="E5577" s="2">
        <v>11602.55</v>
      </c>
      <c r="F5577" s="2">
        <v>11496.85</v>
      </c>
      <c r="G5577" s="3">
        <f t="shared" si="263"/>
        <v>-5.3572893238419406E-3</v>
      </c>
      <c r="H5577" s="2">
        <f t="shared" si="261"/>
        <v>105.69999999999891</v>
      </c>
      <c r="I5577" s="3">
        <f t="shared" si="262"/>
        <v>9.1130509753205215E-3</v>
      </c>
    </row>
    <row r="5578" spans="2:9" x14ac:dyDescent="0.25">
      <c r="B5578" s="1">
        <v>43348</v>
      </c>
      <c r="C5578" s="2">
        <v>11476.95</v>
      </c>
      <c r="D5578" s="2">
        <v>11514.85</v>
      </c>
      <c r="E5578" s="2">
        <v>11542.65</v>
      </c>
      <c r="F5578" s="2">
        <v>11393.85</v>
      </c>
      <c r="G5578" s="3">
        <f t="shared" si="263"/>
        <v>-3.7629228405509085E-3</v>
      </c>
      <c r="H5578" s="2">
        <f t="shared" si="261"/>
        <v>148.79999999999927</v>
      </c>
      <c r="I5578" s="3">
        <f t="shared" si="262"/>
        <v>1.2922443627142278E-2</v>
      </c>
    </row>
    <row r="5579" spans="2:9" x14ac:dyDescent="0.25">
      <c r="B5579" s="1">
        <v>43349</v>
      </c>
      <c r="C5579" s="2">
        <v>11536.9</v>
      </c>
      <c r="D5579" s="2">
        <v>11514.15</v>
      </c>
      <c r="E5579" s="2">
        <v>11562.25</v>
      </c>
      <c r="F5579" s="2">
        <v>11436.05</v>
      </c>
      <c r="G5579" s="3">
        <f t="shared" si="263"/>
        <v>5.2235132156190911E-3</v>
      </c>
      <c r="H5579" s="2">
        <f t="shared" si="261"/>
        <v>126.20000000000073</v>
      </c>
      <c r="I5579" s="3">
        <f t="shared" si="262"/>
        <v>1.0960426952923206E-2</v>
      </c>
    </row>
    <row r="5580" spans="2:9" x14ac:dyDescent="0.25">
      <c r="B5580" s="1">
        <v>43350</v>
      </c>
      <c r="C5580" s="2">
        <v>11589.1</v>
      </c>
      <c r="D5580" s="2">
        <v>11558.25</v>
      </c>
      <c r="E5580" s="2">
        <v>11603</v>
      </c>
      <c r="F5580" s="2">
        <v>11484.4</v>
      </c>
      <c r="G5580" s="3">
        <f t="shared" si="263"/>
        <v>4.5246123308688713E-3</v>
      </c>
      <c r="H5580" s="2">
        <f t="shared" si="261"/>
        <v>118.60000000000036</v>
      </c>
      <c r="I5580" s="3">
        <f t="shared" si="262"/>
        <v>1.0261068933445838E-2</v>
      </c>
    </row>
    <row r="5581" spans="2:9" x14ac:dyDescent="0.25">
      <c r="B5581" s="1">
        <v>43353</v>
      </c>
      <c r="C5581" s="2">
        <v>11438.1</v>
      </c>
      <c r="D5581" s="2">
        <v>11570.25</v>
      </c>
      <c r="E5581" s="2">
        <v>11573</v>
      </c>
      <c r="F5581" s="2">
        <v>11427.3</v>
      </c>
      <c r="G5581" s="3">
        <f t="shared" si="263"/>
        <v>-1.3029484601910446E-2</v>
      </c>
      <c r="H5581" s="2">
        <f t="shared" si="261"/>
        <v>145.70000000000073</v>
      </c>
      <c r="I5581" s="3">
        <f t="shared" si="262"/>
        <v>1.2592640608457098E-2</v>
      </c>
    </row>
    <row r="5582" spans="2:9" x14ac:dyDescent="0.25">
      <c r="B5582" s="1">
        <v>43354</v>
      </c>
      <c r="C5582" s="2">
        <v>11287.5</v>
      </c>
      <c r="D5582" s="2">
        <v>11476.85</v>
      </c>
      <c r="E5582" s="2">
        <v>11479.4</v>
      </c>
      <c r="F5582" s="2">
        <v>11274</v>
      </c>
      <c r="G5582" s="3">
        <f t="shared" si="263"/>
        <v>-1.3166522411939052E-2</v>
      </c>
      <c r="H5582" s="2">
        <f t="shared" si="261"/>
        <v>205.39999999999964</v>
      </c>
      <c r="I5582" s="3">
        <f t="shared" si="262"/>
        <v>1.7896896796594852E-2</v>
      </c>
    </row>
    <row r="5583" spans="2:9" x14ac:dyDescent="0.25">
      <c r="B5583" s="1">
        <v>43355</v>
      </c>
      <c r="C5583" s="2">
        <v>11369.9</v>
      </c>
      <c r="D5583" s="2">
        <v>11340.1</v>
      </c>
      <c r="E5583" s="2">
        <v>11380.75</v>
      </c>
      <c r="F5583" s="2">
        <v>11250.2</v>
      </c>
      <c r="G5583" s="3">
        <f t="shared" si="263"/>
        <v>7.300110741971233E-3</v>
      </c>
      <c r="H5583" s="2">
        <f t="shared" si="261"/>
        <v>130.54999999999927</v>
      </c>
      <c r="I5583" s="3">
        <f t="shared" si="262"/>
        <v>1.1512244160104344E-2</v>
      </c>
    </row>
    <row r="5584" spans="2:9" x14ac:dyDescent="0.25">
      <c r="B5584" s="1">
        <v>43357</v>
      </c>
      <c r="C5584" s="2">
        <v>11515.2</v>
      </c>
      <c r="D5584" s="2">
        <v>11443.5</v>
      </c>
      <c r="E5584" s="2">
        <v>11523.25</v>
      </c>
      <c r="F5584" s="2">
        <v>11430.55</v>
      </c>
      <c r="G5584" s="3">
        <f t="shared" si="263"/>
        <v>1.2779356018962407E-2</v>
      </c>
      <c r="H5584" s="2">
        <f t="shared" si="261"/>
        <v>92.700000000000728</v>
      </c>
      <c r="I5584" s="3">
        <f t="shared" si="262"/>
        <v>8.1006685017696277E-3</v>
      </c>
    </row>
    <row r="5585" spans="2:9" x14ac:dyDescent="0.25">
      <c r="B5585" s="1">
        <v>43360</v>
      </c>
      <c r="C5585" s="2">
        <v>11377.75</v>
      </c>
      <c r="D5585" s="2">
        <v>11464.95</v>
      </c>
      <c r="E5585" s="2">
        <v>11464.95</v>
      </c>
      <c r="F5585" s="2">
        <v>11366.9</v>
      </c>
      <c r="G5585" s="3">
        <f t="shared" si="263"/>
        <v>-1.1936397109907015E-2</v>
      </c>
      <c r="H5585" s="2">
        <f t="shared" si="261"/>
        <v>98.050000000001091</v>
      </c>
      <c r="I5585" s="3">
        <f t="shared" si="262"/>
        <v>8.552152429796997E-3</v>
      </c>
    </row>
    <row r="5586" spans="2:9" x14ac:dyDescent="0.25">
      <c r="B5586" s="1">
        <v>43361</v>
      </c>
      <c r="C5586" s="2">
        <v>11278.9</v>
      </c>
      <c r="D5586" s="2">
        <v>11381.55</v>
      </c>
      <c r="E5586" s="2">
        <v>11411.45</v>
      </c>
      <c r="F5586" s="2">
        <v>11268.95</v>
      </c>
      <c r="G5586" s="3">
        <f t="shared" si="263"/>
        <v>-8.6880094922107132E-3</v>
      </c>
      <c r="H5586" s="2">
        <f t="shared" si="261"/>
        <v>142.5</v>
      </c>
      <c r="I5586" s="3">
        <f t="shared" si="262"/>
        <v>1.2520263057316447E-2</v>
      </c>
    </row>
    <row r="5587" spans="2:9" x14ac:dyDescent="0.25">
      <c r="B5587" s="1">
        <v>43362</v>
      </c>
      <c r="C5587" s="2">
        <v>11234.35</v>
      </c>
      <c r="D5587" s="2">
        <v>11326.65</v>
      </c>
      <c r="E5587" s="2">
        <v>11332.05</v>
      </c>
      <c r="F5587" s="2">
        <v>11210.9</v>
      </c>
      <c r="G5587" s="3">
        <f t="shared" si="263"/>
        <v>-3.9498532658326369E-3</v>
      </c>
      <c r="H5587" s="2">
        <f t="shared" si="261"/>
        <v>121.14999999999964</v>
      </c>
      <c r="I5587" s="3">
        <f t="shared" si="262"/>
        <v>1.0696013384363394E-2</v>
      </c>
    </row>
    <row r="5588" spans="2:9" x14ac:dyDescent="0.25">
      <c r="B5588" s="1">
        <v>43364</v>
      </c>
      <c r="C5588" s="2">
        <v>11143.1</v>
      </c>
      <c r="D5588" s="2">
        <v>11271.3</v>
      </c>
      <c r="E5588" s="2">
        <v>11346.8</v>
      </c>
      <c r="F5588" s="2">
        <v>10866.45</v>
      </c>
      <c r="G5588" s="3">
        <f t="shared" si="263"/>
        <v>-8.1224102863094449E-3</v>
      </c>
      <c r="H5588" s="2">
        <f t="shared" si="261"/>
        <v>480.34999999999854</v>
      </c>
      <c r="I5588" s="3">
        <f t="shared" si="262"/>
        <v>4.2617089421805698E-2</v>
      </c>
    </row>
    <row r="5589" spans="2:9" x14ac:dyDescent="0.25">
      <c r="B5589" s="1">
        <v>43367</v>
      </c>
      <c r="C5589" s="2">
        <v>10967.4</v>
      </c>
      <c r="D5589" s="2">
        <v>11164.4</v>
      </c>
      <c r="E5589" s="2">
        <v>11170.15</v>
      </c>
      <c r="F5589" s="2">
        <v>10943.6</v>
      </c>
      <c r="G5589" s="3">
        <f t="shared" si="263"/>
        <v>-1.5767605065017842E-2</v>
      </c>
      <c r="H5589" s="2">
        <f t="shared" si="261"/>
        <v>226.54999999999927</v>
      </c>
      <c r="I5589" s="3">
        <f t="shared" si="262"/>
        <v>2.0292178710902446E-2</v>
      </c>
    </row>
    <row r="5590" spans="2:9" x14ac:dyDescent="0.25">
      <c r="B5590" s="1">
        <v>43368</v>
      </c>
      <c r="C5590" s="2">
        <v>11067.45</v>
      </c>
      <c r="D5590" s="2">
        <v>10969.95</v>
      </c>
      <c r="E5590" s="2">
        <v>11080.6</v>
      </c>
      <c r="F5590" s="2">
        <v>10882.85</v>
      </c>
      <c r="G5590" s="3">
        <f t="shared" si="263"/>
        <v>9.1224902894031512E-3</v>
      </c>
      <c r="H5590" s="2">
        <f t="shared" si="261"/>
        <v>197.75</v>
      </c>
      <c r="I5590" s="3">
        <f t="shared" si="262"/>
        <v>1.8026517896617578E-2</v>
      </c>
    </row>
    <row r="5591" spans="2:9" x14ac:dyDescent="0.25">
      <c r="B5591" s="1">
        <v>43369</v>
      </c>
      <c r="C5591" s="2">
        <v>11053.8</v>
      </c>
      <c r="D5591" s="2">
        <v>11145.55</v>
      </c>
      <c r="E5591" s="2">
        <v>11145.55</v>
      </c>
      <c r="F5591" s="2">
        <v>10993.05</v>
      </c>
      <c r="G5591" s="3">
        <f t="shared" si="263"/>
        <v>-1.233346434815763E-3</v>
      </c>
      <c r="H5591" s="2">
        <f t="shared" si="261"/>
        <v>152.5</v>
      </c>
      <c r="I5591" s="3">
        <f t="shared" si="262"/>
        <v>1.3682590809785072E-2</v>
      </c>
    </row>
    <row r="5592" spans="2:9" x14ac:dyDescent="0.25">
      <c r="B5592" s="1">
        <v>43370</v>
      </c>
      <c r="C5592" s="2">
        <v>10977.55</v>
      </c>
      <c r="D5592" s="2">
        <v>11079.8</v>
      </c>
      <c r="E5592" s="2">
        <v>11089.45</v>
      </c>
      <c r="F5592" s="2">
        <v>10953.35</v>
      </c>
      <c r="G5592" s="3">
        <f t="shared" si="263"/>
        <v>-6.8980802981779554E-3</v>
      </c>
      <c r="H5592" s="2">
        <f t="shared" si="261"/>
        <v>136.10000000000036</v>
      </c>
      <c r="I5592" s="3">
        <f t="shared" si="262"/>
        <v>1.2283615227711726E-2</v>
      </c>
    </row>
    <row r="5593" spans="2:9" x14ac:dyDescent="0.25">
      <c r="B5593" s="1">
        <v>43371</v>
      </c>
      <c r="C5593" s="2">
        <v>10930.45</v>
      </c>
      <c r="D5593" s="2">
        <v>11008.1</v>
      </c>
      <c r="E5593" s="2">
        <v>11034.1</v>
      </c>
      <c r="F5593" s="2">
        <v>10850.3</v>
      </c>
      <c r="G5593" s="3">
        <f t="shared" si="263"/>
        <v>-4.2905748550449152E-3</v>
      </c>
      <c r="H5593" s="2">
        <f t="shared" si="261"/>
        <v>183.80000000000109</v>
      </c>
      <c r="I5593" s="3">
        <f t="shared" si="262"/>
        <v>1.6696795995676011E-2</v>
      </c>
    </row>
    <row r="5594" spans="2:9" x14ac:dyDescent="0.25">
      <c r="B5594" s="1">
        <v>43374</v>
      </c>
      <c r="C5594" s="2">
        <v>11008.3</v>
      </c>
      <c r="D5594" s="2">
        <v>10930.9</v>
      </c>
      <c r="E5594" s="2">
        <v>11035.65</v>
      </c>
      <c r="F5594" s="2">
        <v>10821.55</v>
      </c>
      <c r="G5594" s="3">
        <f t="shared" si="263"/>
        <v>7.1223051201001475E-3</v>
      </c>
      <c r="H5594" s="2">
        <f t="shared" si="261"/>
        <v>214.10000000000036</v>
      </c>
      <c r="I5594" s="3">
        <f t="shared" si="262"/>
        <v>1.9586676302957705E-2</v>
      </c>
    </row>
    <row r="5595" spans="2:9" x14ac:dyDescent="0.25">
      <c r="B5595" s="1">
        <v>43376</v>
      </c>
      <c r="C5595" s="2">
        <v>10858.25</v>
      </c>
      <c r="D5595" s="2">
        <v>10982.7</v>
      </c>
      <c r="E5595" s="2">
        <v>10989.05</v>
      </c>
      <c r="F5595" s="2">
        <v>10843.75</v>
      </c>
      <c r="G5595" s="3">
        <f t="shared" si="263"/>
        <v>-1.3630624165402394E-2</v>
      </c>
      <c r="H5595" s="2">
        <f t="shared" si="261"/>
        <v>145.29999999999927</v>
      </c>
      <c r="I5595" s="3">
        <f t="shared" si="262"/>
        <v>1.3229897930381351E-2</v>
      </c>
    </row>
    <row r="5596" spans="2:9" x14ac:dyDescent="0.25">
      <c r="B5596" s="1">
        <v>43377</v>
      </c>
      <c r="C5596" s="2">
        <v>10599.25</v>
      </c>
      <c r="D5596" s="2">
        <v>10754.7</v>
      </c>
      <c r="E5596" s="2">
        <v>10754.7</v>
      </c>
      <c r="F5596" s="2">
        <v>10547.25</v>
      </c>
      <c r="G5596" s="3">
        <f t="shared" si="263"/>
        <v>-2.3852830796859514E-2</v>
      </c>
      <c r="H5596" s="2">
        <f t="shared" si="261"/>
        <v>207.45000000000073</v>
      </c>
      <c r="I5596" s="3">
        <f t="shared" si="262"/>
        <v>1.9289240983012143E-2</v>
      </c>
    </row>
    <row r="5597" spans="2:9" x14ac:dyDescent="0.25">
      <c r="B5597" s="1">
        <v>43378</v>
      </c>
      <c r="C5597" s="2">
        <v>10316.450000000001</v>
      </c>
      <c r="D5597" s="2">
        <v>10514.1</v>
      </c>
      <c r="E5597" s="2">
        <v>10540.65</v>
      </c>
      <c r="F5597" s="2">
        <v>10261.9</v>
      </c>
      <c r="G5597" s="3">
        <f t="shared" si="263"/>
        <v>-2.6681133099039966E-2</v>
      </c>
      <c r="H5597" s="2">
        <f t="shared" si="261"/>
        <v>278.75</v>
      </c>
      <c r="I5597" s="3">
        <f t="shared" si="262"/>
        <v>2.6512017195955907E-2</v>
      </c>
    </row>
    <row r="5598" spans="2:9" x14ac:dyDescent="0.25">
      <c r="B5598" s="1">
        <v>43381</v>
      </c>
      <c r="C5598" s="2">
        <v>10348.049999999999</v>
      </c>
      <c r="D5598" s="2">
        <v>10310.15</v>
      </c>
      <c r="E5598" s="2">
        <v>10398.35</v>
      </c>
      <c r="F5598" s="2">
        <v>10198.4</v>
      </c>
      <c r="G5598" s="3">
        <f t="shared" si="263"/>
        <v>3.0630691759276907E-3</v>
      </c>
      <c r="H5598" s="2">
        <f t="shared" si="261"/>
        <v>199.95000000000073</v>
      </c>
      <c r="I5598" s="3">
        <f t="shared" si="262"/>
        <v>1.9393510278706005E-2</v>
      </c>
    </row>
    <row r="5599" spans="2:9" x14ac:dyDescent="0.25">
      <c r="B5599" s="1">
        <v>43382</v>
      </c>
      <c r="C5599" s="2">
        <v>10301.049999999999</v>
      </c>
      <c r="D5599" s="2">
        <v>10390.299999999999</v>
      </c>
      <c r="E5599" s="2">
        <v>10397.6</v>
      </c>
      <c r="F5599" s="2">
        <v>10279.35</v>
      </c>
      <c r="G5599" s="3">
        <f t="shared" si="263"/>
        <v>-4.5419185257126182E-3</v>
      </c>
      <c r="H5599" s="2">
        <f t="shared" si="261"/>
        <v>118.25</v>
      </c>
      <c r="I5599" s="3">
        <f t="shared" si="262"/>
        <v>1.1380807098928809E-2</v>
      </c>
    </row>
    <row r="5600" spans="2:9" x14ac:dyDescent="0.25">
      <c r="B5600" s="1">
        <v>43383</v>
      </c>
      <c r="C5600" s="2">
        <v>10460.1</v>
      </c>
      <c r="D5600" s="2">
        <v>10331.85</v>
      </c>
      <c r="E5600" s="2">
        <v>10482.35</v>
      </c>
      <c r="F5600" s="2">
        <v>10318.25</v>
      </c>
      <c r="G5600" s="3">
        <f t="shared" si="263"/>
        <v>1.544017357453864E-2</v>
      </c>
      <c r="H5600" s="2">
        <f t="shared" si="261"/>
        <v>164.10000000000036</v>
      </c>
      <c r="I5600" s="3">
        <f t="shared" si="262"/>
        <v>1.5882925129575086E-2</v>
      </c>
    </row>
    <row r="5601" spans="2:9" x14ac:dyDescent="0.25">
      <c r="B5601" s="1">
        <v>43384</v>
      </c>
      <c r="C5601" s="2">
        <v>10234.65</v>
      </c>
      <c r="D5601" s="2">
        <v>10169.799999999999</v>
      </c>
      <c r="E5601" s="2">
        <v>10335.950000000001</v>
      </c>
      <c r="F5601" s="2">
        <v>10138.6</v>
      </c>
      <c r="G5601" s="3">
        <f t="shared" si="263"/>
        <v>-2.1553331230103057E-2</v>
      </c>
      <c r="H5601" s="2">
        <f t="shared" si="261"/>
        <v>197.35000000000036</v>
      </c>
      <c r="I5601" s="3">
        <f t="shared" si="262"/>
        <v>1.9405494699994138E-2</v>
      </c>
    </row>
    <row r="5602" spans="2:9" x14ac:dyDescent="0.25">
      <c r="B5602" s="1">
        <v>43385</v>
      </c>
      <c r="C5602" s="2">
        <v>10472.5</v>
      </c>
      <c r="D5602" s="2">
        <v>10331.549999999999</v>
      </c>
      <c r="E5602" s="2">
        <v>10492.45</v>
      </c>
      <c r="F5602" s="2">
        <v>10322.15</v>
      </c>
      <c r="G5602" s="3">
        <f t="shared" si="263"/>
        <v>2.323968088796402E-2</v>
      </c>
      <c r="H5602" s="2">
        <f t="shared" si="261"/>
        <v>170.30000000000109</v>
      </c>
      <c r="I5602" s="3">
        <f t="shared" si="262"/>
        <v>1.6483489892610607E-2</v>
      </c>
    </row>
    <row r="5603" spans="2:9" x14ac:dyDescent="0.25">
      <c r="B5603" s="1">
        <v>43388</v>
      </c>
      <c r="C5603" s="2">
        <v>10512.5</v>
      </c>
      <c r="D5603" s="2">
        <v>10524.2</v>
      </c>
      <c r="E5603" s="2">
        <v>10526.3</v>
      </c>
      <c r="F5603" s="2">
        <v>10410.15</v>
      </c>
      <c r="G5603" s="3">
        <f t="shared" si="263"/>
        <v>3.8195273334924451E-3</v>
      </c>
      <c r="H5603" s="2">
        <f t="shared" si="261"/>
        <v>116.14999999999964</v>
      </c>
      <c r="I5603" s="3">
        <f t="shared" si="262"/>
        <v>1.1036468330134322E-2</v>
      </c>
    </row>
    <row r="5604" spans="2:9" x14ac:dyDescent="0.25">
      <c r="B5604" s="1">
        <v>43389</v>
      </c>
      <c r="C5604" s="2">
        <v>10584.75</v>
      </c>
      <c r="D5604" s="2">
        <v>10550.15</v>
      </c>
      <c r="E5604" s="2">
        <v>10604.9</v>
      </c>
      <c r="F5604" s="2">
        <v>10525.3</v>
      </c>
      <c r="G5604" s="3">
        <f t="shared" si="263"/>
        <v>6.8727705112960891E-3</v>
      </c>
      <c r="H5604" s="2">
        <f t="shared" si="261"/>
        <v>79.600000000000364</v>
      </c>
      <c r="I5604" s="3">
        <f t="shared" si="262"/>
        <v>7.5449164229892812E-3</v>
      </c>
    </row>
    <row r="5605" spans="2:9" x14ac:dyDescent="0.25">
      <c r="B5605" s="1">
        <v>43390</v>
      </c>
      <c r="C5605" s="2">
        <v>10453.049999999999</v>
      </c>
      <c r="D5605" s="2">
        <v>10688.7</v>
      </c>
      <c r="E5605" s="2">
        <v>10710.15</v>
      </c>
      <c r="F5605" s="2">
        <v>10436.450000000001</v>
      </c>
      <c r="G5605" s="3">
        <f t="shared" si="263"/>
        <v>-1.2442428966201402E-2</v>
      </c>
      <c r="H5605" s="2">
        <f t="shared" si="261"/>
        <v>273.69999999999891</v>
      </c>
      <c r="I5605" s="3">
        <f t="shared" si="262"/>
        <v>2.5606481611421303E-2</v>
      </c>
    </row>
    <row r="5606" spans="2:9" x14ac:dyDescent="0.25">
      <c r="B5606" s="1">
        <v>43392</v>
      </c>
      <c r="C5606" s="2">
        <v>10303.549999999999</v>
      </c>
      <c r="D5606" s="2">
        <v>10339.700000000001</v>
      </c>
      <c r="E5606" s="2">
        <v>10380.1</v>
      </c>
      <c r="F5606" s="2">
        <v>10249.6</v>
      </c>
      <c r="G5606" s="3">
        <f t="shared" si="263"/>
        <v>-1.4302045814379549E-2</v>
      </c>
      <c r="H5606" s="2">
        <f t="shared" si="261"/>
        <v>130.5</v>
      </c>
      <c r="I5606" s="3">
        <f t="shared" si="262"/>
        <v>1.2621255935858873E-2</v>
      </c>
    </row>
    <row r="5607" spans="2:9" x14ac:dyDescent="0.25">
      <c r="B5607" s="1">
        <v>43395</v>
      </c>
      <c r="C5607" s="2">
        <v>10245.25</v>
      </c>
      <c r="D5607" s="2">
        <v>10405.85</v>
      </c>
      <c r="E5607" s="2">
        <v>10408.549999999999</v>
      </c>
      <c r="F5607" s="2">
        <v>10224</v>
      </c>
      <c r="G5607" s="3">
        <f t="shared" si="263"/>
        <v>-5.6582440032802994E-3</v>
      </c>
      <c r="H5607" s="2">
        <f t="shared" si="261"/>
        <v>184.54999999999927</v>
      </c>
      <c r="I5607" s="3">
        <f t="shared" si="262"/>
        <v>1.7735216248552427E-2</v>
      </c>
    </row>
    <row r="5608" spans="2:9" x14ac:dyDescent="0.25">
      <c r="B5608" s="1">
        <v>43396</v>
      </c>
      <c r="C5608" s="2">
        <v>10146.799999999999</v>
      </c>
      <c r="D5608" s="2">
        <v>10152.6</v>
      </c>
      <c r="E5608" s="2">
        <v>10222.1</v>
      </c>
      <c r="F5608" s="2">
        <v>10102.35</v>
      </c>
      <c r="G5608" s="3">
        <f t="shared" si="263"/>
        <v>-9.609331153461409E-3</v>
      </c>
      <c r="H5608" s="2">
        <f t="shared" si="261"/>
        <v>119.75</v>
      </c>
      <c r="I5608" s="3">
        <f t="shared" si="262"/>
        <v>1.1795008175245749E-2</v>
      </c>
    </row>
    <row r="5609" spans="2:9" x14ac:dyDescent="0.25">
      <c r="B5609" s="1">
        <v>43397</v>
      </c>
      <c r="C5609" s="2">
        <v>10224.75</v>
      </c>
      <c r="D5609" s="2">
        <v>10278.15</v>
      </c>
      <c r="E5609" s="2">
        <v>10290.65</v>
      </c>
      <c r="F5609" s="2">
        <v>10126.700000000001</v>
      </c>
      <c r="G5609" s="3">
        <f t="shared" si="263"/>
        <v>7.682224937911597E-3</v>
      </c>
      <c r="H5609" s="2">
        <f t="shared" si="261"/>
        <v>163.94999999999891</v>
      </c>
      <c r="I5609" s="3">
        <f t="shared" si="262"/>
        <v>1.5951314195647943E-2</v>
      </c>
    </row>
    <row r="5610" spans="2:9" x14ac:dyDescent="0.25">
      <c r="B5610" s="1">
        <v>43398</v>
      </c>
      <c r="C5610" s="2">
        <v>10124.9</v>
      </c>
      <c r="D5610" s="2">
        <v>10135.049999999999</v>
      </c>
      <c r="E5610" s="2">
        <v>10166.6</v>
      </c>
      <c r="F5610" s="2">
        <v>10079.299999999999</v>
      </c>
      <c r="G5610" s="3">
        <f t="shared" si="263"/>
        <v>-9.76551993936281E-3</v>
      </c>
      <c r="H5610" s="2">
        <f t="shared" si="261"/>
        <v>87.300000000001091</v>
      </c>
      <c r="I5610" s="3">
        <f t="shared" si="262"/>
        <v>8.6136723548478882E-3</v>
      </c>
    </row>
    <row r="5611" spans="2:9" x14ac:dyDescent="0.25">
      <c r="B5611" s="1">
        <v>43399</v>
      </c>
      <c r="C5611" s="2">
        <v>10030</v>
      </c>
      <c r="D5611" s="2">
        <v>10122.35</v>
      </c>
      <c r="E5611" s="2">
        <v>10128.85</v>
      </c>
      <c r="F5611" s="2">
        <v>10004.549999999999</v>
      </c>
      <c r="G5611" s="3">
        <f t="shared" si="263"/>
        <v>-9.3729320783414449E-3</v>
      </c>
      <c r="H5611" s="2">
        <f t="shared" si="261"/>
        <v>124.30000000000109</v>
      </c>
      <c r="I5611" s="3">
        <f t="shared" si="262"/>
        <v>1.2279757171012767E-2</v>
      </c>
    </row>
    <row r="5612" spans="2:9" x14ac:dyDescent="0.25">
      <c r="B5612" s="1">
        <v>43402</v>
      </c>
      <c r="C5612" s="2">
        <v>10250.85</v>
      </c>
      <c r="D5612" s="2">
        <v>10078.1</v>
      </c>
      <c r="E5612" s="2">
        <v>10275.299999999999</v>
      </c>
      <c r="F5612" s="2">
        <v>10020.35</v>
      </c>
      <c r="G5612" s="3">
        <f t="shared" si="263"/>
        <v>2.201894317048847E-2</v>
      </c>
      <c r="H5612" s="2">
        <f t="shared" si="261"/>
        <v>254.94999999999891</v>
      </c>
      <c r="I5612" s="3">
        <f t="shared" si="262"/>
        <v>2.5297427094392682E-2</v>
      </c>
    </row>
    <row r="5613" spans="2:9" x14ac:dyDescent="0.25">
      <c r="B5613" s="1">
        <v>43403</v>
      </c>
      <c r="C5613" s="2">
        <v>10198.4</v>
      </c>
      <c r="D5613" s="2">
        <v>10239.4</v>
      </c>
      <c r="E5613" s="2">
        <v>10285.1</v>
      </c>
      <c r="F5613" s="2">
        <v>10175.35</v>
      </c>
      <c r="G5613" s="3">
        <f t="shared" si="263"/>
        <v>-5.1166488632650164E-3</v>
      </c>
      <c r="H5613" s="2">
        <f t="shared" si="261"/>
        <v>109.75</v>
      </c>
      <c r="I5613" s="3">
        <f t="shared" si="262"/>
        <v>1.0718401468836064E-2</v>
      </c>
    </row>
    <row r="5614" spans="2:9" x14ac:dyDescent="0.25">
      <c r="B5614" s="1">
        <v>43404</v>
      </c>
      <c r="C5614" s="2">
        <v>10386.6</v>
      </c>
      <c r="D5614" s="2">
        <v>10209.549999999999</v>
      </c>
      <c r="E5614" s="2">
        <v>10396</v>
      </c>
      <c r="F5614" s="2">
        <v>10105.1</v>
      </c>
      <c r="G5614" s="3">
        <f t="shared" si="263"/>
        <v>1.8453875117665497E-2</v>
      </c>
      <c r="H5614" s="2">
        <f t="shared" si="261"/>
        <v>290.89999999999964</v>
      </c>
      <c r="I5614" s="3">
        <f t="shared" si="262"/>
        <v>2.8492930638470811E-2</v>
      </c>
    </row>
    <row r="5615" spans="2:9" x14ac:dyDescent="0.25">
      <c r="B5615" s="1">
        <v>43405</v>
      </c>
      <c r="C5615" s="2">
        <v>10380.450000000001</v>
      </c>
      <c r="D5615" s="2">
        <v>10441.700000000001</v>
      </c>
      <c r="E5615" s="2">
        <v>10441.9</v>
      </c>
      <c r="F5615" s="2">
        <v>10341.9</v>
      </c>
      <c r="G5615" s="3">
        <f t="shared" si="263"/>
        <v>-5.921090636011872E-4</v>
      </c>
      <c r="H5615" s="2">
        <f t="shared" si="261"/>
        <v>100</v>
      </c>
      <c r="I5615" s="3">
        <f t="shared" si="262"/>
        <v>9.5769845906317937E-3</v>
      </c>
    </row>
    <row r="5616" spans="2:9" x14ac:dyDescent="0.25">
      <c r="B5616" s="1">
        <v>43406</v>
      </c>
      <c r="C5616" s="2">
        <v>10553</v>
      </c>
      <c r="D5616" s="2">
        <v>10462.299999999999</v>
      </c>
      <c r="E5616" s="2">
        <v>10606.95</v>
      </c>
      <c r="F5616" s="2">
        <v>10457.700000000001</v>
      </c>
      <c r="G5616" s="3">
        <f t="shared" si="263"/>
        <v>1.6622593432847221E-2</v>
      </c>
      <c r="H5616" s="2">
        <f t="shared" si="261"/>
        <v>149.25</v>
      </c>
      <c r="I5616" s="3">
        <f t="shared" si="262"/>
        <v>1.4265505672748823E-2</v>
      </c>
    </row>
    <row r="5617" spans="2:9" x14ac:dyDescent="0.25">
      <c r="B5617" s="1">
        <v>43409</v>
      </c>
      <c r="C5617" s="2">
        <v>10524</v>
      </c>
      <c r="D5617" s="2">
        <v>10558.75</v>
      </c>
      <c r="E5617" s="2">
        <v>10558.8</v>
      </c>
      <c r="F5617" s="2">
        <v>10477</v>
      </c>
      <c r="G5617" s="3">
        <f t="shared" si="263"/>
        <v>-2.7480337344830685E-3</v>
      </c>
      <c r="H5617" s="2">
        <f t="shared" si="261"/>
        <v>81.799999999999272</v>
      </c>
      <c r="I5617" s="3">
        <f t="shared" si="262"/>
        <v>7.7471291582809779E-3</v>
      </c>
    </row>
    <row r="5618" spans="2:9" x14ac:dyDescent="0.25">
      <c r="B5618" s="1">
        <v>43410</v>
      </c>
      <c r="C5618" s="2">
        <v>10530</v>
      </c>
      <c r="D5618" s="2">
        <v>10552</v>
      </c>
      <c r="E5618" s="2">
        <v>10600.25</v>
      </c>
      <c r="F5618" s="2">
        <v>10491.45</v>
      </c>
      <c r="G5618" s="3">
        <f t="shared" si="263"/>
        <v>5.7012542759404816E-4</v>
      </c>
      <c r="H5618" s="2">
        <f t="shared" si="261"/>
        <v>108.79999999999927</v>
      </c>
      <c r="I5618" s="3">
        <f t="shared" si="262"/>
        <v>1.0310841546626164E-2</v>
      </c>
    </row>
    <row r="5619" spans="2:9" x14ac:dyDescent="0.25">
      <c r="B5619" s="1">
        <v>43411</v>
      </c>
      <c r="C5619" s="2">
        <v>10598.85</v>
      </c>
      <c r="D5619" s="2">
        <v>10614.45</v>
      </c>
      <c r="E5619" s="2">
        <v>10616.45</v>
      </c>
      <c r="F5619" s="2">
        <v>10591.8</v>
      </c>
      <c r="G5619" s="3">
        <f t="shared" si="263"/>
        <v>6.5384615384616041E-3</v>
      </c>
      <c r="H5619" s="2">
        <f t="shared" si="261"/>
        <v>24.650000000001455</v>
      </c>
      <c r="I5619" s="3">
        <f t="shared" si="262"/>
        <v>2.32230591316568E-3</v>
      </c>
    </row>
    <row r="5620" spans="2:9" x14ac:dyDescent="0.25">
      <c r="B5620" s="1">
        <v>43413</v>
      </c>
      <c r="C5620" s="2">
        <v>10585.2</v>
      </c>
      <c r="D5620" s="2">
        <v>10614.7</v>
      </c>
      <c r="E5620" s="2">
        <v>10619.55</v>
      </c>
      <c r="F5620" s="2">
        <v>10544.85</v>
      </c>
      <c r="G5620" s="3">
        <f t="shared" si="263"/>
        <v>-1.287875571406305E-3</v>
      </c>
      <c r="H5620" s="2">
        <f t="shared" si="261"/>
        <v>74.699999999998909</v>
      </c>
      <c r="I5620" s="3">
        <f t="shared" si="262"/>
        <v>7.0374103837130492E-3</v>
      </c>
    </row>
    <row r="5621" spans="2:9" x14ac:dyDescent="0.25">
      <c r="B5621" s="1">
        <v>43416</v>
      </c>
      <c r="C5621" s="2">
        <v>10482.200000000001</v>
      </c>
      <c r="D5621" s="2">
        <v>10607.8</v>
      </c>
      <c r="E5621" s="2">
        <v>10645.5</v>
      </c>
      <c r="F5621" s="2">
        <v>10464.049999999999</v>
      </c>
      <c r="G5621" s="3">
        <f t="shared" si="263"/>
        <v>-9.7305672070437943E-3</v>
      </c>
      <c r="H5621" s="2">
        <f t="shared" si="261"/>
        <v>181.45000000000073</v>
      </c>
      <c r="I5621" s="3">
        <f t="shared" si="262"/>
        <v>1.7105337581779515E-2</v>
      </c>
    </row>
    <row r="5622" spans="2:9" x14ac:dyDescent="0.25">
      <c r="B5622" s="1">
        <v>43417</v>
      </c>
      <c r="C5622" s="2">
        <v>10582.5</v>
      </c>
      <c r="D5622" s="2">
        <v>10451.9</v>
      </c>
      <c r="E5622" s="2">
        <v>10596.25</v>
      </c>
      <c r="F5622" s="2">
        <v>10440.549999999999</v>
      </c>
      <c r="G5622" s="3">
        <f t="shared" si="263"/>
        <v>9.56860201102816E-3</v>
      </c>
      <c r="H5622" s="2">
        <f t="shared" si="261"/>
        <v>155.70000000000073</v>
      </c>
      <c r="I5622" s="3">
        <f t="shared" si="262"/>
        <v>1.4896813019642432E-2</v>
      </c>
    </row>
    <row r="5623" spans="2:9" x14ac:dyDescent="0.25">
      <c r="B5623" s="1">
        <v>43418</v>
      </c>
      <c r="C5623" s="2">
        <v>10576.3</v>
      </c>
      <c r="D5623" s="2">
        <v>10634.9</v>
      </c>
      <c r="E5623" s="2">
        <v>10651.6</v>
      </c>
      <c r="F5623" s="2">
        <v>10532.7</v>
      </c>
      <c r="G5623" s="3">
        <f t="shared" si="263"/>
        <v>-5.8587290337830389E-4</v>
      </c>
      <c r="H5623" s="2">
        <f t="shared" si="261"/>
        <v>118.89999999999964</v>
      </c>
      <c r="I5623" s="3">
        <f t="shared" si="262"/>
        <v>1.118017094660031E-2</v>
      </c>
    </row>
    <row r="5624" spans="2:9" x14ac:dyDescent="0.25">
      <c r="B5624" s="1">
        <v>43419</v>
      </c>
      <c r="C5624" s="2">
        <v>10616.7</v>
      </c>
      <c r="D5624" s="2">
        <v>10580.6</v>
      </c>
      <c r="E5624" s="2">
        <v>10646.5</v>
      </c>
      <c r="F5624" s="2">
        <v>10557.5</v>
      </c>
      <c r="G5624" s="3">
        <f t="shared" si="263"/>
        <v>3.8198613881983423E-3</v>
      </c>
      <c r="H5624" s="2">
        <f t="shared" si="261"/>
        <v>89</v>
      </c>
      <c r="I5624" s="3">
        <f t="shared" si="262"/>
        <v>8.4116212691151722E-3</v>
      </c>
    </row>
    <row r="5625" spans="2:9" x14ac:dyDescent="0.25">
      <c r="B5625" s="1">
        <v>43420</v>
      </c>
      <c r="C5625" s="2">
        <v>10682.2</v>
      </c>
      <c r="D5625" s="2">
        <v>10644</v>
      </c>
      <c r="E5625" s="2">
        <v>10695.15</v>
      </c>
      <c r="F5625" s="2">
        <v>10631.15</v>
      </c>
      <c r="G5625" s="3">
        <f t="shared" si="263"/>
        <v>6.1695253704070474E-3</v>
      </c>
      <c r="H5625" s="2">
        <f t="shared" si="261"/>
        <v>64</v>
      </c>
      <c r="I5625" s="3">
        <f t="shared" si="262"/>
        <v>6.0127771514468242E-3</v>
      </c>
    </row>
    <row r="5626" spans="2:9" x14ac:dyDescent="0.25">
      <c r="B5626" s="1">
        <v>43423</v>
      </c>
      <c r="C5626" s="2">
        <v>10763.4</v>
      </c>
      <c r="D5626" s="2">
        <v>10731.25</v>
      </c>
      <c r="E5626" s="2">
        <v>10774.7</v>
      </c>
      <c r="F5626" s="2">
        <v>10688.8</v>
      </c>
      <c r="G5626" s="3">
        <f t="shared" si="263"/>
        <v>7.6014304169551572E-3</v>
      </c>
      <c r="H5626" s="2">
        <f t="shared" si="261"/>
        <v>85.900000000001455</v>
      </c>
      <c r="I5626" s="3">
        <f t="shared" si="262"/>
        <v>8.0046592894584927E-3</v>
      </c>
    </row>
    <row r="5627" spans="2:9" x14ac:dyDescent="0.25">
      <c r="B5627" s="1">
        <v>43424</v>
      </c>
      <c r="C5627" s="2">
        <v>10656.2</v>
      </c>
      <c r="D5627" s="2">
        <v>10740.1</v>
      </c>
      <c r="E5627" s="2">
        <v>10740.85</v>
      </c>
      <c r="F5627" s="2">
        <v>10640.85</v>
      </c>
      <c r="G5627" s="3">
        <f t="shared" si="263"/>
        <v>-9.9596781686083213E-3</v>
      </c>
      <c r="H5627" s="2">
        <f t="shared" si="261"/>
        <v>100</v>
      </c>
      <c r="I5627" s="3">
        <f t="shared" si="262"/>
        <v>9.3109002709471974E-3</v>
      </c>
    </row>
    <row r="5628" spans="2:9" x14ac:dyDescent="0.25">
      <c r="B5628" s="1">
        <v>43425</v>
      </c>
      <c r="C5628" s="2">
        <v>10600.05</v>
      </c>
      <c r="D5628" s="2">
        <v>10670.95</v>
      </c>
      <c r="E5628" s="2">
        <v>10671.3</v>
      </c>
      <c r="F5628" s="2">
        <v>10562.35</v>
      </c>
      <c r="G5628" s="3">
        <f t="shared" si="263"/>
        <v>-5.2692329348174027E-3</v>
      </c>
      <c r="H5628" s="2">
        <f t="shared" si="261"/>
        <v>108.94999999999891</v>
      </c>
      <c r="I5628" s="3">
        <f t="shared" si="262"/>
        <v>1.020996256190863E-2</v>
      </c>
    </row>
    <row r="5629" spans="2:9" x14ac:dyDescent="0.25">
      <c r="B5629" s="1">
        <v>43426</v>
      </c>
      <c r="C5629" s="2">
        <v>10526.75</v>
      </c>
      <c r="D5629" s="2">
        <v>10612.65</v>
      </c>
      <c r="E5629" s="2">
        <v>10646.25</v>
      </c>
      <c r="F5629" s="2">
        <v>10512</v>
      </c>
      <c r="G5629" s="3">
        <f t="shared" si="263"/>
        <v>-6.9150617214068788E-3</v>
      </c>
      <c r="H5629" s="2">
        <f t="shared" si="261"/>
        <v>134.25</v>
      </c>
      <c r="I5629" s="3">
        <f t="shared" si="262"/>
        <v>1.2649997879888623E-2</v>
      </c>
    </row>
    <row r="5630" spans="2:9" x14ac:dyDescent="0.25">
      <c r="B5630" s="1">
        <v>43430</v>
      </c>
      <c r="C5630" s="2">
        <v>10628.6</v>
      </c>
      <c r="D5630" s="2">
        <v>10568.3</v>
      </c>
      <c r="E5630" s="2">
        <v>10637.8</v>
      </c>
      <c r="F5630" s="2">
        <v>10489.75</v>
      </c>
      <c r="G5630" s="3">
        <f t="shared" si="263"/>
        <v>9.6753508917757358E-3</v>
      </c>
      <c r="H5630" s="2">
        <f t="shared" si="261"/>
        <v>148.04999999999927</v>
      </c>
      <c r="I5630" s="3">
        <f t="shared" si="262"/>
        <v>1.4008875599670645E-2</v>
      </c>
    </row>
    <row r="5631" spans="2:9" x14ac:dyDescent="0.25">
      <c r="B5631" s="1">
        <v>43431</v>
      </c>
      <c r="C5631" s="2">
        <v>10685.6</v>
      </c>
      <c r="D5631" s="2">
        <v>10621.45</v>
      </c>
      <c r="E5631" s="2">
        <v>10695.15</v>
      </c>
      <c r="F5631" s="2">
        <v>10596.35</v>
      </c>
      <c r="G5631" s="3">
        <f t="shared" si="263"/>
        <v>5.3628888094385818E-3</v>
      </c>
      <c r="H5631" s="2">
        <f t="shared" si="261"/>
        <v>98.799999999999272</v>
      </c>
      <c r="I5631" s="3">
        <f t="shared" si="262"/>
        <v>9.3019314688671754E-3</v>
      </c>
    </row>
    <row r="5632" spans="2:9" x14ac:dyDescent="0.25">
      <c r="B5632" s="1">
        <v>43432</v>
      </c>
      <c r="C5632" s="2">
        <v>10728.85</v>
      </c>
      <c r="D5632" s="2">
        <v>10708.75</v>
      </c>
      <c r="E5632" s="2">
        <v>10757.8</v>
      </c>
      <c r="F5632" s="2">
        <v>10699.85</v>
      </c>
      <c r="G5632" s="3">
        <f t="shared" si="263"/>
        <v>4.0475031818523188E-3</v>
      </c>
      <c r="H5632" s="2">
        <f t="shared" si="261"/>
        <v>57.949999999998909</v>
      </c>
      <c r="I5632" s="3">
        <f t="shared" si="262"/>
        <v>5.4114625890042166E-3</v>
      </c>
    </row>
    <row r="5633" spans="2:9" x14ac:dyDescent="0.25">
      <c r="B5633" s="1">
        <v>43433</v>
      </c>
      <c r="C5633" s="2">
        <v>10858.7</v>
      </c>
      <c r="D5633" s="2">
        <v>10808.7</v>
      </c>
      <c r="E5633" s="2">
        <v>10883.05</v>
      </c>
      <c r="F5633" s="2">
        <v>10782.35</v>
      </c>
      <c r="G5633" s="3">
        <f t="shared" si="263"/>
        <v>1.21028814831039E-2</v>
      </c>
      <c r="H5633" s="2">
        <f t="shared" si="261"/>
        <v>100.69999999999891</v>
      </c>
      <c r="I5633" s="3">
        <f t="shared" si="262"/>
        <v>9.3165690601088851E-3</v>
      </c>
    </row>
    <row r="5634" spans="2:9" x14ac:dyDescent="0.25">
      <c r="B5634" s="1">
        <v>43434</v>
      </c>
      <c r="C5634" s="2">
        <v>10876.75</v>
      </c>
      <c r="D5634" s="2">
        <v>10892.1</v>
      </c>
      <c r="E5634" s="2">
        <v>10922.45</v>
      </c>
      <c r="F5634" s="2">
        <v>10835.1</v>
      </c>
      <c r="G5634" s="3">
        <f t="shared" si="263"/>
        <v>1.6622615966919163E-3</v>
      </c>
      <c r="H5634" s="2">
        <f t="shared" si="261"/>
        <v>87.350000000000364</v>
      </c>
      <c r="I5634" s="3">
        <f t="shared" si="262"/>
        <v>8.0195738195573268E-3</v>
      </c>
    </row>
    <row r="5635" spans="2:9" x14ac:dyDescent="0.25">
      <c r="B5635" s="1">
        <v>43437</v>
      </c>
      <c r="C5635" s="2">
        <v>10883.75</v>
      </c>
      <c r="D5635" s="2">
        <v>10930.7</v>
      </c>
      <c r="E5635" s="2">
        <v>10941.2</v>
      </c>
      <c r="F5635" s="2">
        <v>10845.35</v>
      </c>
      <c r="G5635" s="3">
        <f t="shared" si="263"/>
        <v>6.4357459719133203E-4</v>
      </c>
      <c r="H5635" s="2">
        <f t="shared" si="261"/>
        <v>95.850000000000364</v>
      </c>
      <c r="I5635" s="3">
        <f t="shared" si="262"/>
        <v>8.7688803095867934E-3</v>
      </c>
    </row>
    <row r="5636" spans="2:9" x14ac:dyDescent="0.25">
      <c r="B5636" s="1">
        <v>43438</v>
      </c>
      <c r="C5636" s="2">
        <v>10869.5</v>
      </c>
      <c r="D5636" s="2">
        <v>10877.1</v>
      </c>
      <c r="E5636" s="2">
        <v>10890.95</v>
      </c>
      <c r="F5636" s="2">
        <v>10833.35</v>
      </c>
      <c r="G5636" s="3">
        <f t="shared" si="263"/>
        <v>-1.3092913747559942E-3</v>
      </c>
      <c r="H5636" s="2">
        <f t="shared" si="261"/>
        <v>57.600000000000364</v>
      </c>
      <c r="I5636" s="3">
        <f t="shared" si="262"/>
        <v>5.2955291392007397E-3</v>
      </c>
    </row>
    <row r="5637" spans="2:9" x14ac:dyDescent="0.25">
      <c r="B5637" s="1">
        <v>43439</v>
      </c>
      <c r="C5637" s="2">
        <v>10782.9</v>
      </c>
      <c r="D5637" s="2">
        <v>10820.45</v>
      </c>
      <c r="E5637" s="2">
        <v>10821.05</v>
      </c>
      <c r="F5637" s="2">
        <v>10747.95</v>
      </c>
      <c r="G5637" s="3">
        <f t="shared" si="263"/>
        <v>-7.9672478034868988E-3</v>
      </c>
      <c r="H5637" s="2">
        <f t="shared" ref="H5637:H5700" si="264">E5637-F5637</f>
        <v>73.099999999998545</v>
      </c>
      <c r="I5637" s="3">
        <f t="shared" si="262"/>
        <v>6.7557264254257945E-3</v>
      </c>
    </row>
    <row r="5638" spans="2:9" x14ac:dyDescent="0.25">
      <c r="B5638" s="1">
        <v>43440</v>
      </c>
      <c r="C5638" s="2">
        <v>10601.15</v>
      </c>
      <c r="D5638" s="2">
        <v>10718.15</v>
      </c>
      <c r="E5638" s="2">
        <v>10722.65</v>
      </c>
      <c r="F5638" s="2">
        <v>10588.25</v>
      </c>
      <c r="G5638" s="3">
        <f t="shared" si="263"/>
        <v>-1.6855391406764397E-2</v>
      </c>
      <c r="H5638" s="2">
        <f t="shared" si="264"/>
        <v>134.39999999999964</v>
      </c>
      <c r="I5638" s="3">
        <f t="shared" ref="I5638:I5701" si="265">H5638/D5638</f>
        <v>1.2539477428474097E-2</v>
      </c>
    </row>
    <row r="5639" spans="2:9" x14ac:dyDescent="0.25">
      <c r="B5639" s="1">
        <v>43441</v>
      </c>
      <c r="C5639" s="2">
        <v>10693.7</v>
      </c>
      <c r="D5639" s="2">
        <v>10644.8</v>
      </c>
      <c r="E5639" s="2">
        <v>10704.55</v>
      </c>
      <c r="F5639" s="2">
        <v>10599.35</v>
      </c>
      <c r="G5639" s="3">
        <f t="shared" ref="G5639:G5702" si="266">C5639/C5638-1</f>
        <v>8.7301849327667824E-3</v>
      </c>
      <c r="H5639" s="2">
        <f t="shared" si="264"/>
        <v>105.19999999999891</v>
      </c>
      <c r="I5639" s="3">
        <f t="shared" si="265"/>
        <v>9.8827596572973585E-3</v>
      </c>
    </row>
    <row r="5640" spans="2:9" x14ac:dyDescent="0.25">
      <c r="B5640" s="1">
        <v>43444</v>
      </c>
      <c r="C5640" s="2">
        <v>10488.45</v>
      </c>
      <c r="D5640" s="2">
        <v>10508.7</v>
      </c>
      <c r="E5640" s="2">
        <v>10558.85</v>
      </c>
      <c r="F5640" s="2">
        <v>10474.950000000001</v>
      </c>
      <c r="G5640" s="3">
        <f t="shared" si="266"/>
        <v>-1.919354386227401E-2</v>
      </c>
      <c r="H5640" s="2">
        <f t="shared" si="264"/>
        <v>83.899999999999636</v>
      </c>
      <c r="I5640" s="3">
        <f t="shared" si="265"/>
        <v>7.9838609913690205E-3</v>
      </c>
    </row>
    <row r="5641" spans="2:9" x14ac:dyDescent="0.25">
      <c r="B5641" s="1">
        <v>43445</v>
      </c>
      <c r="C5641" s="2">
        <v>10549.15</v>
      </c>
      <c r="D5641" s="2">
        <v>10350.049999999999</v>
      </c>
      <c r="E5641" s="2">
        <v>10567.15</v>
      </c>
      <c r="F5641" s="2">
        <v>10333.85</v>
      </c>
      <c r="G5641" s="3">
        <f t="shared" si="266"/>
        <v>5.7873184312267067E-3</v>
      </c>
      <c r="H5641" s="2">
        <f t="shared" si="264"/>
        <v>233.29999999999927</v>
      </c>
      <c r="I5641" s="3">
        <f t="shared" si="265"/>
        <v>2.2540953908435156E-2</v>
      </c>
    </row>
    <row r="5642" spans="2:9" x14ac:dyDescent="0.25">
      <c r="B5642" s="1">
        <v>43446</v>
      </c>
      <c r="C5642" s="2">
        <v>10737.6</v>
      </c>
      <c r="D5642" s="2">
        <v>10591</v>
      </c>
      <c r="E5642" s="2">
        <v>10752.2</v>
      </c>
      <c r="F5642" s="2">
        <v>10560.8</v>
      </c>
      <c r="G5642" s="3">
        <f t="shared" si="266"/>
        <v>1.7863998521207902E-2</v>
      </c>
      <c r="H5642" s="2">
        <f t="shared" si="264"/>
        <v>191.40000000000146</v>
      </c>
      <c r="I5642" s="3">
        <f t="shared" si="265"/>
        <v>1.8071947880275843E-2</v>
      </c>
    </row>
    <row r="5643" spans="2:9" x14ac:dyDescent="0.25">
      <c r="B5643" s="1">
        <v>43447</v>
      </c>
      <c r="C5643" s="2">
        <v>10791.55</v>
      </c>
      <c r="D5643" s="2">
        <v>10810.75</v>
      </c>
      <c r="E5643" s="2">
        <v>10838.6</v>
      </c>
      <c r="F5643" s="2">
        <v>10749.5</v>
      </c>
      <c r="G5643" s="3">
        <f t="shared" si="266"/>
        <v>5.0244002384145503E-3</v>
      </c>
      <c r="H5643" s="2">
        <f t="shared" si="264"/>
        <v>89.100000000000364</v>
      </c>
      <c r="I5643" s="3">
        <f t="shared" si="265"/>
        <v>8.2417963601045599E-3</v>
      </c>
    </row>
    <row r="5644" spans="2:9" x14ac:dyDescent="0.25">
      <c r="B5644" s="1">
        <v>43448</v>
      </c>
      <c r="C5644" s="2">
        <v>10805.45</v>
      </c>
      <c r="D5644" s="2">
        <v>10784.5</v>
      </c>
      <c r="E5644" s="2">
        <v>10815.75</v>
      </c>
      <c r="F5644" s="2">
        <v>10752.1</v>
      </c>
      <c r="G5644" s="3">
        <f t="shared" si="266"/>
        <v>1.2880448128398392E-3</v>
      </c>
      <c r="H5644" s="2">
        <f t="shared" si="264"/>
        <v>63.649999999999636</v>
      </c>
      <c r="I5644" s="3">
        <f t="shared" si="265"/>
        <v>5.901988965645105E-3</v>
      </c>
    </row>
    <row r="5645" spans="2:9" x14ac:dyDescent="0.25">
      <c r="B5645" s="1">
        <v>43451</v>
      </c>
      <c r="C5645" s="2">
        <v>10888.35</v>
      </c>
      <c r="D5645" s="2">
        <v>10853.2</v>
      </c>
      <c r="E5645" s="2">
        <v>10900.35</v>
      </c>
      <c r="F5645" s="2">
        <v>10844.85</v>
      </c>
      <c r="G5645" s="3">
        <f t="shared" si="266"/>
        <v>7.6720543799655427E-3</v>
      </c>
      <c r="H5645" s="2">
        <f t="shared" si="264"/>
        <v>55.5</v>
      </c>
      <c r="I5645" s="3">
        <f t="shared" si="265"/>
        <v>5.1136991854936788E-3</v>
      </c>
    </row>
    <row r="5646" spans="2:9" x14ac:dyDescent="0.25">
      <c r="B5646" s="1">
        <v>43452</v>
      </c>
      <c r="C5646" s="2">
        <v>10908.7</v>
      </c>
      <c r="D5646" s="2">
        <v>10850.9</v>
      </c>
      <c r="E5646" s="2">
        <v>10915.4</v>
      </c>
      <c r="F5646" s="2">
        <v>10819.1</v>
      </c>
      <c r="G5646" s="3">
        <f t="shared" si="266"/>
        <v>1.8689700459666447E-3</v>
      </c>
      <c r="H5646" s="2">
        <f t="shared" si="264"/>
        <v>96.299999999999272</v>
      </c>
      <c r="I5646" s="3">
        <f t="shared" si="265"/>
        <v>8.8748398750333399E-3</v>
      </c>
    </row>
    <row r="5647" spans="2:9" x14ac:dyDescent="0.25">
      <c r="B5647" s="1">
        <v>43453</v>
      </c>
      <c r="C5647" s="2">
        <v>10967.3</v>
      </c>
      <c r="D5647" s="2">
        <v>10930.55</v>
      </c>
      <c r="E5647" s="2">
        <v>10985.15</v>
      </c>
      <c r="F5647" s="2">
        <v>10928</v>
      </c>
      <c r="G5647" s="3">
        <f t="shared" si="266"/>
        <v>5.3718591582863073E-3</v>
      </c>
      <c r="H5647" s="2">
        <f t="shared" si="264"/>
        <v>57.149999999999636</v>
      </c>
      <c r="I5647" s="3">
        <f t="shared" si="265"/>
        <v>5.2284651732986574E-3</v>
      </c>
    </row>
    <row r="5648" spans="2:9" x14ac:dyDescent="0.25">
      <c r="B5648" s="1">
        <v>43454</v>
      </c>
      <c r="C5648" s="2">
        <v>10951.7</v>
      </c>
      <c r="D5648" s="2">
        <v>10885.2</v>
      </c>
      <c r="E5648" s="2">
        <v>10962.55</v>
      </c>
      <c r="F5648" s="2">
        <v>10880.05</v>
      </c>
      <c r="G5648" s="3">
        <f t="shared" si="266"/>
        <v>-1.4224102559425855E-3</v>
      </c>
      <c r="H5648" s="2">
        <f t="shared" si="264"/>
        <v>82.5</v>
      </c>
      <c r="I5648" s="3">
        <f t="shared" si="265"/>
        <v>7.5790982251129971E-3</v>
      </c>
    </row>
    <row r="5649" spans="2:9" x14ac:dyDescent="0.25">
      <c r="B5649" s="1">
        <v>43455</v>
      </c>
      <c r="C5649" s="2">
        <v>10754</v>
      </c>
      <c r="D5649" s="2">
        <v>10944.25</v>
      </c>
      <c r="E5649" s="2">
        <v>10963.65</v>
      </c>
      <c r="F5649" s="2">
        <v>10738.65</v>
      </c>
      <c r="G5649" s="3">
        <f t="shared" si="266"/>
        <v>-1.8051991928193845E-2</v>
      </c>
      <c r="H5649" s="2">
        <f t="shared" si="264"/>
        <v>225</v>
      </c>
      <c r="I5649" s="3">
        <f t="shared" si="265"/>
        <v>2.0558740891335633E-2</v>
      </c>
    </row>
    <row r="5650" spans="2:9" x14ac:dyDescent="0.25">
      <c r="B5650" s="1">
        <v>43458</v>
      </c>
      <c r="C5650" s="2">
        <v>10663.5</v>
      </c>
      <c r="D5650" s="2">
        <v>10780.9</v>
      </c>
      <c r="E5650" s="2">
        <v>10782.3</v>
      </c>
      <c r="F5650" s="2">
        <v>10649.25</v>
      </c>
      <c r="G5650" s="3">
        <f t="shared" si="266"/>
        <v>-8.4154733122558945E-3</v>
      </c>
      <c r="H5650" s="2">
        <f t="shared" si="264"/>
        <v>133.04999999999927</v>
      </c>
      <c r="I5650" s="3">
        <f t="shared" si="265"/>
        <v>1.2341270209351657E-2</v>
      </c>
    </row>
    <row r="5651" spans="2:9" x14ac:dyDescent="0.25">
      <c r="B5651" s="1">
        <v>43460</v>
      </c>
      <c r="C5651" s="2">
        <v>10729.85</v>
      </c>
      <c r="D5651" s="2">
        <v>10635.45</v>
      </c>
      <c r="E5651" s="2">
        <v>10747.5</v>
      </c>
      <c r="F5651" s="2">
        <v>10534.55</v>
      </c>
      <c r="G5651" s="3">
        <f t="shared" si="266"/>
        <v>6.2221597036620224E-3</v>
      </c>
      <c r="H5651" s="2">
        <f t="shared" si="264"/>
        <v>212.95000000000073</v>
      </c>
      <c r="I5651" s="3">
        <f t="shared" si="265"/>
        <v>2.0022660066099762E-2</v>
      </c>
    </row>
    <row r="5652" spans="2:9" x14ac:dyDescent="0.25">
      <c r="B5652" s="1">
        <v>43461</v>
      </c>
      <c r="C5652" s="2">
        <v>10779.8</v>
      </c>
      <c r="D5652" s="2">
        <v>10817.9</v>
      </c>
      <c r="E5652" s="2">
        <v>10834.2</v>
      </c>
      <c r="F5652" s="2">
        <v>10764.45</v>
      </c>
      <c r="G5652" s="3">
        <f t="shared" si="266"/>
        <v>4.6552374916704053E-3</v>
      </c>
      <c r="H5652" s="2">
        <f t="shared" si="264"/>
        <v>69.75</v>
      </c>
      <c r="I5652" s="3">
        <f t="shared" si="265"/>
        <v>6.447646955508925E-3</v>
      </c>
    </row>
    <row r="5653" spans="2:9" x14ac:dyDescent="0.25">
      <c r="B5653" s="1">
        <v>43462</v>
      </c>
      <c r="C5653" s="2">
        <v>10859.9</v>
      </c>
      <c r="D5653" s="2">
        <v>10820.95</v>
      </c>
      <c r="E5653" s="2">
        <v>10893.6</v>
      </c>
      <c r="F5653" s="2">
        <v>10817.15</v>
      </c>
      <c r="G5653" s="3">
        <f t="shared" si="266"/>
        <v>7.4305645744818793E-3</v>
      </c>
      <c r="H5653" s="2">
        <f t="shared" si="264"/>
        <v>76.450000000000728</v>
      </c>
      <c r="I5653" s="3">
        <f t="shared" si="265"/>
        <v>7.0649989141434643E-3</v>
      </c>
    </row>
    <row r="5654" spans="2:9" x14ac:dyDescent="0.25">
      <c r="B5654" s="1">
        <v>43465</v>
      </c>
      <c r="C5654" s="2">
        <v>10862.55</v>
      </c>
      <c r="D5654" s="2">
        <v>10913.2</v>
      </c>
      <c r="E5654" s="2">
        <v>10923.55</v>
      </c>
      <c r="F5654" s="2">
        <v>10853.2</v>
      </c>
      <c r="G5654" s="3">
        <f t="shared" si="266"/>
        <v>2.4401697989850923E-4</v>
      </c>
      <c r="H5654" s="2">
        <f t="shared" si="264"/>
        <v>70.349999999998545</v>
      </c>
      <c r="I5654" s="3">
        <f t="shared" si="265"/>
        <v>6.4463218854230236E-3</v>
      </c>
    </row>
    <row r="5655" spans="2:9" x14ac:dyDescent="0.25">
      <c r="B5655" s="1">
        <v>43466</v>
      </c>
      <c r="C5655" s="2">
        <v>10910.1</v>
      </c>
      <c r="D5655" s="2">
        <v>10881.7</v>
      </c>
      <c r="E5655" s="2">
        <v>10923.6</v>
      </c>
      <c r="F5655" s="2">
        <v>10807.1</v>
      </c>
      <c r="G5655" s="3">
        <f t="shared" si="266"/>
        <v>4.3774251902177763E-3</v>
      </c>
      <c r="H5655" s="2">
        <f t="shared" si="264"/>
        <v>116.5</v>
      </c>
      <c r="I5655" s="3">
        <f t="shared" si="265"/>
        <v>1.0706047768271502E-2</v>
      </c>
    </row>
    <row r="5656" spans="2:9" x14ac:dyDescent="0.25">
      <c r="B5656" s="1">
        <v>43467</v>
      </c>
      <c r="C5656" s="2">
        <v>10792.5</v>
      </c>
      <c r="D5656" s="2">
        <v>10868.85</v>
      </c>
      <c r="E5656" s="2">
        <v>10895.35</v>
      </c>
      <c r="F5656" s="2">
        <v>10735.05</v>
      </c>
      <c r="G5656" s="3">
        <f t="shared" si="266"/>
        <v>-1.0779002942227889E-2</v>
      </c>
      <c r="H5656" s="2">
        <f t="shared" si="264"/>
        <v>160.30000000000109</v>
      </c>
      <c r="I5656" s="3">
        <f t="shared" si="265"/>
        <v>1.47485704559361E-2</v>
      </c>
    </row>
    <row r="5657" spans="2:9" x14ac:dyDescent="0.25">
      <c r="B5657" s="1">
        <v>43468</v>
      </c>
      <c r="C5657" s="2">
        <v>10672.25</v>
      </c>
      <c r="D5657" s="2">
        <v>10796.8</v>
      </c>
      <c r="E5657" s="2">
        <v>10814.05</v>
      </c>
      <c r="F5657" s="2">
        <v>10661.25</v>
      </c>
      <c r="G5657" s="3">
        <f t="shared" si="266"/>
        <v>-1.1141996757007222E-2</v>
      </c>
      <c r="H5657" s="2">
        <f t="shared" si="264"/>
        <v>152.79999999999927</v>
      </c>
      <c r="I5657" s="3">
        <f t="shared" si="265"/>
        <v>1.4152341434499045E-2</v>
      </c>
    </row>
    <row r="5658" spans="2:9" x14ac:dyDescent="0.25">
      <c r="B5658" s="1">
        <v>43469</v>
      </c>
      <c r="C5658" s="2">
        <v>10727.35</v>
      </c>
      <c r="D5658" s="2">
        <v>10699.7</v>
      </c>
      <c r="E5658" s="2">
        <v>10741.05</v>
      </c>
      <c r="F5658" s="2">
        <v>10628.65</v>
      </c>
      <c r="G5658" s="3">
        <f t="shared" si="266"/>
        <v>5.1629225327367578E-3</v>
      </c>
      <c r="H5658" s="2">
        <f t="shared" si="264"/>
        <v>112.39999999999964</v>
      </c>
      <c r="I5658" s="3">
        <f t="shared" si="265"/>
        <v>1.0504967428993301E-2</v>
      </c>
    </row>
    <row r="5659" spans="2:9" x14ac:dyDescent="0.25">
      <c r="B5659" s="1">
        <v>43472</v>
      </c>
      <c r="C5659" s="2">
        <v>10771.8</v>
      </c>
      <c r="D5659" s="2">
        <v>10804.85</v>
      </c>
      <c r="E5659" s="2">
        <v>10835.95</v>
      </c>
      <c r="F5659" s="2">
        <v>10750.15</v>
      </c>
      <c r="G5659" s="3">
        <f t="shared" si="266"/>
        <v>4.1436142197279757E-3</v>
      </c>
      <c r="H5659" s="2">
        <f t="shared" si="264"/>
        <v>85.800000000001091</v>
      </c>
      <c r="I5659" s="3">
        <f t="shared" si="265"/>
        <v>7.9408784018289089E-3</v>
      </c>
    </row>
    <row r="5660" spans="2:9" x14ac:dyDescent="0.25">
      <c r="B5660" s="1">
        <v>43473</v>
      </c>
      <c r="C5660" s="2">
        <v>10802.15</v>
      </c>
      <c r="D5660" s="2">
        <v>10786.25</v>
      </c>
      <c r="E5660" s="2">
        <v>10818.45</v>
      </c>
      <c r="F5660" s="2">
        <v>10733.25</v>
      </c>
      <c r="G5660" s="3">
        <f t="shared" si="266"/>
        <v>2.8175421006702006E-3</v>
      </c>
      <c r="H5660" s="2">
        <f t="shared" si="264"/>
        <v>85.200000000000728</v>
      </c>
      <c r="I5660" s="3">
        <f t="shared" si="265"/>
        <v>7.8989454166184473E-3</v>
      </c>
    </row>
    <row r="5661" spans="2:9" x14ac:dyDescent="0.25">
      <c r="B5661" s="1">
        <v>43474</v>
      </c>
      <c r="C5661" s="2">
        <v>10855.15</v>
      </c>
      <c r="D5661" s="2">
        <v>10862.4</v>
      </c>
      <c r="E5661" s="2">
        <v>10870.4</v>
      </c>
      <c r="F5661" s="2">
        <v>10749.4</v>
      </c>
      <c r="G5661" s="3">
        <f t="shared" si="266"/>
        <v>4.9064306642658817E-3</v>
      </c>
      <c r="H5661" s="2">
        <f t="shared" si="264"/>
        <v>121</v>
      </c>
      <c r="I5661" s="3">
        <f t="shared" si="265"/>
        <v>1.1139343054941818E-2</v>
      </c>
    </row>
    <row r="5662" spans="2:9" x14ac:dyDescent="0.25">
      <c r="B5662" s="1">
        <v>43475</v>
      </c>
      <c r="C5662" s="2">
        <v>10821.6</v>
      </c>
      <c r="D5662" s="2">
        <v>10859.35</v>
      </c>
      <c r="E5662" s="2">
        <v>10859.35</v>
      </c>
      <c r="F5662" s="2">
        <v>10801.8</v>
      </c>
      <c r="G5662" s="3">
        <f t="shared" si="266"/>
        <v>-3.0906988848610206E-3</v>
      </c>
      <c r="H5662" s="2">
        <f t="shared" si="264"/>
        <v>57.550000000001091</v>
      </c>
      <c r="I5662" s="3">
        <f t="shared" si="265"/>
        <v>5.2995805457970403E-3</v>
      </c>
    </row>
    <row r="5663" spans="2:9" x14ac:dyDescent="0.25">
      <c r="B5663" s="1">
        <v>43476</v>
      </c>
      <c r="C5663" s="2">
        <v>10794.95</v>
      </c>
      <c r="D5663" s="2">
        <v>10834.75</v>
      </c>
      <c r="E5663" s="2">
        <v>10850.15</v>
      </c>
      <c r="F5663" s="2">
        <v>10739.4</v>
      </c>
      <c r="G5663" s="3">
        <f t="shared" si="266"/>
        <v>-2.4626672580764231E-3</v>
      </c>
      <c r="H5663" s="2">
        <f t="shared" si="264"/>
        <v>110.75</v>
      </c>
      <c r="I5663" s="3">
        <f t="shared" si="265"/>
        <v>1.0221740233969405E-2</v>
      </c>
    </row>
    <row r="5664" spans="2:9" x14ac:dyDescent="0.25">
      <c r="B5664" s="1">
        <v>43479</v>
      </c>
      <c r="C5664" s="2">
        <v>10737.6</v>
      </c>
      <c r="D5664" s="2">
        <v>10807</v>
      </c>
      <c r="E5664" s="2">
        <v>10808</v>
      </c>
      <c r="F5664" s="2">
        <v>10692.35</v>
      </c>
      <c r="G5664" s="3">
        <f t="shared" si="266"/>
        <v>-5.3126693500201716E-3</v>
      </c>
      <c r="H5664" s="2">
        <f t="shared" si="264"/>
        <v>115.64999999999964</v>
      </c>
      <c r="I5664" s="3">
        <f t="shared" si="265"/>
        <v>1.0701397242527957E-2</v>
      </c>
    </row>
    <row r="5665" spans="2:9" x14ac:dyDescent="0.25">
      <c r="B5665" s="1">
        <v>43480</v>
      </c>
      <c r="C5665" s="2">
        <v>10886.8</v>
      </c>
      <c r="D5665" s="2">
        <v>10777.55</v>
      </c>
      <c r="E5665" s="2">
        <v>10896.95</v>
      </c>
      <c r="F5665" s="2">
        <v>10777.55</v>
      </c>
      <c r="G5665" s="3">
        <f t="shared" si="266"/>
        <v>1.3895097600953532E-2</v>
      </c>
      <c r="H5665" s="2">
        <f t="shared" si="264"/>
        <v>119.40000000000146</v>
      </c>
      <c r="I5665" s="3">
        <f t="shared" si="265"/>
        <v>1.1078584650500481E-2</v>
      </c>
    </row>
    <row r="5666" spans="2:9" x14ac:dyDescent="0.25">
      <c r="B5666" s="1">
        <v>43481</v>
      </c>
      <c r="C5666" s="2">
        <v>10890.3</v>
      </c>
      <c r="D5666" s="2">
        <v>10899.65</v>
      </c>
      <c r="E5666" s="2">
        <v>10928.15</v>
      </c>
      <c r="F5666" s="2">
        <v>10876.9</v>
      </c>
      <c r="G5666" s="3">
        <f t="shared" si="266"/>
        <v>3.2149024506744617E-4</v>
      </c>
      <c r="H5666" s="2">
        <f t="shared" si="264"/>
        <v>51.25</v>
      </c>
      <c r="I5666" s="3">
        <f t="shared" si="265"/>
        <v>4.7019858435821335E-3</v>
      </c>
    </row>
    <row r="5667" spans="2:9" x14ac:dyDescent="0.25">
      <c r="B5667" s="1">
        <v>43482</v>
      </c>
      <c r="C5667" s="2">
        <v>10905.2</v>
      </c>
      <c r="D5667" s="2">
        <v>10920.85</v>
      </c>
      <c r="E5667" s="2">
        <v>10930.65</v>
      </c>
      <c r="F5667" s="2">
        <v>10844.65</v>
      </c>
      <c r="G5667" s="3">
        <f t="shared" si="266"/>
        <v>1.368190040678563E-3</v>
      </c>
      <c r="H5667" s="2">
        <f t="shared" si="264"/>
        <v>86</v>
      </c>
      <c r="I5667" s="3">
        <f t="shared" si="265"/>
        <v>7.8748449067609205E-3</v>
      </c>
    </row>
    <row r="5668" spans="2:9" x14ac:dyDescent="0.25">
      <c r="B5668" s="1">
        <v>43483</v>
      </c>
      <c r="C5668" s="2">
        <v>10906.95</v>
      </c>
      <c r="D5668" s="2">
        <v>10914.85</v>
      </c>
      <c r="E5668" s="2">
        <v>10928.2</v>
      </c>
      <c r="F5668" s="2">
        <v>10852.2</v>
      </c>
      <c r="G5668" s="3">
        <f t="shared" si="266"/>
        <v>1.6047390235840453E-4</v>
      </c>
      <c r="H5668" s="2">
        <f t="shared" si="264"/>
        <v>76</v>
      </c>
      <c r="I5668" s="3">
        <f t="shared" si="265"/>
        <v>6.9629907877799511E-3</v>
      </c>
    </row>
    <row r="5669" spans="2:9" x14ac:dyDescent="0.25">
      <c r="B5669" s="1">
        <v>43486</v>
      </c>
      <c r="C5669" s="2">
        <v>10961.85</v>
      </c>
      <c r="D5669" s="2">
        <v>10919.35</v>
      </c>
      <c r="E5669" s="2">
        <v>10987.45</v>
      </c>
      <c r="F5669" s="2">
        <v>10885.75</v>
      </c>
      <c r="G5669" s="3">
        <f t="shared" si="266"/>
        <v>5.0334878219850943E-3</v>
      </c>
      <c r="H5669" s="2">
        <f t="shared" si="264"/>
        <v>101.70000000000073</v>
      </c>
      <c r="I5669" s="3">
        <f t="shared" si="265"/>
        <v>9.3137412025441745E-3</v>
      </c>
    </row>
    <row r="5670" spans="2:9" x14ac:dyDescent="0.25">
      <c r="B5670" s="1">
        <v>43487</v>
      </c>
      <c r="C5670" s="2">
        <v>10922.75</v>
      </c>
      <c r="D5670" s="2">
        <v>10949.8</v>
      </c>
      <c r="E5670" s="2">
        <v>10949.8</v>
      </c>
      <c r="F5670" s="2">
        <v>10864.15</v>
      </c>
      <c r="G5670" s="3">
        <f t="shared" si="266"/>
        <v>-3.5669161683474782E-3</v>
      </c>
      <c r="H5670" s="2">
        <f t="shared" si="264"/>
        <v>85.649999999999636</v>
      </c>
      <c r="I5670" s="3">
        <f t="shared" si="265"/>
        <v>7.8220606769073085E-3</v>
      </c>
    </row>
    <row r="5671" spans="2:9" x14ac:dyDescent="0.25">
      <c r="B5671" s="1">
        <v>43488</v>
      </c>
      <c r="C5671" s="2">
        <v>10831.5</v>
      </c>
      <c r="D5671" s="2">
        <v>10931.05</v>
      </c>
      <c r="E5671" s="2">
        <v>10944.8</v>
      </c>
      <c r="F5671" s="2">
        <v>10811.95</v>
      </c>
      <c r="G5671" s="3">
        <f t="shared" si="266"/>
        <v>-8.3541232748163274E-3</v>
      </c>
      <c r="H5671" s="2">
        <f t="shared" si="264"/>
        <v>132.84999999999854</v>
      </c>
      <c r="I5671" s="3">
        <f t="shared" si="265"/>
        <v>1.2153452779010119E-2</v>
      </c>
    </row>
    <row r="5672" spans="2:9" x14ac:dyDescent="0.25">
      <c r="B5672" s="1">
        <v>43489</v>
      </c>
      <c r="C5672" s="2">
        <v>10849.8</v>
      </c>
      <c r="D5672" s="2">
        <v>10844.05</v>
      </c>
      <c r="E5672" s="2">
        <v>10866.6</v>
      </c>
      <c r="F5672" s="2">
        <v>10798.65</v>
      </c>
      <c r="G5672" s="3">
        <f t="shared" si="266"/>
        <v>1.6895166874393297E-3</v>
      </c>
      <c r="H5672" s="2">
        <f t="shared" si="264"/>
        <v>67.950000000000728</v>
      </c>
      <c r="I5672" s="3">
        <f t="shared" si="265"/>
        <v>6.2661090644178822E-3</v>
      </c>
    </row>
    <row r="5673" spans="2:9" x14ac:dyDescent="0.25">
      <c r="B5673" s="1">
        <v>43490</v>
      </c>
      <c r="C5673" s="2">
        <v>10780.55</v>
      </c>
      <c r="D5673" s="2">
        <v>10859.75</v>
      </c>
      <c r="E5673" s="2">
        <v>10931.7</v>
      </c>
      <c r="F5673" s="2">
        <v>10756.45</v>
      </c>
      <c r="G5673" s="3">
        <f t="shared" si="266"/>
        <v>-6.3826061309886217E-3</v>
      </c>
      <c r="H5673" s="2">
        <f t="shared" si="264"/>
        <v>175.25</v>
      </c>
      <c r="I5673" s="3">
        <f t="shared" si="265"/>
        <v>1.6137572227721633E-2</v>
      </c>
    </row>
    <row r="5674" spans="2:9" x14ac:dyDescent="0.25">
      <c r="B5674" s="1">
        <v>43493</v>
      </c>
      <c r="C5674" s="2">
        <v>10661.55</v>
      </c>
      <c r="D5674" s="2">
        <v>10792.45</v>
      </c>
      <c r="E5674" s="2">
        <v>10804.45</v>
      </c>
      <c r="F5674" s="2">
        <v>10630.95</v>
      </c>
      <c r="G5674" s="3">
        <f t="shared" si="266"/>
        <v>-1.1038397855396953E-2</v>
      </c>
      <c r="H5674" s="2">
        <f t="shared" si="264"/>
        <v>173.5</v>
      </c>
      <c r="I5674" s="3">
        <f t="shared" si="265"/>
        <v>1.6076053166797159E-2</v>
      </c>
    </row>
    <row r="5675" spans="2:9" x14ac:dyDescent="0.25">
      <c r="B5675" s="1">
        <v>43494</v>
      </c>
      <c r="C5675" s="2">
        <v>10652.2</v>
      </c>
      <c r="D5675" s="2">
        <v>10653.7</v>
      </c>
      <c r="E5675" s="2">
        <v>10690.35</v>
      </c>
      <c r="F5675" s="2">
        <v>10583.65</v>
      </c>
      <c r="G5675" s="3">
        <f t="shared" si="266"/>
        <v>-8.7698317786799596E-4</v>
      </c>
      <c r="H5675" s="2">
        <f t="shared" si="264"/>
        <v>106.70000000000073</v>
      </c>
      <c r="I5675" s="3">
        <f t="shared" si="265"/>
        <v>1.0015299848878861E-2</v>
      </c>
    </row>
    <row r="5676" spans="2:9" x14ac:dyDescent="0.25">
      <c r="B5676" s="1">
        <v>43495</v>
      </c>
      <c r="C5676" s="2">
        <v>10651.8</v>
      </c>
      <c r="D5676" s="2">
        <v>10702.25</v>
      </c>
      <c r="E5676" s="2">
        <v>10710.2</v>
      </c>
      <c r="F5676" s="2">
        <v>10612.85</v>
      </c>
      <c r="G5676" s="3">
        <f t="shared" si="266"/>
        <v>-3.7550928446816734E-5</v>
      </c>
      <c r="H5676" s="2">
        <f t="shared" si="264"/>
        <v>97.350000000000364</v>
      </c>
      <c r="I5676" s="3">
        <f t="shared" si="265"/>
        <v>9.0962180849821633E-3</v>
      </c>
    </row>
    <row r="5677" spans="2:9" x14ac:dyDescent="0.25">
      <c r="B5677" s="1">
        <v>43496</v>
      </c>
      <c r="C5677" s="2">
        <v>10830.95</v>
      </c>
      <c r="D5677" s="2">
        <v>10690.55</v>
      </c>
      <c r="E5677" s="2">
        <v>10838.05</v>
      </c>
      <c r="F5677" s="2">
        <v>10678.55</v>
      </c>
      <c r="G5677" s="3">
        <f t="shared" si="266"/>
        <v>1.6818753637882988E-2</v>
      </c>
      <c r="H5677" s="2">
        <f t="shared" si="264"/>
        <v>159.5</v>
      </c>
      <c r="I5677" s="3">
        <f t="shared" si="265"/>
        <v>1.4919718817086119E-2</v>
      </c>
    </row>
    <row r="5678" spans="2:9" x14ac:dyDescent="0.25">
      <c r="B5678" s="1">
        <v>43497</v>
      </c>
      <c r="C5678" s="2">
        <v>10893.65</v>
      </c>
      <c r="D5678" s="2">
        <v>10851.35</v>
      </c>
      <c r="E5678" s="2">
        <v>10983.45</v>
      </c>
      <c r="F5678" s="2">
        <v>10813.45</v>
      </c>
      <c r="G5678" s="3">
        <f t="shared" si="266"/>
        <v>5.7889658801857369E-3</v>
      </c>
      <c r="H5678" s="2">
        <f t="shared" si="264"/>
        <v>170</v>
      </c>
      <c r="I5678" s="3">
        <f t="shared" si="265"/>
        <v>1.5666253507628083E-2</v>
      </c>
    </row>
    <row r="5679" spans="2:9" x14ac:dyDescent="0.25">
      <c r="B5679" s="1">
        <v>43500</v>
      </c>
      <c r="C5679" s="2">
        <v>10912.25</v>
      </c>
      <c r="D5679" s="2">
        <v>10876.75</v>
      </c>
      <c r="E5679" s="2">
        <v>10927.9</v>
      </c>
      <c r="F5679" s="2">
        <v>10814.15</v>
      </c>
      <c r="G5679" s="3">
        <f t="shared" si="266"/>
        <v>1.7074167060626699E-3</v>
      </c>
      <c r="H5679" s="2">
        <f t="shared" si="264"/>
        <v>113.75</v>
      </c>
      <c r="I5679" s="3">
        <f t="shared" si="265"/>
        <v>1.0458087204357919E-2</v>
      </c>
    </row>
    <row r="5680" spans="2:9" x14ac:dyDescent="0.25">
      <c r="B5680" s="1">
        <v>43501</v>
      </c>
      <c r="C5680" s="2">
        <v>10934.35</v>
      </c>
      <c r="D5680" s="2">
        <v>10908.65</v>
      </c>
      <c r="E5680" s="2">
        <v>10956.7</v>
      </c>
      <c r="F5680" s="2">
        <v>10886.7</v>
      </c>
      <c r="G5680" s="3">
        <f t="shared" si="266"/>
        <v>2.0252468555981284E-3</v>
      </c>
      <c r="H5680" s="2">
        <f t="shared" si="264"/>
        <v>70</v>
      </c>
      <c r="I5680" s="3">
        <f t="shared" si="265"/>
        <v>6.4169260174265375E-3</v>
      </c>
    </row>
    <row r="5681" spans="2:9" x14ac:dyDescent="0.25">
      <c r="B5681" s="1">
        <v>43502</v>
      </c>
      <c r="C5681" s="2">
        <v>11062.45</v>
      </c>
      <c r="D5681" s="2">
        <v>10965.1</v>
      </c>
      <c r="E5681" s="2">
        <v>11072.6</v>
      </c>
      <c r="F5681" s="2">
        <v>10962.7</v>
      </c>
      <c r="G5681" s="3">
        <f t="shared" si="266"/>
        <v>1.1715374027720049E-2</v>
      </c>
      <c r="H5681" s="2">
        <f t="shared" si="264"/>
        <v>109.89999999999964</v>
      </c>
      <c r="I5681" s="3">
        <f t="shared" si="265"/>
        <v>1.0022708411231967E-2</v>
      </c>
    </row>
    <row r="5682" spans="2:9" x14ac:dyDescent="0.25">
      <c r="B5682" s="1">
        <v>43503</v>
      </c>
      <c r="C5682" s="2">
        <v>11069.4</v>
      </c>
      <c r="D5682" s="2">
        <v>11070.45</v>
      </c>
      <c r="E5682" s="2">
        <v>11118.1</v>
      </c>
      <c r="F5682" s="2">
        <v>11043.6</v>
      </c>
      <c r="G5682" s="3">
        <f t="shared" si="266"/>
        <v>6.2825142712497062E-4</v>
      </c>
      <c r="H5682" s="2">
        <f t="shared" si="264"/>
        <v>74.5</v>
      </c>
      <c r="I5682" s="3">
        <f t="shared" si="265"/>
        <v>6.7296270702636293E-3</v>
      </c>
    </row>
    <row r="5683" spans="2:9" x14ac:dyDescent="0.25">
      <c r="B5683" s="1">
        <v>43504</v>
      </c>
      <c r="C5683" s="2">
        <v>10943.6</v>
      </c>
      <c r="D5683" s="2">
        <v>11023.5</v>
      </c>
      <c r="E5683" s="2">
        <v>11041.2</v>
      </c>
      <c r="F5683" s="2">
        <v>10925.45</v>
      </c>
      <c r="G5683" s="3">
        <f t="shared" si="266"/>
        <v>-1.1364662944694293E-2</v>
      </c>
      <c r="H5683" s="2">
        <f t="shared" si="264"/>
        <v>115.75</v>
      </c>
      <c r="I5683" s="3">
        <f t="shared" si="265"/>
        <v>1.0500294824692702E-2</v>
      </c>
    </row>
    <row r="5684" spans="2:9" x14ac:dyDescent="0.25">
      <c r="B5684" s="1">
        <v>43507</v>
      </c>
      <c r="C5684" s="2">
        <v>10888.8</v>
      </c>
      <c r="D5684" s="2">
        <v>10930.9</v>
      </c>
      <c r="E5684" s="2">
        <v>10930.9</v>
      </c>
      <c r="F5684" s="2">
        <v>10857.1</v>
      </c>
      <c r="G5684" s="3">
        <f t="shared" si="266"/>
        <v>-5.0074929639242205E-3</v>
      </c>
      <c r="H5684" s="2">
        <f t="shared" si="264"/>
        <v>73.799999999999272</v>
      </c>
      <c r="I5684" s="3">
        <f t="shared" si="265"/>
        <v>6.7515026210100979E-3</v>
      </c>
    </row>
    <row r="5685" spans="2:9" x14ac:dyDescent="0.25">
      <c r="B5685" s="1">
        <v>43508</v>
      </c>
      <c r="C5685" s="2">
        <v>10831.4</v>
      </c>
      <c r="D5685" s="2">
        <v>10879.7</v>
      </c>
      <c r="E5685" s="2">
        <v>10910.9</v>
      </c>
      <c r="F5685" s="2">
        <v>10823.8</v>
      </c>
      <c r="G5685" s="3">
        <f t="shared" si="266"/>
        <v>-5.2714716038497755E-3</v>
      </c>
      <c r="H5685" s="2">
        <f t="shared" si="264"/>
        <v>87.100000000000364</v>
      </c>
      <c r="I5685" s="3">
        <f t="shared" si="265"/>
        <v>8.0057354522643422E-3</v>
      </c>
    </row>
    <row r="5686" spans="2:9" x14ac:dyDescent="0.25">
      <c r="B5686" s="1">
        <v>43509</v>
      </c>
      <c r="C5686" s="2">
        <v>10793.65</v>
      </c>
      <c r="D5686" s="2">
        <v>10870.55</v>
      </c>
      <c r="E5686" s="2">
        <v>10891.65</v>
      </c>
      <c r="F5686" s="2">
        <v>10772.1</v>
      </c>
      <c r="G5686" s="3">
        <f t="shared" si="266"/>
        <v>-3.485237365437488E-3</v>
      </c>
      <c r="H5686" s="2">
        <f t="shared" si="264"/>
        <v>119.54999999999927</v>
      </c>
      <c r="I5686" s="3">
        <f t="shared" si="265"/>
        <v>1.0997603617112224E-2</v>
      </c>
    </row>
    <row r="5687" spans="2:9" x14ac:dyDescent="0.25">
      <c r="B5687" s="1">
        <v>43510</v>
      </c>
      <c r="C5687" s="2">
        <v>10746.05</v>
      </c>
      <c r="D5687" s="2">
        <v>10786.1</v>
      </c>
      <c r="E5687" s="2">
        <v>10792.7</v>
      </c>
      <c r="F5687" s="2">
        <v>10718.75</v>
      </c>
      <c r="G5687" s="3">
        <f t="shared" si="266"/>
        <v>-4.4100003242647512E-3</v>
      </c>
      <c r="H5687" s="2">
        <f t="shared" si="264"/>
        <v>73.950000000000728</v>
      </c>
      <c r="I5687" s="3">
        <f t="shared" si="265"/>
        <v>6.8560462076191321E-3</v>
      </c>
    </row>
    <row r="5688" spans="2:9" x14ac:dyDescent="0.25">
      <c r="B5688" s="1">
        <v>43511</v>
      </c>
      <c r="C5688" s="2">
        <v>10724.4</v>
      </c>
      <c r="D5688" s="2">
        <v>10780.25</v>
      </c>
      <c r="E5688" s="2">
        <v>10785.75</v>
      </c>
      <c r="F5688" s="2">
        <v>10620.4</v>
      </c>
      <c r="G5688" s="3">
        <f t="shared" si="266"/>
        <v>-2.0146937711996715E-3</v>
      </c>
      <c r="H5688" s="2">
        <f t="shared" si="264"/>
        <v>165.35000000000036</v>
      </c>
      <c r="I5688" s="3">
        <f t="shared" si="265"/>
        <v>1.5338234271004881E-2</v>
      </c>
    </row>
    <row r="5689" spans="2:9" x14ac:dyDescent="0.25">
      <c r="B5689" s="1">
        <v>43514</v>
      </c>
      <c r="C5689" s="2">
        <v>10640.95</v>
      </c>
      <c r="D5689" s="2">
        <v>10738.65</v>
      </c>
      <c r="E5689" s="2">
        <v>10759.9</v>
      </c>
      <c r="F5689" s="2">
        <v>10628.4</v>
      </c>
      <c r="G5689" s="3">
        <f t="shared" si="266"/>
        <v>-7.7813210995485438E-3</v>
      </c>
      <c r="H5689" s="2">
        <f t="shared" si="264"/>
        <v>131.5</v>
      </c>
      <c r="I5689" s="3">
        <f t="shared" si="265"/>
        <v>1.2245487095677762E-2</v>
      </c>
    </row>
    <row r="5690" spans="2:9" x14ac:dyDescent="0.25">
      <c r="B5690" s="1">
        <v>43515</v>
      </c>
      <c r="C5690" s="2">
        <v>10604.35</v>
      </c>
      <c r="D5690" s="2">
        <v>10636.7</v>
      </c>
      <c r="E5690" s="2">
        <v>10722.85</v>
      </c>
      <c r="F5690" s="2">
        <v>10585.65</v>
      </c>
      <c r="G5690" s="3">
        <f t="shared" si="266"/>
        <v>-3.4395425220492548E-3</v>
      </c>
      <c r="H5690" s="2">
        <f t="shared" si="264"/>
        <v>137.20000000000073</v>
      </c>
      <c r="I5690" s="3">
        <f t="shared" si="265"/>
        <v>1.2898737390356099E-2</v>
      </c>
    </row>
    <row r="5691" spans="2:9" x14ac:dyDescent="0.25">
      <c r="B5691" s="1">
        <v>43516</v>
      </c>
      <c r="C5691" s="2">
        <v>10735.45</v>
      </c>
      <c r="D5691" s="2">
        <v>10655.45</v>
      </c>
      <c r="E5691" s="2">
        <v>10752.7</v>
      </c>
      <c r="F5691" s="2">
        <v>10646.4</v>
      </c>
      <c r="G5691" s="3">
        <f t="shared" si="266"/>
        <v>1.2362851094126492E-2</v>
      </c>
      <c r="H5691" s="2">
        <f t="shared" si="264"/>
        <v>106.30000000000109</v>
      </c>
      <c r="I5691" s="3">
        <f t="shared" si="265"/>
        <v>9.9761155089649976E-3</v>
      </c>
    </row>
    <row r="5692" spans="2:9" x14ac:dyDescent="0.25">
      <c r="B5692" s="1">
        <v>43517</v>
      </c>
      <c r="C5692" s="2">
        <v>10789.85</v>
      </c>
      <c r="D5692" s="2">
        <v>10744.1</v>
      </c>
      <c r="E5692" s="2">
        <v>10808.85</v>
      </c>
      <c r="F5692" s="2">
        <v>10721.5</v>
      </c>
      <c r="G5692" s="3">
        <f t="shared" si="266"/>
        <v>5.0673236799574362E-3</v>
      </c>
      <c r="H5692" s="2">
        <f t="shared" si="264"/>
        <v>87.350000000000364</v>
      </c>
      <c r="I5692" s="3">
        <f t="shared" si="265"/>
        <v>8.1300434657161011E-3</v>
      </c>
    </row>
    <row r="5693" spans="2:9" x14ac:dyDescent="0.25">
      <c r="B5693" s="1">
        <v>43518</v>
      </c>
      <c r="C5693" s="2">
        <v>10791.65</v>
      </c>
      <c r="D5693" s="2">
        <v>10782.7</v>
      </c>
      <c r="E5693" s="2">
        <v>10801.55</v>
      </c>
      <c r="F5693" s="2">
        <v>10758.4</v>
      </c>
      <c r="G5693" s="3">
        <f t="shared" si="266"/>
        <v>1.6682344981622244E-4</v>
      </c>
      <c r="H5693" s="2">
        <f t="shared" si="264"/>
        <v>43.149999999999636</v>
      </c>
      <c r="I5693" s="3">
        <f t="shared" si="265"/>
        <v>4.0017806300833405E-3</v>
      </c>
    </row>
    <row r="5694" spans="2:9" x14ac:dyDescent="0.25">
      <c r="B5694" s="1">
        <v>43521</v>
      </c>
      <c r="C5694" s="2">
        <v>10880.1</v>
      </c>
      <c r="D5694" s="2">
        <v>10813.25</v>
      </c>
      <c r="E5694" s="2">
        <v>10887.1</v>
      </c>
      <c r="F5694" s="2">
        <v>10788.05</v>
      </c>
      <c r="G5694" s="3">
        <f t="shared" si="266"/>
        <v>8.1961516542883306E-3</v>
      </c>
      <c r="H5694" s="2">
        <f t="shared" si="264"/>
        <v>99.050000000001091</v>
      </c>
      <c r="I5694" s="3">
        <f t="shared" si="265"/>
        <v>9.1600582618547692E-3</v>
      </c>
    </row>
    <row r="5695" spans="2:9" x14ac:dyDescent="0.25">
      <c r="B5695" s="1">
        <v>43522</v>
      </c>
      <c r="C5695" s="2">
        <v>10835.3</v>
      </c>
      <c r="D5695" s="2">
        <v>10775.3</v>
      </c>
      <c r="E5695" s="2">
        <v>10888.75</v>
      </c>
      <c r="F5695" s="2">
        <v>10729.3</v>
      </c>
      <c r="G5695" s="3">
        <f t="shared" si="266"/>
        <v>-4.1176092131507414E-3</v>
      </c>
      <c r="H5695" s="2">
        <f t="shared" si="264"/>
        <v>159.45000000000073</v>
      </c>
      <c r="I5695" s="3">
        <f t="shared" si="265"/>
        <v>1.4797731849693348E-2</v>
      </c>
    </row>
    <row r="5696" spans="2:9" x14ac:dyDescent="0.25">
      <c r="B5696" s="1">
        <v>43523</v>
      </c>
      <c r="C5696" s="2">
        <v>10806.65</v>
      </c>
      <c r="D5696" s="2">
        <v>10881.2</v>
      </c>
      <c r="E5696" s="2">
        <v>10939.7</v>
      </c>
      <c r="F5696" s="2">
        <v>10751.2</v>
      </c>
      <c r="G5696" s="3">
        <f t="shared" si="266"/>
        <v>-2.6441353723477556E-3</v>
      </c>
      <c r="H5696" s="2">
        <f t="shared" si="264"/>
        <v>188.5</v>
      </c>
      <c r="I5696" s="3">
        <f t="shared" si="265"/>
        <v>1.7323456971657537E-2</v>
      </c>
    </row>
    <row r="5697" spans="2:9" x14ac:dyDescent="0.25">
      <c r="B5697" s="1">
        <v>43524</v>
      </c>
      <c r="C5697" s="2">
        <v>10792.5</v>
      </c>
      <c r="D5697" s="2">
        <v>10865.7</v>
      </c>
      <c r="E5697" s="2">
        <v>10865.7</v>
      </c>
      <c r="F5697" s="2">
        <v>10784.85</v>
      </c>
      <c r="G5697" s="3">
        <f t="shared" si="266"/>
        <v>-1.3093789472222728E-3</v>
      </c>
      <c r="H5697" s="2">
        <f t="shared" si="264"/>
        <v>80.850000000000364</v>
      </c>
      <c r="I5697" s="3">
        <f t="shared" si="265"/>
        <v>7.4408459648251249E-3</v>
      </c>
    </row>
    <row r="5698" spans="2:9" x14ac:dyDescent="0.25">
      <c r="B5698" s="1">
        <v>43525</v>
      </c>
      <c r="C5698" s="2">
        <v>10863.5</v>
      </c>
      <c r="D5698" s="2">
        <v>10842.65</v>
      </c>
      <c r="E5698" s="2">
        <v>10877.9</v>
      </c>
      <c r="F5698" s="2">
        <v>10823.1</v>
      </c>
      <c r="G5698" s="3">
        <f t="shared" si="266"/>
        <v>6.5786425758629363E-3</v>
      </c>
      <c r="H5698" s="2">
        <f t="shared" si="264"/>
        <v>54.799999999999272</v>
      </c>
      <c r="I5698" s="3">
        <f t="shared" si="265"/>
        <v>5.0541149995618484E-3</v>
      </c>
    </row>
    <row r="5699" spans="2:9" x14ac:dyDescent="0.25">
      <c r="B5699" s="1">
        <v>43529</v>
      </c>
      <c r="C5699" s="2">
        <v>10987.45</v>
      </c>
      <c r="D5699" s="2">
        <v>10864.85</v>
      </c>
      <c r="E5699" s="2">
        <v>10994.9</v>
      </c>
      <c r="F5699" s="2">
        <v>10817</v>
      </c>
      <c r="G5699" s="3">
        <f t="shared" si="266"/>
        <v>1.1409766649790543E-2</v>
      </c>
      <c r="H5699" s="2">
        <f t="shared" si="264"/>
        <v>177.89999999999964</v>
      </c>
      <c r="I5699" s="3">
        <f t="shared" si="265"/>
        <v>1.6373902999120983E-2</v>
      </c>
    </row>
    <row r="5700" spans="2:9" x14ac:dyDescent="0.25">
      <c r="B5700" s="1">
        <v>43530</v>
      </c>
      <c r="C5700" s="2">
        <v>11053</v>
      </c>
      <c r="D5700" s="2">
        <v>11024.85</v>
      </c>
      <c r="E5700" s="2">
        <v>11062.3</v>
      </c>
      <c r="F5700" s="2">
        <v>10998.85</v>
      </c>
      <c r="G5700" s="3">
        <f t="shared" si="266"/>
        <v>5.9658974557335043E-3</v>
      </c>
      <c r="H5700" s="2">
        <f t="shared" si="264"/>
        <v>63.449999999998909</v>
      </c>
      <c r="I5700" s="3">
        <f t="shared" si="265"/>
        <v>5.7551803425895959E-3</v>
      </c>
    </row>
    <row r="5701" spans="2:9" x14ac:dyDescent="0.25">
      <c r="B5701" s="1">
        <v>43531</v>
      </c>
      <c r="C5701" s="2">
        <v>11058.2</v>
      </c>
      <c r="D5701" s="2">
        <v>11077.95</v>
      </c>
      <c r="E5701" s="2">
        <v>11089.05</v>
      </c>
      <c r="F5701" s="2">
        <v>11027.1</v>
      </c>
      <c r="G5701" s="3">
        <f t="shared" si="266"/>
        <v>4.7046050845933607E-4</v>
      </c>
      <c r="H5701" s="2">
        <f t="shared" ref="H5701:H5764" si="267">E5701-F5701</f>
        <v>61.949999999998909</v>
      </c>
      <c r="I5701" s="3">
        <f t="shared" si="265"/>
        <v>5.5921898907287815E-3</v>
      </c>
    </row>
    <row r="5702" spans="2:9" x14ac:dyDescent="0.25">
      <c r="B5702" s="1">
        <v>43532</v>
      </c>
      <c r="C5702" s="2">
        <v>11035.4</v>
      </c>
      <c r="D5702" s="2">
        <v>11038.85</v>
      </c>
      <c r="E5702" s="2">
        <v>11049</v>
      </c>
      <c r="F5702" s="2">
        <v>11008.95</v>
      </c>
      <c r="G5702" s="3">
        <f t="shared" si="266"/>
        <v>-2.0618183791214495E-3</v>
      </c>
      <c r="H5702" s="2">
        <f t="shared" si="267"/>
        <v>40.049999999999272</v>
      </c>
      <c r="I5702" s="3">
        <f t="shared" ref="I5702:I5765" si="268">H5702/D5702</f>
        <v>3.6280953178998965E-3</v>
      </c>
    </row>
    <row r="5703" spans="2:9" x14ac:dyDescent="0.25">
      <c r="B5703" s="1">
        <v>43535</v>
      </c>
      <c r="C5703" s="2">
        <v>11168.05</v>
      </c>
      <c r="D5703" s="2">
        <v>11068.75</v>
      </c>
      <c r="E5703" s="2">
        <v>11180.9</v>
      </c>
      <c r="F5703" s="2">
        <v>11059.85</v>
      </c>
      <c r="G5703" s="3">
        <f t="shared" ref="G5703:G5766" si="269">C5703/C5702-1</f>
        <v>1.2020407053663584E-2</v>
      </c>
      <c r="H5703" s="2">
        <f t="shared" si="267"/>
        <v>121.04999999999927</v>
      </c>
      <c r="I5703" s="3">
        <f t="shared" si="268"/>
        <v>1.0936194240542001E-2</v>
      </c>
    </row>
    <row r="5704" spans="2:9" x14ac:dyDescent="0.25">
      <c r="B5704" s="1">
        <v>43536</v>
      </c>
      <c r="C5704" s="2">
        <v>11301.2</v>
      </c>
      <c r="D5704" s="2">
        <v>11231.35</v>
      </c>
      <c r="E5704" s="2">
        <v>11320.4</v>
      </c>
      <c r="F5704" s="2">
        <v>11227</v>
      </c>
      <c r="G5704" s="3">
        <f t="shared" si="269"/>
        <v>1.1922403642534052E-2</v>
      </c>
      <c r="H5704" s="2">
        <f t="shared" si="267"/>
        <v>93.399999999999636</v>
      </c>
      <c r="I5704" s="3">
        <f t="shared" si="268"/>
        <v>8.3160083160082835E-3</v>
      </c>
    </row>
    <row r="5705" spans="2:9" x14ac:dyDescent="0.25">
      <c r="B5705" s="1">
        <v>43537</v>
      </c>
      <c r="C5705" s="2">
        <v>11341.7</v>
      </c>
      <c r="D5705" s="2">
        <v>11326.2</v>
      </c>
      <c r="E5705" s="2">
        <v>11352.3</v>
      </c>
      <c r="F5705" s="2">
        <v>11276.6</v>
      </c>
      <c r="G5705" s="3">
        <f t="shared" si="269"/>
        <v>3.5836902275865334E-3</v>
      </c>
      <c r="H5705" s="2">
        <f t="shared" si="267"/>
        <v>75.699999999998909</v>
      </c>
      <c r="I5705" s="3">
        <f t="shared" si="268"/>
        <v>6.6836185128285657E-3</v>
      </c>
    </row>
    <row r="5706" spans="2:9" x14ac:dyDescent="0.25">
      <c r="B5706" s="1">
        <v>43538</v>
      </c>
      <c r="C5706" s="2">
        <v>11343.25</v>
      </c>
      <c r="D5706" s="2">
        <v>11382.5</v>
      </c>
      <c r="E5706" s="2">
        <v>11383.45</v>
      </c>
      <c r="F5706" s="2">
        <v>11313.75</v>
      </c>
      <c r="G5706" s="3">
        <f t="shared" si="269"/>
        <v>1.3666381582999598E-4</v>
      </c>
      <c r="H5706" s="2">
        <f t="shared" si="267"/>
        <v>69.700000000000728</v>
      </c>
      <c r="I5706" s="3">
        <f t="shared" si="268"/>
        <v>6.1234350977378196E-3</v>
      </c>
    </row>
    <row r="5707" spans="2:9" x14ac:dyDescent="0.25">
      <c r="B5707" s="1">
        <v>43539</v>
      </c>
      <c r="C5707" s="2">
        <v>11426.85</v>
      </c>
      <c r="D5707" s="2">
        <v>11376.85</v>
      </c>
      <c r="E5707" s="2">
        <v>11487</v>
      </c>
      <c r="F5707" s="2">
        <v>11370.8</v>
      </c>
      <c r="G5707" s="3">
        <f t="shared" si="269"/>
        <v>7.3700218191434796E-3</v>
      </c>
      <c r="H5707" s="2">
        <f t="shared" si="267"/>
        <v>116.20000000000073</v>
      </c>
      <c r="I5707" s="3">
        <f t="shared" si="268"/>
        <v>1.0213723482334805E-2</v>
      </c>
    </row>
    <row r="5708" spans="2:9" x14ac:dyDescent="0.25">
      <c r="B5708" s="1">
        <v>43542</v>
      </c>
      <c r="C5708" s="2">
        <v>11462.2</v>
      </c>
      <c r="D5708" s="2">
        <v>11473.85</v>
      </c>
      <c r="E5708" s="2">
        <v>11530.15</v>
      </c>
      <c r="F5708" s="2">
        <v>11412.5</v>
      </c>
      <c r="G5708" s="3">
        <f t="shared" si="269"/>
        <v>3.0935909721401256E-3</v>
      </c>
      <c r="H5708" s="2">
        <f t="shared" si="267"/>
        <v>117.64999999999964</v>
      </c>
      <c r="I5708" s="3">
        <f t="shared" si="268"/>
        <v>1.0253750920571528E-2</v>
      </c>
    </row>
    <row r="5709" spans="2:9" x14ac:dyDescent="0.25">
      <c r="B5709" s="1">
        <v>43543</v>
      </c>
      <c r="C5709" s="2">
        <v>11532.4</v>
      </c>
      <c r="D5709" s="2">
        <v>11500.3</v>
      </c>
      <c r="E5709" s="2">
        <v>11543.85</v>
      </c>
      <c r="F5709" s="2">
        <v>11451.25</v>
      </c>
      <c r="G5709" s="3">
        <f t="shared" si="269"/>
        <v>6.1244787213623475E-3</v>
      </c>
      <c r="H5709" s="2">
        <f t="shared" si="267"/>
        <v>92.600000000000364</v>
      </c>
      <c r="I5709" s="3">
        <f t="shared" si="268"/>
        <v>8.0519638618123321E-3</v>
      </c>
    </row>
    <row r="5710" spans="2:9" x14ac:dyDescent="0.25">
      <c r="B5710" s="1">
        <v>43544</v>
      </c>
      <c r="C5710" s="2">
        <v>11521.05</v>
      </c>
      <c r="D5710" s="2">
        <v>11553.35</v>
      </c>
      <c r="E5710" s="2">
        <v>11556.1</v>
      </c>
      <c r="F5710" s="2">
        <v>11503.1</v>
      </c>
      <c r="G5710" s="3">
        <f t="shared" si="269"/>
        <v>-9.8418369116581861E-4</v>
      </c>
      <c r="H5710" s="2">
        <f t="shared" si="267"/>
        <v>53</v>
      </c>
      <c r="I5710" s="3">
        <f t="shared" si="268"/>
        <v>4.5874140400836124E-3</v>
      </c>
    </row>
    <row r="5711" spans="2:9" x14ac:dyDescent="0.25">
      <c r="B5711" s="1">
        <v>43546</v>
      </c>
      <c r="C5711" s="2">
        <v>11456.9</v>
      </c>
      <c r="D5711" s="2">
        <v>11549.2</v>
      </c>
      <c r="E5711" s="2">
        <v>11572.8</v>
      </c>
      <c r="F5711" s="2">
        <v>11434.55</v>
      </c>
      <c r="G5711" s="3">
        <f t="shared" si="269"/>
        <v>-5.5680688826105218E-3</v>
      </c>
      <c r="H5711" s="2">
        <f t="shared" si="267"/>
        <v>138.25</v>
      </c>
      <c r="I5711" s="3">
        <f t="shared" si="268"/>
        <v>1.1970526097045683E-2</v>
      </c>
    </row>
    <row r="5712" spans="2:9" x14ac:dyDescent="0.25">
      <c r="B5712" s="1">
        <v>43549</v>
      </c>
      <c r="C5712" s="2">
        <v>11354.25</v>
      </c>
      <c r="D5712" s="2">
        <v>11395.65</v>
      </c>
      <c r="E5712" s="2">
        <v>11395.65</v>
      </c>
      <c r="F5712" s="2">
        <v>11311.6</v>
      </c>
      <c r="G5712" s="3">
        <f t="shared" si="269"/>
        <v>-8.9596662273389027E-3</v>
      </c>
      <c r="H5712" s="2">
        <f t="shared" si="267"/>
        <v>84.049999999999272</v>
      </c>
      <c r="I5712" s="3">
        <f t="shared" si="268"/>
        <v>7.3756213993935648E-3</v>
      </c>
    </row>
    <row r="5713" spans="2:9" x14ac:dyDescent="0.25">
      <c r="B5713" s="1">
        <v>43550</v>
      </c>
      <c r="C5713" s="2">
        <v>11483.25</v>
      </c>
      <c r="D5713" s="2">
        <v>11375.2</v>
      </c>
      <c r="E5713" s="2">
        <v>11496.75</v>
      </c>
      <c r="F5713" s="2">
        <v>11352.45</v>
      </c>
      <c r="G5713" s="3">
        <f t="shared" si="269"/>
        <v>1.1361384503600025E-2</v>
      </c>
      <c r="H5713" s="2">
        <f t="shared" si="267"/>
        <v>144.29999999999927</v>
      </c>
      <c r="I5713" s="3">
        <f t="shared" si="268"/>
        <v>1.2685491244109929E-2</v>
      </c>
    </row>
    <row r="5714" spans="2:9" x14ac:dyDescent="0.25">
      <c r="B5714" s="1">
        <v>43551</v>
      </c>
      <c r="C5714" s="2">
        <v>11445.05</v>
      </c>
      <c r="D5714" s="2">
        <v>11531.45</v>
      </c>
      <c r="E5714" s="2">
        <v>11546.2</v>
      </c>
      <c r="F5714" s="2">
        <v>11413</v>
      </c>
      <c r="G5714" s="3">
        <f t="shared" si="269"/>
        <v>-3.3265843728910172E-3</v>
      </c>
      <c r="H5714" s="2">
        <f t="shared" si="267"/>
        <v>133.20000000000073</v>
      </c>
      <c r="I5714" s="3">
        <f t="shared" si="268"/>
        <v>1.1551019169315283E-2</v>
      </c>
    </row>
    <row r="5715" spans="2:9" x14ac:dyDescent="0.25">
      <c r="B5715" s="1">
        <v>43552</v>
      </c>
      <c r="C5715" s="2">
        <v>11570</v>
      </c>
      <c r="D5715" s="2">
        <v>11463.65</v>
      </c>
      <c r="E5715" s="2">
        <v>11588.5</v>
      </c>
      <c r="F5715" s="2">
        <v>11452.45</v>
      </c>
      <c r="G5715" s="3">
        <f t="shared" si="269"/>
        <v>1.0917383497669464E-2</v>
      </c>
      <c r="H5715" s="2">
        <f t="shared" si="267"/>
        <v>136.04999999999927</v>
      </c>
      <c r="I5715" s="3">
        <f t="shared" si="268"/>
        <v>1.1867947817667085E-2</v>
      </c>
    </row>
    <row r="5716" spans="2:9" x14ac:dyDescent="0.25">
      <c r="B5716" s="1">
        <v>43553</v>
      </c>
      <c r="C5716" s="2">
        <v>11623.9</v>
      </c>
      <c r="D5716" s="2">
        <v>11625.45</v>
      </c>
      <c r="E5716" s="2">
        <v>11630.35</v>
      </c>
      <c r="F5716" s="2">
        <v>11570.15</v>
      </c>
      <c r="G5716" s="3">
        <f t="shared" si="269"/>
        <v>4.6585998271391205E-3</v>
      </c>
      <c r="H5716" s="2">
        <f t="shared" si="267"/>
        <v>60.200000000000728</v>
      </c>
      <c r="I5716" s="3">
        <f t="shared" si="268"/>
        <v>5.1782941735589354E-3</v>
      </c>
    </row>
    <row r="5717" spans="2:9" x14ac:dyDescent="0.25">
      <c r="B5717" s="1">
        <v>43556</v>
      </c>
      <c r="C5717" s="2">
        <v>11669.15</v>
      </c>
      <c r="D5717" s="2">
        <v>11665.2</v>
      </c>
      <c r="E5717" s="2">
        <v>11738.1</v>
      </c>
      <c r="F5717" s="2">
        <v>11644.75</v>
      </c>
      <c r="G5717" s="3">
        <f t="shared" si="269"/>
        <v>3.8928414731715932E-3</v>
      </c>
      <c r="H5717" s="2">
        <f t="shared" si="267"/>
        <v>93.350000000000364</v>
      </c>
      <c r="I5717" s="3">
        <f t="shared" si="268"/>
        <v>8.0024345917772827E-3</v>
      </c>
    </row>
    <row r="5718" spans="2:9" x14ac:dyDescent="0.25">
      <c r="B5718" s="1">
        <v>43557</v>
      </c>
      <c r="C5718" s="2">
        <v>11713.2</v>
      </c>
      <c r="D5718" s="2">
        <v>11711.55</v>
      </c>
      <c r="E5718" s="2">
        <v>11729.35</v>
      </c>
      <c r="F5718" s="2">
        <v>11655.85</v>
      </c>
      <c r="G5718" s="3">
        <f t="shared" si="269"/>
        <v>3.7749107689935002E-3</v>
      </c>
      <c r="H5718" s="2">
        <f t="shared" si="267"/>
        <v>73.5</v>
      </c>
      <c r="I5718" s="3">
        <f t="shared" si="268"/>
        <v>6.2758558858562706E-3</v>
      </c>
    </row>
    <row r="5719" spans="2:9" x14ac:dyDescent="0.25">
      <c r="B5719" s="1">
        <v>43558</v>
      </c>
      <c r="C5719" s="2">
        <v>11643.95</v>
      </c>
      <c r="D5719" s="2">
        <v>11735.3</v>
      </c>
      <c r="E5719" s="2">
        <v>11761</v>
      </c>
      <c r="F5719" s="2">
        <v>11629.15</v>
      </c>
      <c r="G5719" s="3">
        <f t="shared" si="269"/>
        <v>-5.9121333196735515E-3</v>
      </c>
      <c r="H5719" s="2">
        <f t="shared" si="267"/>
        <v>131.85000000000036</v>
      </c>
      <c r="I5719" s="3">
        <f t="shared" si="268"/>
        <v>1.1235332714118971E-2</v>
      </c>
    </row>
    <row r="5720" spans="2:9" x14ac:dyDescent="0.25">
      <c r="B5720" s="1">
        <v>43559</v>
      </c>
      <c r="C5720" s="2">
        <v>11598</v>
      </c>
      <c r="D5720" s="2">
        <v>11660.2</v>
      </c>
      <c r="E5720" s="2">
        <v>11662.55</v>
      </c>
      <c r="F5720" s="2">
        <v>11559.2</v>
      </c>
      <c r="G5720" s="3">
        <f t="shared" si="269"/>
        <v>-3.9462553514916232E-3</v>
      </c>
      <c r="H5720" s="2">
        <f t="shared" si="267"/>
        <v>103.34999999999854</v>
      </c>
      <c r="I5720" s="3">
        <f t="shared" si="268"/>
        <v>8.8634843313149456E-3</v>
      </c>
    </row>
    <row r="5721" spans="2:9" x14ac:dyDescent="0.25">
      <c r="B5721" s="1">
        <v>43560</v>
      </c>
      <c r="C5721" s="2">
        <v>11665.95</v>
      </c>
      <c r="D5721" s="2">
        <v>11638.4</v>
      </c>
      <c r="E5721" s="2">
        <v>11689.65</v>
      </c>
      <c r="F5721" s="2">
        <v>11609.5</v>
      </c>
      <c r="G5721" s="3">
        <f t="shared" si="269"/>
        <v>5.8587687532334343E-3</v>
      </c>
      <c r="H5721" s="2">
        <f t="shared" si="267"/>
        <v>80.149999999999636</v>
      </c>
      <c r="I5721" s="3">
        <f t="shared" si="268"/>
        <v>6.8866854550453356E-3</v>
      </c>
    </row>
    <row r="5722" spans="2:9" x14ac:dyDescent="0.25">
      <c r="B5722" s="1">
        <v>43563</v>
      </c>
      <c r="C5722" s="2">
        <v>11604.5</v>
      </c>
      <c r="D5722" s="2">
        <v>11704.35</v>
      </c>
      <c r="E5722" s="2">
        <v>11710.3</v>
      </c>
      <c r="F5722" s="2">
        <v>11549.1</v>
      </c>
      <c r="G5722" s="3">
        <f t="shared" si="269"/>
        <v>-5.2674664300808027E-3</v>
      </c>
      <c r="H5722" s="2">
        <f t="shared" si="267"/>
        <v>161.19999999999891</v>
      </c>
      <c r="I5722" s="3">
        <f t="shared" si="268"/>
        <v>1.3772657174469228E-2</v>
      </c>
    </row>
    <row r="5723" spans="2:9" x14ac:dyDescent="0.25">
      <c r="B5723" s="1">
        <v>43564</v>
      </c>
      <c r="C5723" s="2">
        <v>11671.95</v>
      </c>
      <c r="D5723" s="2">
        <v>11612.05</v>
      </c>
      <c r="E5723" s="2">
        <v>11683.9</v>
      </c>
      <c r="F5723" s="2">
        <v>11569.7</v>
      </c>
      <c r="G5723" s="3">
        <f t="shared" si="269"/>
        <v>5.8124003619286491E-3</v>
      </c>
      <c r="H5723" s="2">
        <f t="shared" si="267"/>
        <v>114.19999999999891</v>
      </c>
      <c r="I5723" s="3">
        <f t="shared" si="268"/>
        <v>9.8346114596474278E-3</v>
      </c>
    </row>
    <row r="5724" spans="2:9" x14ac:dyDescent="0.25">
      <c r="B5724" s="1">
        <v>43565</v>
      </c>
      <c r="C5724" s="2">
        <v>11584.3</v>
      </c>
      <c r="D5724" s="2">
        <v>11646.85</v>
      </c>
      <c r="E5724" s="2">
        <v>11680.05</v>
      </c>
      <c r="F5724" s="2">
        <v>11571.75</v>
      </c>
      <c r="G5724" s="3">
        <f t="shared" si="269"/>
        <v>-7.5094564318731738E-3</v>
      </c>
      <c r="H5724" s="2">
        <f t="shared" si="267"/>
        <v>108.29999999999927</v>
      </c>
      <c r="I5724" s="3">
        <f t="shared" si="268"/>
        <v>9.2986515667325739E-3</v>
      </c>
    </row>
    <row r="5725" spans="2:9" x14ac:dyDescent="0.25">
      <c r="B5725" s="1">
        <v>43566</v>
      </c>
      <c r="C5725" s="2">
        <v>11596.7</v>
      </c>
      <c r="D5725" s="2">
        <v>11592.55</v>
      </c>
      <c r="E5725" s="2">
        <v>11606.7</v>
      </c>
      <c r="F5725" s="2">
        <v>11550.55</v>
      </c>
      <c r="G5725" s="3">
        <f t="shared" si="269"/>
        <v>1.0704142675863615E-3</v>
      </c>
      <c r="H5725" s="2">
        <f t="shared" si="267"/>
        <v>56.150000000001455</v>
      </c>
      <c r="I5725" s="3">
        <f t="shared" si="268"/>
        <v>4.8436280197196868E-3</v>
      </c>
    </row>
    <row r="5726" spans="2:9" x14ac:dyDescent="0.25">
      <c r="B5726" s="1">
        <v>43567</v>
      </c>
      <c r="C5726" s="2">
        <v>11643.45</v>
      </c>
      <c r="D5726" s="2">
        <v>11612.85</v>
      </c>
      <c r="E5726" s="2">
        <v>11657.35</v>
      </c>
      <c r="F5726" s="2">
        <v>11578.8</v>
      </c>
      <c r="G5726" s="3">
        <f t="shared" si="269"/>
        <v>4.0313192546155285E-3</v>
      </c>
      <c r="H5726" s="2">
        <f t="shared" si="267"/>
        <v>78.550000000001091</v>
      </c>
      <c r="I5726" s="3">
        <f t="shared" si="268"/>
        <v>6.7640587797139452E-3</v>
      </c>
    </row>
    <row r="5727" spans="2:9" x14ac:dyDescent="0.25">
      <c r="B5727" s="1">
        <v>43570</v>
      </c>
      <c r="C5727" s="2">
        <v>11690.35</v>
      </c>
      <c r="D5727" s="2">
        <v>11667</v>
      </c>
      <c r="E5727" s="2">
        <v>11704.6</v>
      </c>
      <c r="F5727" s="2">
        <v>11648.25</v>
      </c>
      <c r="G5727" s="3">
        <f t="shared" si="269"/>
        <v>4.0280157513450376E-3</v>
      </c>
      <c r="H5727" s="2">
        <f t="shared" si="267"/>
        <v>56.350000000000364</v>
      </c>
      <c r="I5727" s="3">
        <f t="shared" si="268"/>
        <v>4.8298620039427757E-3</v>
      </c>
    </row>
    <row r="5728" spans="2:9" x14ac:dyDescent="0.25">
      <c r="B5728" s="1">
        <v>43571</v>
      </c>
      <c r="C5728" s="2">
        <v>11787.15</v>
      </c>
      <c r="D5728" s="2">
        <v>11736.2</v>
      </c>
      <c r="E5728" s="2">
        <v>11810.95</v>
      </c>
      <c r="F5728" s="2">
        <v>11731.55</v>
      </c>
      <c r="G5728" s="3">
        <f t="shared" si="269"/>
        <v>8.2803337795702703E-3</v>
      </c>
      <c r="H5728" s="2">
        <f t="shared" si="267"/>
        <v>79.400000000001455</v>
      </c>
      <c r="I5728" s="3">
        <f t="shared" si="268"/>
        <v>6.7653925461394187E-3</v>
      </c>
    </row>
    <row r="5729" spans="2:9" x14ac:dyDescent="0.25">
      <c r="B5729" s="1">
        <v>43573</v>
      </c>
      <c r="C5729" s="2">
        <v>11752.8</v>
      </c>
      <c r="D5729" s="2">
        <v>11856.15</v>
      </c>
      <c r="E5729" s="2">
        <v>11856.15</v>
      </c>
      <c r="F5729" s="2">
        <v>11738.5</v>
      </c>
      <c r="G5729" s="3">
        <f t="shared" si="269"/>
        <v>-2.9141904531629903E-3</v>
      </c>
      <c r="H5729" s="2">
        <f t="shared" si="267"/>
        <v>117.64999999999964</v>
      </c>
      <c r="I5729" s="3">
        <f t="shared" si="268"/>
        <v>9.9231200684876328E-3</v>
      </c>
    </row>
    <row r="5730" spans="2:9" x14ac:dyDescent="0.25">
      <c r="B5730" s="1">
        <v>43577</v>
      </c>
      <c r="C5730" s="2">
        <v>11594.45</v>
      </c>
      <c r="D5730" s="2">
        <v>11727.05</v>
      </c>
      <c r="E5730" s="2">
        <v>11727.05</v>
      </c>
      <c r="F5730" s="2">
        <v>11583.95</v>
      </c>
      <c r="G5730" s="3">
        <f t="shared" si="269"/>
        <v>-1.3473385065686405E-2</v>
      </c>
      <c r="H5730" s="2">
        <f t="shared" si="267"/>
        <v>143.09999999999854</v>
      </c>
      <c r="I5730" s="3">
        <f t="shared" si="268"/>
        <v>1.2202557335391131E-2</v>
      </c>
    </row>
    <row r="5731" spans="2:9" x14ac:dyDescent="0.25">
      <c r="B5731" s="1">
        <v>43578</v>
      </c>
      <c r="C5731" s="2">
        <v>11575.95</v>
      </c>
      <c r="D5731" s="2">
        <v>11612.95</v>
      </c>
      <c r="E5731" s="2">
        <v>11645.95</v>
      </c>
      <c r="F5731" s="2">
        <v>11564.8</v>
      </c>
      <c r="G5731" s="3">
        <f t="shared" si="269"/>
        <v>-1.5955909939668889E-3</v>
      </c>
      <c r="H5731" s="2">
        <f t="shared" si="267"/>
        <v>81.150000000001455</v>
      </c>
      <c r="I5731" s="3">
        <f t="shared" si="268"/>
        <v>6.9878885210046928E-3</v>
      </c>
    </row>
    <row r="5732" spans="2:9" x14ac:dyDescent="0.25">
      <c r="B5732" s="1">
        <v>43579</v>
      </c>
      <c r="C5732" s="2">
        <v>11726.15</v>
      </c>
      <c r="D5732" s="2">
        <v>11601.5</v>
      </c>
      <c r="E5732" s="2">
        <v>11740.85</v>
      </c>
      <c r="F5732" s="2">
        <v>11578.85</v>
      </c>
      <c r="G5732" s="3">
        <f t="shared" si="269"/>
        <v>1.2975176983314407E-2</v>
      </c>
      <c r="H5732" s="2">
        <f t="shared" si="267"/>
        <v>162</v>
      </c>
      <c r="I5732" s="3">
        <f t="shared" si="268"/>
        <v>1.3963711589018662E-2</v>
      </c>
    </row>
    <row r="5733" spans="2:9" x14ac:dyDescent="0.25">
      <c r="B5733" s="1">
        <v>43580</v>
      </c>
      <c r="C5733" s="2">
        <v>11641.8</v>
      </c>
      <c r="D5733" s="2">
        <v>11735.7</v>
      </c>
      <c r="E5733" s="2">
        <v>11796.75</v>
      </c>
      <c r="F5733" s="2">
        <v>11624.3</v>
      </c>
      <c r="G5733" s="3">
        <f t="shared" si="269"/>
        <v>-7.1933243221347087E-3</v>
      </c>
      <c r="H5733" s="2">
        <f t="shared" si="267"/>
        <v>172.45000000000073</v>
      </c>
      <c r="I5733" s="3">
        <f t="shared" si="268"/>
        <v>1.4694479238562737E-2</v>
      </c>
    </row>
    <row r="5734" spans="2:9" x14ac:dyDescent="0.25">
      <c r="B5734" s="1">
        <v>43581</v>
      </c>
      <c r="C5734" s="2">
        <v>11754.65</v>
      </c>
      <c r="D5734" s="2">
        <v>11683.75</v>
      </c>
      <c r="E5734" s="2">
        <v>11762.9</v>
      </c>
      <c r="F5734" s="2">
        <v>11661.75</v>
      </c>
      <c r="G5734" s="3">
        <f t="shared" si="269"/>
        <v>9.6935181844732821E-3</v>
      </c>
      <c r="H5734" s="2">
        <f t="shared" si="267"/>
        <v>101.14999999999964</v>
      </c>
      <c r="I5734" s="3">
        <f t="shared" si="268"/>
        <v>8.6573232053064851E-3</v>
      </c>
    </row>
    <row r="5735" spans="2:9" x14ac:dyDescent="0.25">
      <c r="B5735" s="1">
        <v>43585</v>
      </c>
      <c r="C5735" s="2">
        <v>11748.15</v>
      </c>
      <c r="D5735" s="2">
        <v>11748.75</v>
      </c>
      <c r="E5735" s="2">
        <v>11756.25</v>
      </c>
      <c r="F5735" s="2">
        <v>11655.9</v>
      </c>
      <c r="G5735" s="3">
        <f t="shared" si="269"/>
        <v>-5.5297265337550527E-4</v>
      </c>
      <c r="H5735" s="2">
        <f t="shared" si="267"/>
        <v>100.35000000000036</v>
      </c>
      <c r="I5735" s="3">
        <f t="shared" si="268"/>
        <v>8.5413341844877422E-3</v>
      </c>
    </row>
    <row r="5736" spans="2:9" x14ac:dyDescent="0.25">
      <c r="B5736" s="1">
        <v>43587</v>
      </c>
      <c r="C5736" s="2">
        <v>11724.75</v>
      </c>
      <c r="D5736" s="2">
        <v>11725.55</v>
      </c>
      <c r="E5736" s="2">
        <v>11789.3</v>
      </c>
      <c r="F5736" s="2">
        <v>11699.55</v>
      </c>
      <c r="G5736" s="3">
        <f t="shared" si="269"/>
        <v>-1.9918029647221225E-3</v>
      </c>
      <c r="H5736" s="2">
        <f t="shared" si="267"/>
        <v>89.75</v>
      </c>
      <c r="I5736" s="3">
        <f t="shared" si="268"/>
        <v>7.6542251749384897E-3</v>
      </c>
    </row>
    <row r="5737" spans="2:9" x14ac:dyDescent="0.25">
      <c r="B5737" s="1">
        <v>43588</v>
      </c>
      <c r="C5737" s="2">
        <v>11712.25</v>
      </c>
      <c r="D5737" s="2">
        <v>11722.6</v>
      </c>
      <c r="E5737" s="2">
        <v>11770.9</v>
      </c>
      <c r="F5737" s="2">
        <v>11699.35</v>
      </c>
      <c r="G5737" s="3">
        <f t="shared" si="269"/>
        <v>-1.0661208128105448E-3</v>
      </c>
      <c r="H5737" s="2">
        <f t="shared" si="267"/>
        <v>71.549999999999272</v>
      </c>
      <c r="I5737" s="3">
        <f t="shared" si="268"/>
        <v>6.1035947656662573E-3</v>
      </c>
    </row>
    <row r="5738" spans="2:9" x14ac:dyDescent="0.25">
      <c r="B5738" s="1">
        <v>43591</v>
      </c>
      <c r="C5738" s="2">
        <v>11598.25</v>
      </c>
      <c r="D5738" s="2">
        <v>11605.8</v>
      </c>
      <c r="E5738" s="2">
        <v>11632.55</v>
      </c>
      <c r="F5738" s="2">
        <v>11571.35</v>
      </c>
      <c r="G5738" s="3">
        <f t="shared" si="269"/>
        <v>-9.7333987918631903E-3</v>
      </c>
      <c r="H5738" s="2">
        <f t="shared" si="267"/>
        <v>61.199999999998909</v>
      </c>
      <c r="I5738" s="3">
        <f t="shared" si="268"/>
        <v>5.2732254562373052E-3</v>
      </c>
    </row>
    <row r="5739" spans="2:9" x14ac:dyDescent="0.25">
      <c r="B5739" s="1">
        <v>43592</v>
      </c>
      <c r="C5739" s="2">
        <v>11497.9</v>
      </c>
      <c r="D5739" s="2">
        <v>11651.5</v>
      </c>
      <c r="E5739" s="2">
        <v>11657.05</v>
      </c>
      <c r="F5739" s="2">
        <v>11484.45</v>
      </c>
      <c r="G5739" s="3">
        <f t="shared" si="269"/>
        <v>-8.652167352833473E-3</v>
      </c>
      <c r="H5739" s="2">
        <f t="shared" si="267"/>
        <v>172.59999999999854</v>
      </c>
      <c r="I5739" s="3">
        <f t="shared" si="268"/>
        <v>1.4813543320602373E-2</v>
      </c>
    </row>
    <row r="5740" spans="2:9" x14ac:dyDescent="0.25">
      <c r="B5740" s="1">
        <v>43593</v>
      </c>
      <c r="C5740" s="2">
        <v>11359.45</v>
      </c>
      <c r="D5740" s="2">
        <v>11478.7</v>
      </c>
      <c r="E5740" s="2">
        <v>11479.1</v>
      </c>
      <c r="F5740" s="2">
        <v>11346.95</v>
      </c>
      <c r="G5740" s="3">
        <f t="shared" si="269"/>
        <v>-1.2041329286217373E-2</v>
      </c>
      <c r="H5740" s="2">
        <f t="shared" si="267"/>
        <v>132.14999999999964</v>
      </c>
      <c r="I5740" s="3">
        <f t="shared" si="268"/>
        <v>1.1512627736590349E-2</v>
      </c>
    </row>
    <row r="5741" spans="2:9" x14ac:dyDescent="0.25">
      <c r="B5741" s="1">
        <v>43594</v>
      </c>
      <c r="C5741" s="2">
        <v>11301.8</v>
      </c>
      <c r="D5741" s="2">
        <v>11322.4</v>
      </c>
      <c r="E5741" s="2">
        <v>11357.6</v>
      </c>
      <c r="F5741" s="2">
        <v>11255.05</v>
      </c>
      <c r="G5741" s="3">
        <f t="shared" si="269"/>
        <v>-5.0750696556612906E-3</v>
      </c>
      <c r="H5741" s="2">
        <f t="shared" si="267"/>
        <v>102.55000000000109</v>
      </c>
      <c r="I5741" s="3">
        <f t="shared" si="268"/>
        <v>9.0572670105279005E-3</v>
      </c>
    </row>
    <row r="5742" spans="2:9" x14ac:dyDescent="0.25">
      <c r="B5742" s="1">
        <v>43595</v>
      </c>
      <c r="C5742" s="2">
        <v>11278.9</v>
      </c>
      <c r="D5742" s="2">
        <v>11314.15</v>
      </c>
      <c r="E5742" s="2">
        <v>11345.8</v>
      </c>
      <c r="F5742" s="2">
        <v>11251.05</v>
      </c>
      <c r="G5742" s="3">
        <f t="shared" si="269"/>
        <v>-2.0262259109168346E-3</v>
      </c>
      <c r="H5742" s="2">
        <f t="shared" si="267"/>
        <v>94.75</v>
      </c>
      <c r="I5742" s="3">
        <f t="shared" si="268"/>
        <v>8.3744691382030469E-3</v>
      </c>
    </row>
    <row r="5743" spans="2:9" x14ac:dyDescent="0.25">
      <c r="B5743" s="1">
        <v>43598</v>
      </c>
      <c r="C5743" s="2">
        <v>11148.2</v>
      </c>
      <c r="D5743" s="2">
        <v>11258.7</v>
      </c>
      <c r="E5743" s="2">
        <v>11300.2</v>
      </c>
      <c r="F5743" s="2">
        <v>11125.6</v>
      </c>
      <c r="G5743" s="3">
        <f t="shared" si="269"/>
        <v>-1.1588009469008398E-2</v>
      </c>
      <c r="H5743" s="2">
        <f t="shared" si="267"/>
        <v>174.60000000000036</v>
      </c>
      <c r="I5743" s="3">
        <f t="shared" si="268"/>
        <v>1.5508007141144213E-2</v>
      </c>
    </row>
    <row r="5744" spans="2:9" x14ac:dyDescent="0.25">
      <c r="B5744" s="1">
        <v>43599</v>
      </c>
      <c r="C5744" s="2">
        <v>11222.05</v>
      </c>
      <c r="D5744" s="2">
        <v>11151.65</v>
      </c>
      <c r="E5744" s="2">
        <v>11294.75</v>
      </c>
      <c r="F5744" s="2">
        <v>11108.3</v>
      </c>
      <c r="G5744" s="3">
        <f t="shared" si="269"/>
        <v>6.6243877935450168E-3</v>
      </c>
      <c r="H5744" s="2">
        <f t="shared" si="267"/>
        <v>186.45000000000073</v>
      </c>
      <c r="I5744" s="3">
        <f t="shared" si="268"/>
        <v>1.6719498908233377E-2</v>
      </c>
    </row>
    <row r="5745" spans="2:9" x14ac:dyDescent="0.25">
      <c r="B5745" s="1">
        <v>43600</v>
      </c>
      <c r="C5745" s="2">
        <v>11157</v>
      </c>
      <c r="D5745" s="2">
        <v>11271.7</v>
      </c>
      <c r="E5745" s="2">
        <v>11286.8</v>
      </c>
      <c r="F5745" s="2">
        <v>11136.95</v>
      </c>
      <c r="G5745" s="3">
        <f t="shared" si="269"/>
        <v>-5.7966236115504222E-3</v>
      </c>
      <c r="H5745" s="2">
        <f t="shared" si="267"/>
        <v>149.84999999999854</v>
      </c>
      <c r="I5745" s="3">
        <f t="shared" si="268"/>
        <v>1.3294356663147398E-2</v>
      </c>
    </row>
    <row r="5746" spans="2:9" x14ac:dyDescent="0.25">
      <c r="B5746" s="1">
        <v>43601</v>
      </c>
      <c r="C5746" s="2">
        <v>11257.1</v>
      </c>
      <c r="D5746" s="2">
        <v>11180.35</v>
      </c>
      <c r="E5746" s="2">
        <v>11281.55</v>
      </c>
      <c r="F5746" s="2">
        <v>11143.35</v>
      </c>
      <c r="G5746" s="3">
        <f t="shared" si="269"/>
        <v>8.9719458635835192E-3</v>
      </c>
      <c r="H5746" s="2">
        <f t="shared" si="267"/>
        <v>138.19999999999891</v>
      </c>
      <c r="I5746" s="3">
        <f t="shared" si="268"/>
        <v>1.2360972599247689E-2</v>
      </c>
    </row>
    <row r="5747" spans="2:9" x14ac:dyDescent="0.25">
      <c r="B5747" s="1">
        <v>43602</v>
      </c>
      <c r="C5747" s="2">
        <v>11407.15</v>
      </c>
      <c r="D5747" s="2">
        <v>11261.9</v>
      </c>
      <c r="E5747" s="2">
        <v>11426.15</v>
      </c>
      <c r="F5747" s="2">
        <v>11259.85</v>
      </c>
      <c r="G5747" s="3">
        <f t="shared" si="269"/>
        <v>1.3329365467127374E-2</v>
      </c>
      <c r="H5747" s="2">
        <f t="shared" si="267"/>
        <v>166.29999999999927</v>
      </c>
      <c r="I5747" s="3">
        <f t="shared" si="268"/>
        <v>1.4766602438309635E-2</v>
      </c>
    </row>
    <row r="5748" spans="2:9" x14ac:dyDescent="0.25">
      <c r="B5748" s="1">
        <v>43605</v>
      </c>
      <c r="C5748" s="2">
        <v>11828.25</v>
      </c>
      <c r="D5748" s="2">
        <v>11651.9</v>
      </c>
      <c r="E5748" s="2">
        <v>11845.2</v>
      </c>
      <c r="F5748" s="2">
        <v>11591.7</v>
      </c>
      <c r="G5748" s="3">
        <f t="shared" si="269"/>
        <v>3.691544338419317E-2</v>
      </c>
      <c r="H5748" s="2">
        <f t="shared" si="267"/>
        <v>253.5</v>
      </c>
      <c r="I5748" s="3">
        <f t="shared" si="268"/>
        <v>2.175610844583287E-2</v>
      </c>
    </row>
    <row r="5749" spans="2:9" x14ac:dyDescent="0.25">
      <c r="B5749" s="1">
        <v>43606</v>
      </c>
      <c r="C5749" s="2">
        <v>11709.1</v>
      </c>
      <c r="D5749" s="2">
        <v>11863.65</v>
      </c>
      <c r="E5749" s="2">
        <v>11883.55</v>
      </c>
      <c r="F5749" s="2">
        <v>11682.8</v>
      </c>
      <c r="G5749" s="3">
        <f t="shared" si="269"/>
        <v>-1.0073341364952526E-2</v>
      </c>
      <c r="H5749" s="2">
        <f t="shared" si="267"/>
        <v>200.75</v>
      </c>
      <c r="I5749" s="3">
        <f t="shared" si="268"/>
        <v>1.6921436488770321E-2</v>
      </c>
    </row>
    <row r="5750" spans="2:9" x14ac:dyDescent="0.25">
      <c r="B5750" s="1">
        <v>43607</v>
      </c>
      <c r="C5750" s="2">
        <v>11737.9</v>
      </c>
      <c r="D5750" s="2">
        <v>11727.95</v>
      </c>
      <c r="E5750" s="2">
        <v>11784.8</v>
      </c>
      <c r="F5750" s="2">
        <v>11682.4</v>
      </c>
      <c r="G5750" s="3">
        <f t="shared" si="269"/>
        <v>2.4596254195454748E-3</v>
      </c>
      <c r="H5750" s="2">
        <f t="shared" si="267"/>
        <v>102.39999999999964</v>
      </c>
      <c r="I5750" s="3">
        <f t="shared" si="268"/>
        <v>8.7312786974705417E-3</v>
      </c>
    </row>
    <row r="5751" spans="2:9" x14ac:dyDescent="0.25">
      <c r="B5751" s="1">
        <v>43608</v>
      </c>
      <c r="C5751" s="2">
        <v>11657.05</v>
      </c>
      <c r="D5751" s="2">
        <v>11901.3</v>
      </c>
      <c r="E5751" s="2">
        <v>12041.15</v>
      </c>
      <c r="F5751" s="2">
        <v>11614.5</v>
      </c>
      <c r="G5751" s="3">
        <f t="shared" si="269"/>
        <v>-6.8879441808160635E-3</v>
      </c>
      <c r="H5751" s="2">
        <f t="shared" si="267"/>
        <v>426.64999999999964</v>
      </c>
      <c r="I5751" s="3">
        <f t="shared" si="268"/>
        <v>3.5849024896439853E-2</v>
      </c>
    </row>
    <row r="5752" spans="2:9" x14ac:dyDescent="0.25">
      <c r="B5752" s="1">
        <v>43609</v>
      </c>
      <c r="C5752" s="2">
        <v>11844.1</v>
      </c>
      <c r="D5752" s="2">
        <v>11748</v>
      </c>
      <c r="E5752" s="2">
        <v>11859</v>
      </c>
      <c r="F5752" s="2">
        <v>11658.1</v>
      </c>
      <c r="G5752" s="3">
        <f t="shared" si="269"/>
        <v>1.6046083700421709E-2</v>
      </c>
      <c r="H5752" s="2">
        <f t="shared" si="267"/>
        <v>200.89999999999964</v>
      </c>
      <c r="I5752" s="3">
        <f t="shared" si="268"/>
        <v>1.7100783112019038E-2</v>
      </c>
    </row>
    <row r="5753" spans="2:9" x14ac:dyDescent="0.25">
      <c r="B5753" s="1">
        <v>43612</v>
      </c>
      <c r="C5753" s="2">
        <v>11924.75</v>
      </c>
      <c r="D5753" s="2">
        <v>11855.5</v>
      </c>
      <c r="E5753" s="2">
        <v>11957.15</v>
      </c>
      <c r="F5753" s="2">
        <v>11812.4</v>
      </c>
      <c r="G5753" s="3">
        <f t="shared" si="269"/>
        <v>6.809297456117358E-3</v>
      </c>
      <c r="H5753" s="2">
        <f t="shared" si="267"/>
        <v>144.75</v>
      </c>
      <c r="I5753" s="3">
        <f t="shared" si="268"/>
        <v>1.2209523006199654E-2</v>
      </c>
    </row>
    <row r="5754" spans="2:9" x14ac:dyDescent="0.25">
      <c r="B5754" s="1">
        <v>43613</v>
      </c>
      <c r="C5754" s="2">
        <v>11928.75</v>
      </c>
      <c r="D5754" s="2">
        <v>11958.35</v>
      </c>
      <c r="E5754" s="2">
        <v>11958.55</v>
      </c>
      <c r="F5754" s="2">
        <v>11864.9</v>
      </c>
      <c r="G5754" s="3">
        <f t="shared" si="269"/>
        <v>3.3543680161018941E-4</v>
      </c>
      <c r="H5754" s="2">
        <f t="shared" si="267"/>
        <v>93.649999999999636</v>
      </c>
      <c r="I5754" s="3">
        <f t="shared" si="268"/>
        <v>7.8313479702467013E-3</v>
      </c>
    </row>
    <row r="5755" spans="2:9" x14ac:dyDescent="0.25">
      <c r="B5755" s="1">
        <v>43614</v>
      </c>
      <c r="C5755" s="2">
        <v>11861.1</v>
      </c>
      <c r="D5755" s="2">
        <v>11905.8</v>
      </c>
      <c r="E5755" s="2">
        <v>11931.9</v>
      </c>
      <c r="F5755" s="2">
        <v>11836.8</v>
      </c>
      <c r="G5755" s="3">
        <f t="shared" si="269"/>
        <v>-5.6711725872367058E-3</v>
      </c>
      <c r="H5755" s="2">
        <f t="shared" si="267"/>
        <v>95.100000000000364</v>
      </c>
      <c r="I5755" s="3">
        <f t="shared" si="268"/>
        <v>7.9877034722572494E-3</v>
      </c>
    </row>
    <row r="5756" spans="2:9" x14ac:dyDescent="0.25">
      <c r="B5756" s="1">
        <v>43615</v>
      </c>
      <c r="C5756" s="2">
        <v>11945.9</v>
      </c>
      <c r="D5756" s="2">
        <v>11865.3</v>
      </c>
      <c r="E5756" s="2">
        <v>11968.55</v>
      </c>
      <c r="F5756" s="2">
        <v>11859.4</v>
      </c>
      <c r="G5756" s="3">
        <f t="shared" si="269"/>
        <v>7.1494212172562577E-3</v>
      </c>
      <c r="H5756" s="2">
        <f t="shared" si="267"/>
        <v>109.14999999999964</v>
      </c>
      <c r="I5756" s="3">
        <f t="shared" si="268"/>
        <v>9.1990931539868061E-3</v>
      </c>
    </row>
    <row r="5757" spans="2:9" x14ac:dyDescent="0.25">
      <c r="B5757" s="1">
        <v>43616</v>
      </c>
      <c r="C5757" s="2">
        <v>11922.8</v>
      </c>
      <c r="D5757" s="2">
        <v>11999.8</v>
      </c>
      <c r="E5757" s="2">
        <v>12039.25</v>
      </c>
      <c r="F5757" s="2">
        <v>11829.45</v>
      </c>
      <c r="G5757" s="3">
        <f t="shared" si="269"/>
        <v>-1.9337178446161563E-3</v>
      </c>
      <c r="H5757" s="2">
        <f t="shared" si="267"/>
        <v>209.79999999999927</v>
      </c>
      <c r="I5757" s="3">
        <f t="shared" si="268"/>
        <v>1.7483624727078727E-2</v>
      </c>
    </row>
    <row r="5758" spans="2:9" x14ac:dyDescent="0.25">
      <c r="B5758" s="1">
        <v>43619</v>
      </c>
      <c r="C5758" s="2">
        <v>12088.55</v>
      </c>
      <c r="D5758" s="2">
        <v>11953.75</v>
      </c>
      <c r="E5758" s="2">
        <v>12103.05</v>
      </c>
      <c r="F5758" s="2">
        <v>11920.1</v>
      </c>
      <c r="G5758" s="3">
        <f t="shared" si="269"/>
        <v>1.3901935786895692E-2</v>
      </c>
      <c r="H5758" s="2">
        <f t="shared" si="267"/>
        <v>182.94999999999891</v>
      </c>
      <c r="I5758" s="3">
        <f t="shared" si="268"/>
        <v>1.530482066297178E-2</v>
      </c>
    </row>
    <row r="5759" spans="2:9" x14ac:dyDescent="0.25">
      <c r="B5759" s="1">
        <v>43620</v>
      </c>
      <c r="C5759" s="2">
        <v>12021.65</v>
      </c>
      <c r="D5759" s="2">
        <v>12052.65</v>
      </c>
      <c r="E5759" s="2">
        <v>12095.2</v>
      </c>
      <c r="F5759" s="2">
        <v>12005.85</v>
      </c>
      <c r="G5759" s="3">
        <f t="shared" si="269"/>
        <v>-5.5341624926066313E-3</v>
      </c>
      <c r="H5759" s="2">
        <f t="shared" si="267"/>
        <v>89.350000000000364</v>
      </c>
      <c r="I5759" s="3">
        <f t="shared" si="268"/>
        <v>7.4133074469100464E-3</v>
      </c>
    </row>
    <row r="5760" spans="2:9" x14ac:dyDescent="0.25">
      <c r="B5760" s="1">
        <v>43622</v>
      </c>
      <c r="C5760" s="2">
        <v>11843.75</v>
      </c>
      <c r="D5760" s="2">
        <v>12039.8</v>
      </c>
      <c r="E5760" s="2">
        <v>12039.8</v>
      </c>
      <c r="F5760" s="2">
        <v>11830.25</v>
      </c>
      <c r="G5760" s="3">
        <f t="shared" si="269"/>
        <v>-1.479830139789462E-2</v>
      </c>
      <c r="H5760" s="2">
        <f t="shared" si="267"/>
        <v>209.54999999999927</v>
      </c>
      <c r="I5760" s="3">
        <f t="shared" si="268"/>
        <v>1.7404774165683756E-2</v>
      </c>
    </row>
    <row r="5761" spans="2:9" x14ac:dyDescent="0.25">
      <c r="B5761" s="1">
        <v>43623</v>
      </c>
      <c r="C5761" s="2">
        <v>11870.65</v>
      </c>
      <c r="D5761" s="2">
        <v>11865.2</v>
      </c>
      <c r="E5761" s="2">
        <v>11897.5</v>
      </c>
      <c r="F5761" s="2">
        <v>11769.5</v>
      </c>
      <c r="G5761" s="3">
        <f t="shared" si="269"/>
        <v>2.271240105540917E-3</v>
      </c>
      <c r="H5761" s="2">
        <f t="shared" si="267"/>
        <v>128</v>
      </c>
      <c r="I5761" s="3">
        <f t="shared" si="268"/>
        <v>1.0787850183730572E-2</v>
      </c>
    </row>
    <row r="5762" spans="2:9" x14ac:dyDescent="0.25">
      <c r="B5762" s="1">
        <v>43626</v>
      </c>
      <c r="C5762" s="2">
        <v>11922.7</v>
      </c>
      <c r="D5762" s="2">
        <v>11934.9</v>
      </c>
      <c r="E5762" s="2">
        <v>11975.05</v>
      </c>
      <c r="F5762" s="2">
        <v>11871.75</v>
      </c>
      <c r="G5762" s="3">
        <f t="shared" si="269"/>
        <v>4.3847641030609896E-3</v>
      </c>
      <c r="H5762" s="2">
        <f t="shared" si="267"/>
        <v>103.29999999999927</v>
      </c>
      <c r="I5762" s="3">
        <f t="shared" si="268"/>
        <v>8.655288272210012E-3</v>
      </c>
    </row>
    <row r="5763" spans="2:9" x14ac:dyDescent="0.25">
      <c r="B5763" s="1">
        <v>43627</v>
      </c>
      <c r="C5763" s="2">
        <v>11965.6</v>
      </c>
      <c r="D5763" s="2">
        <v>11959.85</v>
      </c>
      <c r="E5763" s="2">
        <v>12000.35</v>
      </c>
      <c r="F5763" s="2">
        <v>11904.35</v>
      </c>
      <c r="G5763" s="3">
        <f t="shared" si="269"/>
        <v>3.5981782649903149E-3</v>
      </c>
      <c r="H5763" s="2">
        <f t="shared" si="267"/>
        <v>96</v>
      </c>
      <c r="I5763" s="3">
        <f t="shared" si="268"/>
        <v>8.026856524120286E-3</v>
      </c>
    </row>
    <row r="5764" spans="2:9" x14ac:dyDescent="0.25">
      <c r="B5764" s="1">
        <v>43628</v>
      </c>
      <c r="C5764" s="2">
        <v>11906.2</v>
      </c>
      <c r="D5764" s="2">
        <v>11962.45</v>
      </c>
      <c r="E5764" s="2">
        <v>11962.45</v>
      </c>
      <c r="F5764" s="2">
        <v>11866.35</v>
      </c>
      <c r="G5764" s="3">
        <f t="shared" si="269"/>
        <v>-4.9642307949454567E-3</v>
      </c>
      <c r="H5764" s="2">
        <f t="shared" si="267"/>
        <v>96.100000000000364</v>
      </c>
      <c r="I5764" s="3">
        <f t="shared" si="268"/>
        <v>8.0334714042692226E-3</v>
      </c>
    </row>
    <row r="5765" spans="2:9" x14ac:dyDescent="0.25">
      <c r="B5765" s="1">
        <v>43629</v>
      </c>
      <c r="C5765" s="2">
        <v>11914.05</v>
      </c>
      <c r="D5765" s="2">
        <v>11873.9</v>
      </c>
      <c r="E5765" s="2">
        <v>11931.35</v>
      </c>
      <c r="F5765" s="2">
        <v>11817.05</v>
      </c>
      <c r="G5765" s="3">
        <f t="shared" si="269"/>
        <v>6.5932035410121159E-4</v>
      </c>
      <c r="H5765" s="2">
        <f t="shared" ref="H5765:H5828" si="270">E5765-F5765</f>
        <v>114.30000000000109</v>
      </c>
      <c r="I5765" s="3">
        <f t="shared" si="268"/>
        <v>9.6261548438172032E-3</v>
      </c>
    </row>
    <row r="5766" spans="2:9" x14ac:dyDescent="0.25">
      <c r="B5766" s="1">
        <v>43630</v>
      </c>
      <c r="C5766" s="2">
        <v>11823.3</v>
      </c>
      <c r="D5766" s="2">
        <v>11910.1</v>
      </c>
      <c r="E5766" s="2">
        <v>11911.85</v>
      </c>
      <c r="F5766" s="2">
        <v>11797.7</v>
      </c>
      <c r="G5766" s="3">
        <f t="shared" si="269"/>
        <v>-7.6170571719944569E-3</v>
      </c>
      <c r="H5766" s="2">
        <f t="shared" si="270"/>
        <v>114.14999999999964</v>
      </c>
      <c r="I5766" s="3">
        <f t="shared" ref="I5766:I5829" si="271">H5766/D5766</f>
        <v>9.5843023988043449E-3</v>
      </c>
    </row>
    <row r="5767" spans="2:9" x14ac:dyDescent="0.25">
      <c r="B5767" s="1">
        <v>43633</v>
      </c>
      <c r="C5767" s="2">
        <v>11672.15</v>
      </c>
      <c r="D5767" s="2">
        <v>11844</v>
      </c>
      <c r="E5767" s="2">
        <v>11844.05</v>
      </c>
      <c r="F5767" s="2">
        <v>11657.75</v>
      </c>
      <c r="G5767" s="3">
        <f t="shared" ref="G5767:G5830" si="272">C5767/C5766-1</f>
        <v>-1.2784078895063056E-2</v>
      </c>
      <c r="H5767" s="2">
        <f t="shared" si="270"/>
        <v>186.29999999999927</v>
      </c>
      <c r="I5767" s="3">
        <f t="shared" si="271"/>
        <v>1.5729483282674709E-2</v>
      </c>
    </row>
    <row r="5768" spans="2:9" x14ac:dyDescent="0.25">
      <c r="B5768" s="1">
        <v>43634</v>
      </c>
      <c r="C5768" s="2">
        <v>11691.5</v>
      </c>
      <c r="D5768" s="2">
        <v>11677.05</v>
      </c>
      <c r="E5768" s="2">
        <v>11727.2</v>
      </c>
      <c r="F5768" s="2">
        <v>11641.15</v>
      </c>
      <c r="G5768" s="3">
        <f t="shared" si="272"/>
        <v>1.657792266206437E-3</v>
      </c>
      <c r="H5768" s="2">
        <f t="shared" si="270"/>
        <v>86.050000000001091</v>
      </c>
      <c r="I5768" s="3">
        <f t="shared" si="271"/>
        <v>7.3691557371083532E-3</v>
      </c>
    </row>
    <row r="5769" spans="2:9" x14ac:dyDescent="0.25">
      <c r="B5769" s="1">
        <v>43635</v>
      </c>
      <c r="C5769" s="2">
        <v>11691.45</v>
      </c>
      <c r="D5769" s="2">
        <v>11744.45</v>
      </c>
      <c r="E5769" s="2">
        <v>11802.5</v>
      </c>
      <c r="F5769" s="2">
        <v>11625.1</v>
      </c>
      <c r="G5769" s="3">
        <f t="shared" si="272"/>
        <v>-4.2766112131609191E-6</v>
      </c>
      <c r="H5769" s="2">
        <f t="shared" si="270"/>
        <v>177.39999999999964</v>
      </c>
      <c r="I5769" s="3">
        <f t="shared" si="271"/>
        <v>1.5105007045881214E-2</v>
      </c>
    </row>
    <row r="5770" spans="2:9" x14ac:dyDescent="0.25">
      <c r="B5770" s="1">
        <v>43636</v>
      </c>
      <c r="C5770" s="2">
        <v>11831.75</v>
      </c>
      <c r="D5770" s="2">
        <v>11653.65</v>
      </c>
      <c r="E5770" s="2">
        <v>11843.5</v>
      </c>
      <c r="F5770" s="2">
        <v>11635.05</v>
      </c>
      <c r="G5770" s="3">
        <f t="shared" si="272"/>
        <v>1.2000222384733972E-2</v>
      </c>
      <c r="H5770" s="2">
        <f t="shared" si="270"/>
        <v>208.45000000000073</v>
      </c>
      <c r="I5770" s="3">
        <f t="shared" si="271"/>
        <v>1.7887099749863841E-2</v>
      </c>
    </row>
    <row r="5771" spans="2:9" x14ac:dyDescent="0.25">
      <c r="B5771" s="1">
        <v>43637</v>
      </c>
      <c r="C5771" s="2">
        <v>11724.1</v>
      </c>
      <c r="D5771" s="2">
        <v>11827.6</v>
      </c>
      <c r="E5771" s="2">
        <v>11827.95</v>
      </c>
      <c r="F5771" s="2">
        <v>11705.1</v>
      </c>
      <c r="G5771" s="3">
        <f t="shared" si="272"/>
        <v>-9.098400490206382E-3</v>
      </c>
      <c r="H5771" s="2">
        <f t="shared" si="270"/>
        <v>122.85000000000036</v>
      </c>
      <c r="I5771" s="3">
        <f t="shared" si="271"/>
        <v>1.0386722581081569E-2</v>
      </c>
    </row>
    <row r="5772" spans="2:9" x14ac:dyDescent="0.25">
      <c r="B5772" s="1">
        <v>43640</v>
      </c>
      <c r="C5772" s="2">
        <v>11699.65</v>
      </c>
      <c r="D5772" s="2">
        <v>11725.8</v>
      </c>
      <c r="E5772" s="2">
        <v>11754</v>
      </c>
      <c r="F5772" s="2">
        <v>11670.2</v>
      </c>
      <c r="G5772" s="3">
        <f t="shared" si="272"/>
        <v>-2.0854479235080658E-3</v>
      </c>
      <c r="H5772" s="2">
        <f t="shared" si="270"/>
        <v>83.799999999999272</v>
      </c>
      <c r="I5772" s="3">
        <f t="shared" si="271"/>
        <v>7.1466339183679818E-3</v>
      </c>
    </row>
    <row r="5773" spans="2:9" x14ac:dyDescent="0.25">
      <c r="B5773" s="1">
        <v>43641</v>
      </c>
      <c r="C5773" s="2">
        <v>11796.45</v>
      </c>
      <c r="D5773" s="2">
        <v>11681</v>
      </c>
      <c r="E5773" s="2">
        <v>11814.4</v>
      </c>
      <c r="F5773" s="2">
        <v>11651</v>
      </c>
      <c r="G5773" s="3">
        <f t="shared" si="272"/>
        <v>8.2737517788995518E-3</v>
      </c>
      <c r="H5773" s="2">
        <f t="shared" si="270"/>
        <v>163.39999999999964</v>
      </c>
      <c r="I5773" s="3">
        <f t="shared" si="271"/>
        <v>1.3988528379419539E-2</v>
      </c>
    </row>
    <row r="5774" spans="2:9" x14ac:dyDescent="0.25">
      <c r="B5774" s="1">
        <v>43642</v>
      </c>
      <c r="C5774" s="2">
        <v>11847.55</v>
      </c>
      <c r="D5774" s="2">
        <v>11768.15</v>
      </c>
      <c r="E5774" s="2">
        <v>11871.85</v>
      </c>
      <c r="F5774" s="2">
        <v>11757.55</v>
      </c>
      <c r="G5774" s="3">
        <f t="shared" si="272"/>
        <v>4.331811689109788E-3</v>
      </c>
      <c r="H5774" s="2">
        <f t="shared" si="270"/>
        <v>114.30000000000109</v>
      </c>
      <c r="I5774" s="3">
        <f t="shared" si="271"/>
        <v>9.7126566197746535E-3</v>
      </c>
    </row>
    <row r="5775" spans="2:9" x14ac:dyDescent="0.25">
      <c r="B5775" s="1">
        <v>43643</v>
      </c>
      <c r="C5775" s="2">
        <v>11841.55</v>
      </c>
      <c r="D5775" s="2">
        <v>11860.85</v>
      </c>
      <c r="E5775" s="2">
        <v>11911.15</v>
      </c>
      <c r="F5775" s="2">
        <v>11821.05</v>
      </c>
      <c r="G5775" s="3">
        <f t="shared" si="272"/>
        <v>-5.0643381965043144E-4</v>
      </c>
      <c r="H5775" s="2">
        <f t="shared" si="270"/>
        <v>90.100000000000364</v>
      </c>
      <c r="I5775" s="3">
        <f t="shared" si="271"/>
        <v>7.5964201553851843E-3</v>
      </c>
    </row>
    <row r="5776" spans="2:9" x14ac:dyDescent="0.25">
      <c r="B5776" s="1">
        <v>43644</v>
      </c>
      <c r="C5776" s="2">
        <v>11788.85</v>
      </c>
      <c r="D5776" s="2">
        <v>11861.15</v>
      </c>
      <c r="E5776" s="2">
        <v>11871.7</v>
      </c>
      <c r="F5776" s="2">
        <v>11775.5</v>
      </c>
      <c r="G5776" s="3">
        <f t="shared" si="272"/>
        <v>-4.4504308979820273E-3</v>
      </c>
      <c r="H5776" s="2">
        <f t="shared" si="270"/>
        <v>96.200000000000728</v>
      </c>
      <c r="I5776" s="3">
        <f t="shared" si="271"/>
        <v>8.1105120498434578E-3</v>
      </c>
    </row>
    <row r="5777" spans="2:9" x14ac:dyDescent="0.25">
      <c r="B5777" s="1">
        <v>43647</v>
      </c>
      <c r="C5777" s="2">
        <v>11865.6</v>
      </c>
      <c r="D5777" s="2">
        <v>11839.9</v>
      </c>
      <c r="E5777" s="2">
        <v>11884.65</v>
      </c>
      <c r="F5777" s="2">
        <v>11830.8</v>
      </c>
      <c r="G5777" s="3">
        <f t="shared" si="272"/>
        <v>6.5103890540638698E-3</v>
      </c>
      <c r="H5777" s="2">
        <f t="shared" si="270"/>
        <v>53.850000000000364</v>
      </c>
      <c r="I5777" s="3">
        <f t="shared" si="271"/>
        <v>4.5481803055769359E-3</v>
      </c>
    </row>
    <row r="5778" spans="2:9" x14ac:dyDescent="0.25">
      <c r="B5778" s="1">
        <v>43648</v>
      </c>
      <c r="C5778" s="2">
        <v>11910.3</v>
      </c>
      <c r="D5778" s="2">
        <v>11890.3</v>
      </c>
      <c r="E5778" s="2">
        <v>11917.45</v>
      </c>
      <c r="F5778" s="2">
        <v>11814.7</v>
      </c>
      <c r="G5778" s="3">
        <f t="shared" si="272"/>
        <v>3.767192556634269E-3</v>
      </c>
      <c r="H5778" s="2">
        <f t="shared" si="270"/>
        <v>102.75</v>
      </c>
      <c r="I5778" s="3">
        <f t="shared" si="271"/>
        <v>8.6414976913955083E-3</v>
      </c>
    </row>
    <row r="5779" spans="2:9" x14ac:dyDescent="0.25">
      <c r="B5779" s="1">
        <v>43649</v>
      </c>
      <c r="C5779" s="2">
        <v>11916.75</v>
      </c>
      <c r="D5779" s="2">
        <v>11932.15</v>
      </c>
      <c r="E5779" s="2">
        <v>11945.2</v>
      </c>
      <c r="F5779" s="2">
        <v>11887.05</v>
      </c>
      <c r="G5779" s="3">
        <f t="shared" si="272"/>
        <v>5.4154807183715015E-4</v>
      </c>
      <c r="H5779" s="2">
        <f t="shared" si="270"/>
        <v>58.150000000001455</v>
      </c>
      <c r="I5779" s="3">
        <f t="shared" si="271"/>
        <v>4.8733882829164448E-3</v>
      </c>
    </row>
    <row r="5780" spans="2:9" x14ac:dyDescent="0.25">
      <c r="B5780" s="1">
        <v>43650</v>
      </c>
      <c r="C5780" s="2">
        <v>11946.75</v>
      </c>
      <c r="D5780" s="2">
        <v>11928.8</v>
      </c>
      <c r="E5780" s="2">
        <v>11969.25</v>
      </c>
      <c r="F5780" s="2">
        <v>11923.65</v>
      </c>
      <c r="G5780" s="3">
        <f t="shared" si="272"/>
        <v>2.5174649128327786E-3</v>
      </c>
      <c r="H5780" s="2">
        <f t="shared" si="270"/>
        <v>45.600000000000364</v>
      </c>
      <c r="I5780" s="3">
        <f t="shared" si="271"/>
        <v>3.8226812420361113E-3</v>
      </c>
    </row>
    <row r="5781" spans="2:9" x14ac:dyDescent="0.25">
      <c r="B5781" s="1">
        <v>43651</v>
      </c>
      <c r="C5781" s="2">
        <v>11811.15</v>
      </c>
      <c r="D5781" s="2">
        <v>11964.75</v>
      </c>
      <c r="E5781" s="2">
        <v>11981.75</v>
      </c>
      <c r="F5781" s="2">
        <v>11797.9</v>
      </c>
      <c r="G5781" s="3">
        <f t="shared" si="272"/>
        <v>-1.1350367254692739E-2</v>
      </c>
      <c r="H5781" s="2">
        <f t="shared" si="270"/>
        <v>183.85000000000036</v>
      </c>
      <c r="I5781" s="3">
        <f t="shared" si="271"/>
        <v>1.5365970872772132E-2</v>
      </c>
    </row>
    <row r="5782" spans="2:9" x14ac:dyDescent="0.25">
      <c r="B5782" s="1">
        <v>43654</v>
      </c>
      <c r="C5782" s="2">
        <v>11558.6</v>
      </c>
      <c r="D5782" s="2">
        <v>11770.4</v>
      </c>
      <c r="E5782" s="2">
        <v>11771.9</v>
      </c>
      <c r="F5782" s="2">
        <v>11523.3</v>
      </c>
      <c r="G5782" s="3">
        <f t="shared" si="272"/>
        <v>-2.1382337875651358E-2</v>
      </c>
      <c r="H5782" s="2">
        <f t="shared" si="270"/>
        <v>248.60000000000036</v>
      </c>
      <c r="I5782" s="3">
        <f t="shared" si="271"/>
        <v>2.1120777543668895E-2</v>
      </c>
    </row>
    <row r="5783" spans="2:9" x14ac:dyDescent="0.25">
      <c r="B5783" s="1">
        <v>43655</v>
      </c>
      <c r="C5783" s="2">
        <v>11555.9</v>
      </c>
      <c r="D5783" s="2">
        <v>11531.6</v>
      </c>
      <c r="E5783" s="2">
        <v>11582.55</v>
      </c>
      <c r="F5783" s="2">
        <v>11461</v>
      </c>
      <c r="G5783" s="3">
        <f t="shared" si="272"/>
        <v>-2.335923035662324E-4</v>
      </c>
      <c r="H5783" s="2">
        <f t="shared" si="270"/>
        <v>121.54999999999927</v>
      </c>
      <c r="I5783" s="3">
        <f t="shared" si="271"/>
        <v>1.0540601477678662E-2</v>
      </c>
    </row>
    <row r="5784" spans="2:9" x14ac:dyDescent="0.25">
      <c r="B5784" s="1">
        <v>43656</v>
      </c>
      <c r="C5784" s="2">
        <v>11498.9</v>
      </c>
      <c r="D5784" s="2">
        <v>11536.15</v>
      </c>
      <c r="E5784" s="2">
        <v>11593.7</v>
      </c>
      <c r="F5784" s="2">
        <v>11475.65</v>
      </c>
      <c r="G5784" s="3">
        <f t="shared" si="272"/>
        <v>-4.93254527990028E-3</v>
      </c>
      <c r="H5784" s="2">
        <f t="shared" si="270"/>
        <v>118.05000000000109</v>
      </c>
      <c r="I5784" s="3">
        <f t="shared" si="271"/>
        <v>1.0233050021020974E-2</v>
      </c>
    </row>
    <row r="5785" spans="2:9" x14ac:dyDescent="0.25">
      <c r="B5785" s="1">
        <v>43657</v>
      </c>
      <c r="C5785" s="2">
        <v>11582.9</v>
      </c>
      <c r="D5785" s="2">
        <v>11561.45</v>
      </c>
      <c r="E5785" s="2">
        <v>11599</v>
      </c>
      <c r="F5785" s="2">
        <v>11519.5</v>
      </c>
      <c r="G5785" s="3">
        <f t="shared" si="272"/>
        <v>7.3050465696717914E-3</v>
      </c>
      <c r="H5785" s="2">
        <f t="shared" si="270"/>
        <v>79.5</v>
      </c>
      <c r="I5785" s="3">
        <f t="shared" si="271"/>
        <v>6.8763001180647751E-3</v>
      </c>
    </row>
    <row r="5786" spans="2:9" x14ac:dyDescent="0.25">
      <c r="B5786" s="1">
        <v>43658</v>
      </c>
      <c r="C5786" s="2">
        <v>11552.5</v>
      </c>
      <c r="D5786" s="2">
        <v>11601.15</v>
      </c>
      <c r="E5786" s="2">
        <v>11639.55</v>
      </c>
      <c r="F5786" s="2">
        <v>11538.6</v>
      </c>
      <c r="G5786" s="3">
        <f t="shared" si="272"/>
        <v>-2.6245586165812851E-3</v>
      </c>
      <c r="H5786" s="2">
        <f t="shared" si="270"/>
        <v>100.94999999999891</v>
      </c>
      <c r="I5786" s="3">
        <f t="shared" si="271"/>
        <v>8.7017235360286622E-3</v>
      </c>
    </row>
    <row r="5787" spans="2:9" x14ac:dyDescent="0.25">
      <c r="B5787" s="1">
        <v>43661</v>
      </c>
      <c r="C5787" s="2">
        <v>11588.35</v>
      </c>
      <c r="D5787" s="2">
        <v>11614.75</v>
      </c>
      <c r="E5787" s="2">
        <v>11618.4</v>
      </c>
      <c r="F5787" s="2">
        <v>11532.3</v>
      </c>
      <c r="G5787" s="3">
        <f t="shared" si="272"/>
        <v>3.1032244103008644E-3</v>
      </c>
      <c r="H5787" s="2">
        <f t="shared" si="270"/>
        <v>86.100000000000364</v>
      </c>
      <c r="I5787" s="3">
        <f t="shared" si="271"/>
        <v>7.4129877956908554E-3</v>
      </c>
    </row>
    <row r="5788" spans="2:9" x14ac:dyDescent="0.25">
      <c r="B5788" s="1">
        <v>43662</v>
      </c>
      <c r="C5788" s="2">
        <v>11662.6</v>
      </c>
      <c r="D5788" s="2">
        <v>11596.65</v>
      </c>
      <c r="E5788" s="2">
        <v>11670.05</v>
      </c>
      <c r="F5788" s="2">
        <v>11573.95</v>
      </c>
      <c r="G5788" s="3">
        <f t="shared" si="272"/>
        <v>6.4072969836086457E-3</v>
      </c>
      <c r="H5788" s="2">
        <f t="shared" si="270"/>
        <v>96.099999999998545</v>
      </c>
      <c r="I5788" s="3">
        <f t="shared" si="271"/>
        <v>8.2868759512444157E-3</v>
      </c>
    </row>
    <row r="5789" spans="2:9" x14ac:dyDescent="0.25">
      <c r="B5789" s="1">
        <v>43663</v>
      </c>
      <c r="C5789" s="2">
        <v>11687.5</v>
      </c>
      <c r="D5789" s="2">
        <v>11670.75</v>
      </c>
      <c r="E5789" s="2">
        <v>11706.65</v>
      </c>
      <c r="F5789" s="2">
        <v>11651.15</v>
      </c>
      <c r="G5789" s="3">
        <f t="shared" si="272"/>
        <v>2.1350299247164806E-3</v>
      </c>
      <c r="H5789" s="2">
        <f t="shared" si="270"/>
        <v>55.5</v>
      </c>
      <c r="I5789" s="3">
        <f t="shared" si="271"/>
        <v>4.7554784396889663E-3</v>
      </c>
    </row>
    <row r="5790" spans="2:9" x14ac:dyDescent="0.25">
      <c r="B5790" s="1">
        <v>43664</v>
      </c>
      <c r="C5790" s="2">
        <v>11596.9</v>
      </c>
      <c r="D5790" s="2">
        <v>11675.6</v>
      </c>
      <c r="E5790" s="2">
        <v>11677.15</v>
      </c>
      <c r="F5790" s="2">
        <v>11582.4</v>
      </c>
      <c r="G5790" s="3">
        <f t="shared" si="272"/>
        <v>-7.7518716577540392E-3</v>
      </c>
      <c r="H5790" s="2">
        <f t="shared" si="270"/>
        <v>94.75</v>
      </c>
      <c r="I5790" s="3">
        <f t="shared" si="271"/>
        <v>8.1152146356504168E-3</v>
      </c>
    </row>
    <row r="5791" spans="2:9" x14ac:dyDescent="0.25">
      <c r="B5791" s="1">
        <v>43665</v>
      </c>
      <c r="C5791" s="2">
        <v>11419.25</v>
      </c>
      <c r="D5791" s="2">
        <v>11627.95</v>
      </c>
      <c r="E5791" s="2">
        <v>11640.35</v>
      </c>
      <c r="F5791" s="2">
        <v>11399.3</v>
      </c>
      <c r="G5791" s="3">
        <f t="shared" si="272"/>
        <v>-1.531874897601937E-2</v>
      </c>
      <c r="H5791" s="2">
        <f t="shared" si="270"/>
        <v>241.05000000000109</v>
      </c>
      <c r="I5791" s="3">
        <f t="shared" si="271"/>
        <v>2.0730223298173891E-2</v>
      </c>
    </row>
    <row r="5792" spans="2:9" x14ac:dyDescent="0.25">
      <c r="B5792" s="1">
        <v>43668</v>
      </c>
      <c r="C5792" s="2">
        <v>11346.2</v>
      </c>
      <c r="D5792" s="2">
        <v>11392.85</v>
      </c>
      <c r="E5792" s="2">
        <v>11398.15</v>
      </c>
      <c r="F5792" s="2">
        <v>11301.25</v>
      </c>
      <c r="G5792" s="3">
        <f t="shared" si="272"/>
        <v>-6.3970926286751606E-3</v>
      </c>
      <c r="H5792" s="2">
        <f t="shared" si="270"/>
        <v>96.899999999999636</v>
      </c>
      <c r="I5792" s="3">
        <f t="shared" si="271"/>
        <v>8.5053344861030934E-3</v>
      </c>
    </row>
    <row r="5793" spans="2:9" x14ac:dyDescent="0.25">
      <c r="B5793" s="1">
        <v>43669</v>
      </c>
      <c r="C5793" s="2">
        <v>11331.05</v>
      </c>
      <c r="D5793" s="2">
        <v>11372.25</v>
      </c>
      <c r="E5793" s="2">
        <v>11398.15</v>
      </c>
      <c r="F5793" s="2">
        <v>11302.8</v>
      </c>
      <c r="G5793" s="3">
        <f t="shared" si="272"/>
        <v>-1.3352488057677414E-3</v>
      </c>
      <c r="H5793" s="2">
        <f t="shared" si="270"/>
        <v>95.350000000000364</v>
      </c>
      <c r="I5793" s="3">
        <f t="shared" si="271"/>
        <v>8.384444591000054E-3</v>
      </c>
    </row>
    <row r="5794" spans="2:9" x14ac:dyDescent="0.25">
      <c r="B5794" s="1">
        <v>43670</v>
      </c>
      <c r="C5794" s="2">
        <v>11271.3</v>
      </c>
      <c r="D5794" s="2">
        <v>11322.45</v>
      </c>
      <c r="E5794" s="2">
        <v>11359.75</v>
      </c>
      <c r="F5794" s="2">
        <v>11229.8</v>
      </c>
      <c r="G5794" s="3">
        <f t="shared" si="272"/>
        <v>-5.2731212023598983E-3</v>
      </c>
      <c r="H5794" s="2">
        <f t="shared" si="270"/>
        <v>129.95000000000073</v>
      </c>
      <c r="I5794" s="3">
        <f t="shared" si="271"/>
        <v>1.1477197956272778E-2</v>
      </c>
    </row>
    <row r="5795" spans="2:9" x14ac:dyDescent="0.25">
      <c r="B5795" s="1">
        <v>43671</v>
      </c>
      <c r="C5795" s="2">
        <v>11252.15</v>
      </c>
      <c r="D5795" s="2">
        <v>11290.4</v>
      </c>
      <c r="E5795" s="2">
        <v>11361.4</v>
      </c>
      <c r="F5795" s="2">
        <v>11239.35</v>
      </c>
      <c r="G5795" s="3">
        <f t="shared" si="272"/>
        <v>-1.6990054385918052E-3</v>
      </c>
      <c r="H5795" s="2">
        <f t="shared" si="270"/>
        <v>122.04999999999927</v>
      </c>
      <c r="I5795" s="3">
        <f t="shared" si="271"/>
        <v>1.0810068730957209E-2</v>
      </c>
    </row>
    <row r="5796" spans="2:9" x14ac:dyDescent="0.25">
      <c r="B5796" s="1">
        <v>43672</v>
      </c>
      <c r="C5796" s="2">
        <v>11284.3</v>
      </c>
      <c r="D5796" s="2">
        <v>11247.45</v>
      </c>
      <c r="E5796" s="2">
        <v>11307.6</v>
      </c>
      <c r="F5796" s="2">
        <v>11210.05</v>
      </c>
      <c r="G5796" s="3">
        <f t="shared" si="272"/>
        <v>2.8572317290473936E-3</v>
      </c>
      <c r="H5796" s="2">
        <f t="shared" si="270"/>
        <v>97.550000000001091</v>
      </c>
      <c r="I5796" s="3">
        <f t="shared" si="271"/>
        <v>8.6730770085664821E-3</v>
      </c>
    </row>
    <row r="5797" spans="2:9" x14ac:dyDescent="0.25">
      <c r="B5797" s="1">
        <v>43675</v>
      </c>
      <c r="C5797" s="2">
        <v>11189.2</v>
      </c>
      <c r="D5797" s="2">
        <v>11307.5</v>
      </c>
      <c r="E5797" s="2">
        <v>11310.95</v>
      </c>
      <c r="F5797" s="2">
        <v>11152.4</v>
      </c>
      <c r="G5797" s="3">
        <f t="shared" si="272"/>
        <v>-8.4276384002550664E-3</v>
      </c>
      <c r="H5797" s="2">
        <f t="shared" si="270"/>
        <v>158.55000000000109</v>
      </c>
      <c r="I5797" s="3">
        <f t="shared" si="271"/>
        <v>1.4021667035153756E-2</v>
      </c>
    </row>
    <row r="5798" spans="2:9" x14ac:dyDescent="0.25">
      <c r="B5798" s="1">
        <v>43676</v>
      </c>
      <c r="C5798" s="2">
        <v>11085.4</v>
      </c>
      <c r="D5798" s="2">
        <v>11213.7</v>
      </c>
      <c r="E5798" s="2">
        <v>11267.45</v>
      </c>
      <c r="F5798" s="2">
        <v>11072.65</v>
      </c>
      <c r="G5798" s="3">
        <f t="shared" si="272"/>
        <v>-9.2768026311086382E-3</v>
      </c>
      <c r="H5798" s="2">
        <f t="shared" si="270"/>
        <v>194.80000000000109</v>
      </c>
      <c r="I5798" s="3">
        <f t="shared" si="271"/>
        <v>1.7371607943854488E-2</v>
      </c>
    </row>
    <row r="5799" spans="2:9" x14ac:dyDescent="0.25">
      <c r="B5799" s="1">
        <v>43677</v>
      </c>
      <c r="C5799" s="2">
        <v>11118</v>
      </c>
      <c r="D5799" s="2">
        <v>11034.05</v>
      </c>
      <c r="E5799" s="2">
        <v>11145.3</v>
      </c>
      <c r="F5799" s="2">
        <v>10999.4</v>
      </c>
      <c r="G5799" s="3">
        <f t="shared" si="272"/>
        <v>2.94080502282279E-3</v>
      </c>
      <c r="H5799" s="2">
        <f t="shared" si="270"/>
        <v>145.89999999999964</v>
      </c>
      <c r="I5799" s="3">
        <f t="shared" si="271"/>
        <v>1.3222706078003965E-2</v>
      </c>
    </row>
    <row r="5800" spans="2:9" x14ac:dyDescent="0.25">
      <c r="B5800" s="1">
        <v>43678</v>
      </c>
      <c r="C5800" s="2">
        <v>10980</v>
      </c>
      <c r="D5800" s="2">
        <v>11060.2</v>
      </c>
      <c r="E5800" s="2">
        <v>11076.75</v>
      </c>
      <c r="F5800" s="2">
        <v>10881</v>
      </c>
      <c r="G5800" s="3">
        <f t="shared" si="272"/>
        <v>-1.2412304371289817E-2</v>
      </c>
      <c r="H5800" s="2">
        <f t="shared" si="270"/>
        <v>195.75</v>
      </c>
      <c r="I5800" s="3">
        <f t="shared" si="271"/>
        <v>1.7698594962116416E-2</v>
      </c>
    </row>
    <row r="5801" spans="2:9" x14ac:dyDescent="0.25">
      <c r="B5801" s="1">
        <v>43679</v>
      </c>
      <c r="C5801" s="2">
        <v>10997.35</v>
      </c>
      <c r="D5801" s="2">
        <v>10930.3</v>
      </c>
      <c r="E5801" s="2">
        <v>11080.15</v>
      </c>
      <c r="F5801" s="2">
        <v>10848.95</v>
      </c>
      <c r="G5801" s="3">
        <f t="shared" si="272"/>
        <v>1.5801457194899449E-3</v>
      </c>
      <c r="H5801" s="2">
        <f t="shared" si="270"/>
        <v>231.19999999999891</v>
      </c>
      <c r="I5801" s="3">
        <f t="shared" si="271"/>
        <v>2.1152209911896189E-2</v>
      </c>
    </row>
    <row r="5802" spans="2:9" x14ac:dyDescent="0.25">
      <c r="B5802" s="1">
        <v>43682</v>
      </c>
      <c r="C5802" s="2">
        <v>10862.6</v>
      </c>
      <c r="D5802" s="2">
        <v>10895.8</v>
      </c>
      <c r="E5802" s="2">
        <v>10895.8</v>
      </c>
      <c r="F5802" s="2">
        <v>10782.6</v>
      </c>
      <c r="G5802" s="3">
        <f t="shared" si="272"/>
        <v>-1.2252951847490534E-2</v>
      </c>
      <c r="H5802" s="2">
        <f t="shared" si="270"/>
        <v>113.19999999999891</v>
      </c>
      <c r="I5802" s="3">
        <f t="shared" si="271"/>
        <v>1.0389324326804724E-2</v>
      </c>
    </row>
    <row r="5803" spans="2:9" x14ac:dyDescent="0.25">
      <c r="B5803" s="1">
        <v>43683</v>
      </c>
      <c r="C5803" s="2">
        <v>10948.25</v>
      </c>
      <c r="D5803" s="2">
        <v>10815.4</v>
      </c>
      <c r="E5803" s="2">
        <v>11018.55</v>
      </c>
      <c r="F5803" s="2">
        <v>10813.8</v>
      </c>
      <c r="G5803" s="3">
        <f t="shared" si="272"/>
        <v>7.8848526135546493E-3</v>
      </c>
      <c r="H5803" s="2">
        <f t="shared" si="270"/>
        <v>204.75</v>
      </c>
      <c r="I5803" s="3">
        <f t="shared" si="271"/>
        <v>1.8931338646744459E-2</v>
      </c>
    </row>
    <row r="5804" spans="2:9" x14ac:dyDescent="0.25">
      <c r="B5804" s="1">
        <v>43684</v>
      </c>
      <c r="C5804" s="2">
        <v>10855.5</v>
      </c>
      <c r="D5804" s="2">
        <v>10958.1</v>
      </c>
      <c r="E5804" s="2">
        <v>10975.65</v>
      </c>
      <c r="F5804" s="2">
        <v>10835.9</v>
      </c>
      <c r="G5804" s="3">
        <f t="shared" si="272"/>
        <v>-8.4716735551343403E-3</v>
      </c>
      <c r="H5804" s="2">
        <f t="shared" si="270"/>
        <v>139.75</v>
      </c>
      <c r="I5804" s="3">
        <f t="shared" si="271"/>
        <v>1.2753123260419233E-2</v>
      </c>
    </row>
    <row r="5805" spans="2:9" x14ac:dyDescent="0.25">
      <c r="B5805" s="1">
        <v>43685</v>
      </c>
      <c r="C5805" s="2">
        <v>11032.45</v>
      </c>
      <c r="D5805" s="2">
        <v>10899.2</v>
      </c>
      <c r="E5805" s="2">
        <v>11058.05</v>
      </c>
      <c r="F5805" s="2">
        <v>10842.95</v>
      </c>
      <c r="G5805" s="3">
        <f t="shared" si="272"/>
        <v>1.6300492837732161E-2</v>
      </c>
      <c r="H5805" s="2">
        <f t="shared" si="270"/>
        <v>215.09999999999854</v>
      </c>
      <c r="I5805" s="3">
        <f t="shared" si="271"/>
        <v>1.9735393423370388E-2</v>
      </c>
    </row>
    <row r="5806" spans="2:9" x14ac:dyDescent="0.25">
      <c r="B5806" s="1">
        <v>43686</v>
      </c>
      <c r="C5806" s="2">
        <v>11109.65</v>
      </c>
      <c r="D5806" s="2">
        <v>11087.9</v>
      </c>
      <c r="E5806" s="2">
        <v>11181.45</v>
      </c>
      <c r="F5806" s="2">
        <v>11062.8</v>
      </c>
      <c r="G5806" s="3">
        <f t="shared" si="272"/>
        <v>6.9975390779020152E-3</v>
      </c>
      <c r="H5806" s="2">
        <f t="shared" si="270"/>
        <v>118.65000000000146</v>
      </c>
      <c r="I5806" s="3">
        <f t="shared" si="271"/>
        <v>1.0700854084181987E-2</v>
      </c>
    </row>
    <row r="5807" spans="2:9" x14ac:dyDescent="0.25">
      <c r="B5807" s="1">
        <v>43690</v>
      </c>
      <c r="C5807" s="2">
        <v>10925.85</v>
      </c>
      <c r="D5807" s="2">
        <v>11139.4</v>
      </c>
      <c r="E5807" s="2">
        <v>11145.9</v>
      </c>
      <c r="F5807" s="2">
        <v>10901.6</v>
      </c>
      <c r="G5807" s="3">
        <f t="shared" si="272"/>
        <v>-1.6544175559085939E-2</v>
      </c>
      <c r="H5807" s="2">
        <f t="shared" si="270"/>
        <v>244.29999999999927</v>
      </c>
      <c r="I5807" s="3">
        <f t="shared" si="271"/>
        <v>2.193116325834419E-2</v>
      </c>
    </row>
    <row r="5808" spans="2:9" x14ac:dyDescent="0.25">
      <c r="B5808" s="1">
        <v>43691</v>
      </c>
      <c r="C5808" s="2">
        <v>11029.4</v>
      </c>
      <c r="D5808" s="2">
        <v>11003.25</v>
      </c>
      <c r="E5808" s="2">
        <v>11078.15</v>
      </c>
      <c r="F5808" s="2">
        <v>10935.6</v>
      </c>
      <c r="G5808" s="3">
        <f t="shared" si="272"/>
        <v>9.4775234878750059E-3</v>
      </c>
      <c r="H5808" s="2">
        <f t="shared" si="270"/>
        <v>142.54999999999927</v>
      </c>
      <c r="I5808" s="3">
        <f t="shared" si="271"/>
        <v>1.2955263217685618E-2</v>
      </c>
    </row>
    <row r="5809" spans="2:9" x14ac:dyDescent="0.25">
      <c r="B5809" s="1">
        <v>43693</v>
      </c>
      <c r="C5809" s="2">
        <v>11047.8</v>
      </c>
      <c r="D5809" s="2">
        <v>11043.65</v>
      </c>
      <c r="E5809" s="2">
        <v>11068.65</v>
      </c>
      <c r="F5809" s="2">
        <v>10924.3</v>
      </c>
      <c r="G5809" s="3">
        <f t="shared" si="272"/>
        <v>1.6682684461530872E-3</v>
      </c>
      <c r="H5809" s="2">
        <f t="shared" si="270"/>
        <v>144.35000000000036</v>
      </c>
      <c r="I5809" s="3">
        <f t="shared" si="271"/>
        <v>1.3070859724819273E-2</v>
      </c>
    </row>
    <row r="5810" spans="2:9" x14ac:dyDescent="0.25">
      <c r="B5810" s="1">
        <v>43696</v>
      </c>
      <c r="C5810" s="2">
        <v>11053.9</v>
      </c>
      <c r="D5810" s="2">
        <v>11094.8</v>
      </c>
      <c r="E5810" s="2">
        <v>11146.9</v>
      </c>
      <c r="F5810" s="2">
        <v>11037.85</v>
      </c>
      <c r="G5810" s="3">
        <f t="shared" si="272"/>
        <v>5.5214612864107337E-4</v>
      </c>
      <c r="H5810" s="2">
        <f t="shared" si="270"/>
        <v>109.04999999999927</v>
      </c>
      <c r="I5810" s="3">
        <f t="shared" si="271"/>
        <v>9.8289288675775383E-3</v>
      </c>
    </row>
    <row r="5811" spans="2:9" x14ac:dyDescent="0.25">
      <c r="B5811" s="1">
        <v>43697</v>
      </c>
      <c r="C5811" s="2">
        <v>11017</v>
      </c>
      <c r="D5811" s="2">
        <v>11063.9</v>
      </c>
      <c r="E5811" s="2">
        <v>11076.3</v>
      </c>
      <c r="F5811" s="2">
        <v>10985.3</v>
      </c>
      <c r="G5811" s="3">
        <f t="shared" si="272"/>
        <v>-3.338188331719949E-3</v>
      </c>
      <c r="H5811" s="2">
        <f t="shared" si="270"/>
        <v>91</v>
      </c>
      <c r="I5811" s="3">
        <f t="shared" si="271"/>
        <v>8.2249478032158652E-3</v>
      </c>
    </row>
    <row r="5812" spans="2:9" x14ac:dyDescent="0.25">
      <c r="B5812" s="1">
        <v>43698</v>
      </c>
      <c r="C5812" s="2">
        <v>10918.7</v>
      </c>
      <c r="D5812" s="2">
        <v>11018.15</v>
      </c>
      <c r="E5812" s="2">
        <v>11034.2</v>
      </c>
      <c r="F5812" s="2">
        <v>10906.65</v>
      </c>
      <c r="G5812" s="3">
        <f t="shared" si="272"/>
        <v>-8.9225742035036193E-3</v>
      </c>
      <c r="H5812" s="2">
        <f t="shared" si="270"/>
        <v>127.55000000000109</v>
      </c>
      <c r="I5812" s="3">
        <f t="shared" si="271"/>
        <v>1.1576353562077217E-2</v>
      </c>
    </row>
    <row r="5813" spans="2:9" x14ac:dyDescent="0.25">
      <c r="B5813" s="1">
        <v>43699</v>
      </c>
      <c r="C5813" s="2">
        <v>10741.35</v>
      </c>
      <c r="D5813" s="2">
        <v>10905.3</v>
      </c>
      <c r="E5813" s="2">
        <v>10908.25</v>
      </c>
      <c r="F5813" s="2">
        <v>10718.3</v>
      </c>
      <c r="G5813" s="3">
        <f t="shared" si="272"/>
        <v>-1.6242776154670513E-2</v>
      </c>
      <c r="H5813" s="2">
        <f t="shared" si="270"/>
        <v>189.95000000000073</v>
      </c>
      <c r="I5813" s="3">
        <f t="shared" si="271"/>
        <v>1.7418136135640538E-2</v>
      </c>
    </row>
    <row r="5814" spans="2:9" x14ac:dyDescent="0.25">
      <c r="B5814" s="1">
        <v>43700</v>
      </c>
      <c r="C5814" s="2">
        <v>10829.35</v>
      </c>
      <c r="D5814" s="2">
        <v>10699.6</v>
      </c>
      <c r="E5814" s="2">
        <v>10862.55</v>
      </c>
      <c r="F5814" s="2">
        <v>10637.15</v>
      </c>
      <c r="G5814" s="3">
        <f t="shared" si="272"/>
        <v>8.1926387279065427E-3</v>
      </c>
      <c r="H5814" s="2">
        <f t="shared" si="270"/>
        <v>225.39999999999964</v>
      </c>
      <c r="I5814" s="3">
        <f t="shared" si="271"/>
        <v>2.1066208082545106E-2</v>
      </c>
    </row>
    <row r="5815" spans="2:9" x14ac:dyDescent="0.25">
      <c r="B5815" s="1">
        <v>43703</v>
      </c>
      <c r="C5815" s="2">
        <v>11057.85</v>
      </c>
      <c r="D5815" s="2">
        <v>11000.3</v>
      </c>
      <c r="E5815" s="2">
        <v>11070.3</v>
      </c>
      <c r="F5815" s="2">
        <v>10756.55</v>
      </c>
      <c r="G5815" s="3">
        <f t="shared" si="272"/>
        <v>2.1100066024276609E-2</v>
      </c>
      <c r="H5815" s="2">
        <f t="shared" si="270"/>
        <v>313.75</v>
      </c>
      <c r="I5815" s="3">
        <f t="shared" si="271"/>
        <v>2.8521949401379965E-2</v>
      </c>
    </row>
    <row r="5816" spans="2:9" x14ac:dyDescent="0.25">
      <c r="B5816" s="1">
        <v>43704</v>
      </c>
      <c r="C5816" s="2">
        <v>11105.35</v>
      </c>
      <c r="D5816" s="2">
        <v>11106.55</v>
      </c>
      <c r="E5816" s="2">
        <v>11141.75</v>
      </c>
      <c r="F5816" s="2">
        <v>11049.5</v>
      </c>
      <c r="G5816" s="3">
        <f t="shared" si="272"/>
        <v>4.2955909150512728E-3</v>
      </c>
      <c r="H5816" s="2">
        <f t="shared" si="270"/>
        <v>92.25</v>
      </c>
      <c r="I5816" s="3">
        <f t="shared" si="271"/>
        <v>8.3059095758809005E-3</v>
      </c>
    </row>
    <row r="5817" spans="2:9" x14ac:dyDescent="0.25">
      <c r="B5817" s="1">
        <v>43705</v>
      </c>
      <c r="C5817" s="2">
        <v>11046.1</v>
      </c>
      <c r="D5817" s="2">
        <v>11101.3</v>
      </c>
      <c r="E5817" s="2">
        <v>11129.65</v>
      </c>
      <c r="F5817" s="2">
        <v>10987.65</v>
      </c>
      <c r="G5817" s="3">
        <f t="shared" si="272"/>
        <v>-5.3352663355950014E-3</v>
      </c>
      <c r="H5817" s="2">
        <f t="shared" si="270"/>
        <v>142</v>
      </c>
      <c r="I5817" s="3">
        <f t="shared" si="271"/>
        <v>1.2791294713231784E-2</v>
      </c>
    </row>
    <row r="5818" spans="2:9" x14ac:dyDescent="0.25">
      <c r="B5818" s="1">
        <v>43706</v>
      </c>
      <c r="C5818" s="2">
        <v>10948.3</v>
      </c>
      <c r="D5818" s="2">
        <v>10996.05</v>
      </c>
      <c r="E5818" s="2">
        <v>11021.1</v>
      </c>
      <c r="F5818" s="2">
        <v>10922.4</v>
      </c>
      <c r="G5818" s="3">
        <f t="shared" si="272"/>
        <v>-8.8538036048922963E-3</v>
      </c>
      <c r="H5818" s="2">
        <f t="shared" si="270"/>
        <v>98.700000000000728</v>
      </c>
      <c r="I5818" s="3">
        <f t="shared" si="271"/>
        <v>8.9759504549361581E-3</v>
      </c>
    </row>
    <row r="5819" spans="2:9" x14ac:dyDescent="0.25">
      <c r="B5819" s="1">
        <v>43707</v>
      </c>
      <c r="C5819" s="2">
        <v>11023.25</v>
      </c>
      <c r="D5819" s="2">
        <v>10987.8</v>
      </c>
      <c r="E5819" s="2">
        <v>11042.6</v>
      </c>
      <c r="F5819" s="2">
        <v>10874.8</v>
      </c>
      <c r="G5819" s="3">
        <f t="shared" si="272"/>
        <v>6.845811678525493E-3</v>
      </c>
      <c r="H5819" s="2">
        <f t="shared" si="270"/>
        <v>167.80000000000109</v>
      </c>
      <c r="I5819" s="3">
        <f t="shared" si="271"/>
        <v>1.52714829174176E-2</v>
      </c>
    </row>
    <row r="5820" spans="2:9" x14ac:dyDescent="0.25">
      <c r="B5820" s="1">
        <v>43711</v>
      </c>
      <c r="C5820" s="2">
        <v>10797.9</v>
      </c>
      <c r="D5820" s="2">
        <v>10960.95</v>
      </c>
      <c r="E5820" s="2">
        <v>10967.5</v>
      </c>
      <c r="F5820" s="2">
        <v>10772.7</v>
      </c>
      <c r="G5820" s="3">
        <f t="shared" si="272"/>
        <v>-2.0443154242170025E-2</v>
      </c>
      <c r="H5820" s="2">
        <f t="shared" si="270"/>
        <v>194.79999999999927</v>
      </c>
      <c r="I5820" s="3">
        <f t="shared" si="271"/>
        <v>1.7772182155743731E-2</v>
      </c>
    </row>
    <row r="5821" spans="2:9" x14ac:dyDescent="0.25">
      <c r="B5821" s="1">
        <v>43712</v>
      </c>
      <c r="C5821" s="2">
        <v>10844.65</v>
      </c>
      <c r="D5821" s="2">
        <v>10790.4</v>
      </c>
      <c r="E5821" s="2">
        <v>10858.75</v>
      </c>
      <c r="F5821" s="2">
        <v>10746.35</v>
      </c>
      <c r="G5821" s="3">
        <f t="shared" si="272"/>
        <v>4.3295455597847088E-3</v>
      </c>
      <c r="H5821" s="2">
        <f t="shared" si="270"/>
        <v>112.39999999999964</v>
      </c>
      <c r="I5821" s="3">
        <f t="shared" si="271"/>
        <v>1.0416666666666633E-2</v>
      </c>
    </row>
    <row r="5822" spans="2:9" x14ac:dyDescent="0.25">
      <c r="B5822" s="1">
        <v>43713</v>
      </c>
      <c r="C5822" s="2">
        <v>10847.9</v>
      </c>
      <c r="D5822" s="2">
        <v>10860.95</v>
      </c>
      <c r="E5822" s="2">
        <v>10920.1</v>
      </c>
      <c r="F5822" s="2">
        <v>10816</v>
      </c>
      <c r="G5822" s="3">
        <f t="shared" si="272"/>
        <v>2.9968694240944949E-4</v>
      </c>
      <c r="H5822" s="2">
        <f t="shared" si="270"/>
        <v>104.10000000000036</v>
      </c>
      <c r="I5822" s="3">
        <f t="shared" si="271"/>
        <v>9.5847969100309235E-3</v>
      </c>
    </row>
    <row r="5823" spans="2:9" x14ac:dyDescent="0.25">
      <c r="B5823" s="1">
        <v>43714</v>
      </c>
      <c r="C5823" s="2">
        <v>10946.2</v>
      </c>
      <c r="D5823" s="2">
        <v>10883.8</v>
      </c>
      <c r="E5823" s="2">
        <v>10957.05</v>
      </c>
      <c r="F5823" s="2">
        <v>10867.45</v>
      </c>
      <c r="G5823" s="3">
        <f t="shared" si="272"/>
        <v>9.0616617041088254E-3</v>
      </c>
      <c r="H5823" s="2">
        <f t="shared" si="270"/>
        <v>89.599999999998545</v>
      </c>
      <c r="I5823" s="3">
        <f t="shared" si="271"/>
        <v>8.2324188243075528E-3</v>
      </c>
    </row>
    <row r="5824" spans="2:9" x14ac:dyDescent="0.25">
      <c r="B5824" s="1">
        <v>43717</v>
      </c>
      <c r="C5824" s="2">
        <v>11003.05</v>
      </c>
      <c r="D5824" s="2">
        <v>10936.7</v>
      </c>
      <c r="E5824" s="2">
        <v>11028.85</v>
      </c>
      <c r="F5824" s="2">
        <v>10889.8</v>
      </c>
      <c r="G5824" s="3">
        <f t="shared" si="272"/>
        <v>5.1935831612794914E-3</v>
      </c>
      <c r="H5824" s="2">
        <f t="shared" si="270"/>
        <v>139.05000000000109</v>
      </c>
      <c r="I5824" s="3">
        <f t="shared" si="271"/>
        <v>1.2714072800753526E-2</v>
      </c>
    </row>
    <row r="5825" spans="2:9" x14ac:dyDescent="0.25">
      <c r="B5825" s="1">
        <v>43719</v>
      </c>
      <c r="C5825" s="2">
        <v>11035.7</v>
      </c>
      <c r="D5825" s="2">
        <v>11028.5</v>
      </c>
      <c r="E5825" s="2">
        <v>11054.8</v>
      </c>
      <c r="F5825" s="2">
        <v>11011.65</v>
      </c>
      <c r="G5825" s="3">
        <f t="shared" si="272"/>
        <v>2.9673590504453173E-3</v>
      </c>
      <c r="H5825" s="2">
        <f t="shared" si="270"/>
        <v>43.149999999999636</v>
      </c>
      <c r="I5825" s="3">
        <f t="shared" si="271"/>
        <v>3.9125901074488498E-3</v>
      </c>
    </row>
    <row r="5826" spans="2:9" x14ac:dyDescent="0.25">
      <c r="B5826" s="1">
        <v>43720</v>
      </c>
      <c r="C5826" s="2">
        <v>10982.8</v>
      </c>
      <c r="D5826" s="2">
        <v>11058.3</v>
      </c>
      <c r="E5826" s="2">
        <v>11081.75</v>
      </c>
      <c r="F5826" s="2">
        <v>10964.95</v>
      </c>
      <c r="G5826" s="3">
        <f t="shared" si="272"/>
        <v>-4.7935337133123701E-3</v>
      </c>
      <c r="H5826" s="2">
        <f t="shared" si="270"/>
        <v>116.79999999999927</v>
      </c>
      <c r="I5826" s="3">
        <f t="shared" si="271"/>
        <v>1.0562202146803694E-2</v>
      </c>
    </row>
    <row r="5827" spans="2:9" x14ac:dyDescent="0.25">
      <c r="B5827" s="1">
        <v>43721</v>
      </c>
      <c r="C5827" s="2">
        <v>11075.9</v>
      </c>
      <c r="D5827" s="2">
        <v>10986.8</v>
      </c>
      <c r="E5827" s="2">
        <v>11084.45</v>
      </c>
      <c r="F5827" s="2">
        <v>10945.75</v>
      </c>
      <c r="G5827" s="3">
        <f t="shared" si="272"/>
        <v>8.4768911388717338E-3</v>
      </c>
      <c r="H5827" s="2">
        <f t="shared" si="270"/>
        <v>138.70000000000073</v>
      </c>
      <c r="I5827" s="3">
        <f t="shared" si="271"/>
        <v>1.2624239997087481E-2</v>
      </c>
    </row>
    <row r="5828" spans="2:9" x14ac:dyDescent="0.25">
      <c r="B5828" s="1">
        <v>43724</v>
      </c>
      <c r="C5828" s="2">
        <v>11003.5</v>
      </c>
      <c r="D5828" s="2">
        <v>10994.85</v>
      </c>
      <c r="E5828" s="2">
        <v>11052.7</v>
      </c>
      <c r="F5828" s="2">
        <v>10968.2</v>
      </c>
      <c r="G5828" s="3">
        <f t="shared" si="272"/>
        <v>-6.5367148493575833E-3</v>
      </c>
      <c r="H5828" s="2">
        <f t="shared" si="270"/>
        <v>84.5</v>
      </c>
      <c r="I5828" s="3">
        <f t="shared" si="271"/>
        <v>7.685416354020291E-3</v>
      </c>
    </row>
    <row r="5829" spans="2:9" x14ac:dyDescent="0.25">
      <c r="B5829" s="1">
        <v>43725</v>
      </c>
      <c r="C5829" s="2">
        <v>10817.6</v>
      </c>
      <c r="D5829" s="2">
        <v>11000.1</v>
      </c>
      <c r="E5829" s="2">
        <v>11000.1</v>
      </c>
      <c r="F5829" s="2">
        <v>10796.5</v>
      </c>
      <c r="G5829" s="3">
        <f t="shared" si="272"/>
        <v>-1.6894624437678862E-2</v>
      </c>
      <c r="H5829" s="2">
        <f t="shared" ref="H5829:H5892" si="273">E5829-F5829</f>
        <v>203.60000000000036</v>
      </c>
      <c r="I5829" s="3">
        <f t="shared" si="271"/>
        <v>1.8508922646157795E-2</v>
      </c>
    </row>
    <row r="5830" spans="2:9" x14ac:dyDescent="0.25">
      <c r="B5830" s="1">
        <v>43726</v>
      </c>
      <c r="C5830" s="2">
        <v>10840.65</v>
      </c>
      <c r="D5830" s="2">
        <v>10872.8</v>
      </c>
      <c r="E5830" s="2">
        <v>10885.15</v>
      </c>
      <c r="F5830" s="2">
        <v>10804.85</v>
      </c>
      <c r="G5830" s="3">
        <f t="shared" si="272"/>
        <v>2.1307868658482221E-3</v>
      </c>
      <c r="H5830" s="2">
        <f t="shared" si="273"/>
        <v>80.299999999999272</v>
      </c>
      <c r="I5830" s="3">
        <f t="shared" ref="I5830:I5893" si="274">H5830/D5830</f>
        <v>7.3854021043336842E-3</v>
      </c>
    </row>
    <row r="5831" spans="2:9" x14ac:dyDescent="0.25">
      <c r="B5831" s="1">
        <v>43727</v>
      </c>
      <c r="C5831" s="2">
        <v>10704.8</v>
      </c>
      <c r="D5831" s="2">
        <v>10845.2</v>
      </c>
      <c r="E5831" s="2">
        <v>10845.2</v>
      </c>
      <c r="F5831" s="2">
        <v>10670.25</v>
      </c>
      <c r="G5831" s="3">
        <f t="shared" ref="G5831:G5894" si="275">C5831/C5830-1</f>
        <v>-1.2531536393112996E-2</v>
      </c>
      <c r="H5831" s="2">
        <f t="shared" si="273"/>
        <v>174.95000000000073</v>
      </c>
      <c r="I5831" s="3">
        <f t="shared" si="274"/>
        <v>1.6131560506030384E-2</v>
      </c>
    </row>
    <row r="5832" spans="2:9" x14ac:dyDescent="0.25">
      <c r="B5832" s="1">
        <v>43728</v>
      </c>
      <c r="C5832" s="2">
        <v>11274.2</v>
      </c>
      <c r="D5832" s="2">
        <v>10746.8</v>
      </c>
      <c r="E5832" s="2">
        <v>11381.9</v>
      </c>
      <c r="F5832" s="2">
        <v>10691</v>
      </c>
      <c r="G5832" s="3">
        <f t="shared" si="275"/>
        <v>5.3191091846648275E-2</v>
      </c>
      <c r="H5832" s="2">
        <f t="shared" si="273"/>
        <v>690.89999999999964</v>
      </c>
      <c r="I5832" s="3">
        <f t="shared" si="274"/>
        <v>6.4288904604161215E-2</v>
      </c>
    </row>
    <row r="5833" spans="2:9" x14ac:dyDescent="0.25">
      <c r="B5833" s="1">
        <v>43731</v>
      </c>
      <c r="C5833" s="2">
        <v>11600.2</v>
      </c>
      <c r="D5833" s="2">
        <v>11542.7</v>
      </c>
      <c r="E5833" s="2">
        <v>11694.85</v>
      </c>
      <c r="F5833" s="2">
        <v>11471.35</v>
      </c>
      <c r="G5833" s="3">
        <f t="shared" si="275"/>
        <v>2.8915577158467931E-2</v>
      </c>
      <c r="H5833" s="2">
        <f t="shared" si="273"/>
        <v>223.5</v>
      </c>
      <c r="I5833" s="3">
        <f t="shared" si="274"/>
        <v>1.9362887366040873E-2</v>
      </c>
    </row>
    <row r="5834" spans="2:9" x14ac:dyDescent="0.25">
      <c r="B5834" s="1">
        <v>43732</v>
      </c>
      <c r="C5834" s="2">
        <v>11588.2</v>
      </c>
      <c r="D5834" s="2">
        <v>11590.7</v>
      </c>
      <c r="E5834" s="2">
        <v>11655.05</v>
      </c>
      <c r="F5834" s="2">
        <v>11539.2</v>
      </c>
      <c r="G5834" s="3">
        <f t="shared" si="275"/>
        <v>-1.0344649230186187E-3</v>
      </c>
      <c r="H5834" s="2">
        <f t="shared" si="273"/>
        <v>115.84999999999854</v>
      </c>
      <c r="I5834" s="3">
        <f t="shared" si="274"/>
        <v>9.9950822642289536E-3</v>
      </c>
    </row>
    <row r="5835" spans="2:9" x14ac:dyDescent="0.25">
      <c r="B5835" s="1">
        <v>43733</v>
      </c>
      <c r="C5835" s="2">
        <v>11440.2</v>
      </c>
      <c r="D5835" s="2">
        <v>11564.85</v>
      </c>
      <c r="E5835" s="2">
        <v>11564.95</v>
      </c>
      <c r="F5835" s="2">
        <v>11416.1</v>
      </c>
      <c r="G5835" s="3">
        <f t="shared" si="275"/>
        <v>-1.2771612502373131E-2</v>
      </c>
      <c r="H5835" s="2">
        <f t="shared" si="273"/>
        <v>148.85000000000036</v>
      </c>
      <c r="I5835" s="3">
        <f t="shared" si="274"/>
        <v>1.287089759054379E-2</v>
      </c>
    </row>
    <row r="5836" spans="2:9" x14ac:dyDescent="0.25">
      <c r="B5836" s="1">
        <v>43734</v>
      </c>
      <c r="C5836" s="2">
        <v>11571.2</v>
      </c>
      <c r="D5836" s="2">
        <v>11469.85</v>
      </c>
      <c r="E5836" s="2">
        <v>11610.85</v>
      </c>
      <c r="F5836" s="2">
        <v>11466.35</v>
      </c>
      <c r="G5836" s="3">
        <f t="shared" si="275"/>
        <v>1.1450848761385357E-2</v>
      </c>
      <c r="H5836" s="2">
        <f t="shared" si="273"/>
        <v>144.5</v>
      </c>
      <c r="I5836" s="3">
        <f t="shared" si="274"/>
        <v>1.2598246707672725E-2</v>
      </c>
    </row>
    <row r="5837" spans="2:9" x14ac:dyDescent="0.25">
      <c r="B5837" s="1">
        <v>43735</v>
      </c>
      <c r="C5837" s="2">
        <v>11512.4</v>
      </c>
      <c r="D5837" s="2">
        <v>11556.35</v>
      </c>
      <c r="E5837" s="2">
        <v>11593.6</v>
      </c>
      <c r="F5837" s="2">
        <v>11499.75</v>
      </c>
      <c r="G5837" s="3">
        <f t="shared" si="275"/>
        <v>-5.0815818584071248E-3</v>
      </c>
      <c r="H5837" s="2">
        <f t="shared" si="273"/>
        <v>93.850000000000364</v>
      </c>
      <c r="I5837" s="3">
        <f t="shared" si="274"/>
        <v>8.1210762913896135E-3</v>
      </c>
    </row>
    <row r="5838" spans="2:9" x14ac:dyDescent="0.25">
      <c r="B5838" s="1">
        <v>43738</v>
      </c>
      <c r="C5838" s="2">
        <v>11474.45</v>
      </c>
      <c r="D5838" s="2">
        <v>11491.15</v>
      </c>
      <c r="E5838" s="2">
        <v>11508.25</v>
      </c>
      <c r="F5838" s="2">
        <v>11390.8</v>
      </c>
      <c r="G5838" s="3">
        <f t="shared" si="275"/>
        <v>-3.2964455717312546E-3</v>
      </c>
      <c r="H5838" s="2">
        <f t="shared" si="273"/>
        <v>117.45000000000073</v>
      </c>
      <c r="I5838" s="3">
        <f t="shared" si="274"/>
        <v>1.02209091344209E-2</v>
      </c>
    </row>
    <row r="5839" spans="2:9" x14ac:dyDescent="0.25">
      <c r="B5839" s="1">
        <v>43739</v>
      </c>
      <c r="C5839" s="2">
        <v>11359.9</v>
      </c>
      <c r="D5839" s="2">
        <v>11515.4</v>
      </c>
      <c r="E5839" s="2">
        <v>11554.2</v>
      </c>
      <c r="F5839" s="2">
        <v>11247.9</v>
      </c>
      <c r="G5839" s="3">
        <f t="shared" si="275"/>
        <v>-9.9830492964805284E-3</v>
      </c>
      <c r="H5839" s="2">
        <f t="shared" si="273"/>
        <v>306.30000000000109</v>
      </c>
      <c r="I5839" s="3">
        <f t="shared" si="274"/>
        <v>2.6599162860169955E-2</v>
      </c>
    </row>
    <row r="5840" spans="2:9" x14ac:dyDescent="0.25">
      <c r="B5840" s="1">
        <v>43741</v>
      </c>
      <c r="C5840" s="2">
        <v>11314</v>
      </c>
      <c r="D5840" s="2">
        <v>11322.25</v>
      </c>
      <c r="E5840" s="2">
        <v>11370.4</v>
      </c>
      <c r="F5840" s="2">
        <v>11257.35</v>
      </c>
      <c r="G5840" s="3">
        <f t="shared" si="275"/>
        <v>-4.0405285257792967E-3</v>
      </c>
      <c r="H5840" s="2">
        <f t="shared" si="273"/>
        <v>113.04999999999927</v>
      </c>
      <c r="I5840" s="3">
        <f t="shared" si="274"/>
        <v>9.9847645123539285E-3</v>
      </c>
    </row>
    <row r="5841" spans="2:9" x14ac:dyDescent="0.25">
      <c r="B5841" s="1">
        <v>43742</v>
      </c>
      <c r="C5841" s="2">
        <v>11174.75</v>
      </c>
      <c r="D5841" s="2">
        <v>11388.45</v>
      </c>
      <c r="E5841" s="2">
        <v>11400.3</v>
      </c>
      <c r="F5841" s="2">
        <v>11158.35</v>
      </c>
      <c r="G5841" s="3">
        <f t="shared" si="275"/>
        <v>-1.2307760296977222E-2</v>
      </c>
      <c r="H5841" s="2">
        <f t="shared" si="273"/>
        <v>241.94999999999891</v>
      </c>
      <c r="I5841" s="3">
        <f t="shared" si="274"/>
        <v>2.1245208961711112E-2</v>
      </c>
    </row>
    <row r="5842" spans="2:9" x14ac:dyDescent="0.25">
      <c r="B5842" s="1">
        <v>43745</v>
      </c>
      <c r="C5842" s="2">
        <v>11126.4</v>
      </c>
      <c r="D5842" s="2">
        <v>11196.2</v>
      </c>
      <c r="E5842" s="2">
        <v>11233.85</v>
      </c>
      <c r="F5842" s="2">
        <v>11112.65</v>
      </c>
      <c r="G5842" s="3">
        <f t="shared" si="275"/>
        <v>-4.3267187185396239E-3</v>
      </c>
      <c r="H5842" s="2">
        <f t="shared" si="273"/>
        <v>121.20000000000073</v>
      </c>
      <c r="I5842" s="3">
        <f t="shared" si="274"/>
        <v>1.082510137368042E-2</v>
      </c>
    </row>
    <row r="5843" spans="2:9" x14ac:dyDescent="0.25">
      <c r="B5843" s="1">
        <v>43747</v>
      </c>
      <c r="C5843" s="2">
        <v>11313.3</v>
      </c>
      <c r="D5843" s="2">
        <v>11152.95</v>
      </c>
      <c r="E5843" s="2">
        <v>11321.6</v>
      </c>
      <c r="F5843" s="2">
        <v>11090.15</v>
      </c>
      <c r="G5843" s="3">
        <f t="shared" si="275"/>
        <v>1.6797886108714355E-2</v>
      </c>
      <c r="H5843" s="2">
        <f t="shared" si="273"/>
        <v>231.45000000000073</v>
      </c>
      <c r="I5843" s="3">
        <f t="shared" si="274"/>
        <v>2.0752356999717628E-2</v>
      </c>
    </row>
    <row r="5844" spans="2:9" x14ac:dyDescent="0.25">
      <c r="B5844" s="1">
        <v>43748</v>
      </c>
      <c r="C5844" s="2">
        <v>11234.55</v>
      </c>
      <c r="D5844" s="2">
        <v>11280.5</v>
      </c>
      <c r="E5844" s="2">
        <v>11293.35</v>
      </c>
      <c r="F5844" s="2">
        <v>11208.55</v>
      </c>
      <c r="G5844" s="3">
        <f t="shared" si="275"/>
        <v>-6.9608337089973604E-3</v>
      </c>
      <c r="H5844" s="2">
        <f t="shared" si="273"/>
        <v>84.800000000001091</v>
      </c>
      <c r="I5844" s="3">
        <f t="shared" si="274"/>
        <v>7.5173972784895252E-3</v>
      </c>
    </row>
    <row r="5845" spans="2:9" x14ac:dyDescent="0.25">
      <c r="B5845" s="1">
        <v>43749</v>
      </c>
      <c r="C5845" s="2">
        <v>11305.05</v>
      </c>
      <c r="D5845" s="2">
        <v>11257.7</v>
      </c>
      <c r="E5845" s="2">
        <v>11362.9</v>
      </c>
      <c r="F5845" s="2">
        <v>11189.4</v>
      </c>
      <c r="G5845" s="3">
        <f t="shared" si="275"/>
        <v>6.2752847243547905E-3</v>
      </c>
      <c r="H5845" s="2">
        <f t="shared" si="273"/>
        <v>173.5</v>
      </c>
      <c r="I5845" s="3">
        <f t="shared" si="274"/>
        <v>1.5411673787718627E-2</v>
      </c>
    </row>
    <row r="5846" spans="2:9" x14ac:dyDescent="0.25">
      <c r="B5846" s="1">
        <v>43752</v>
      </c>
      <c r="C5846" s="2">
        <v>11341.15</v>
      </c>
      <c r="D5846" s="2">
        <v>11335.9</v>
      </c>
      <c r="E5846" s="2">
        <v>11420.45</v>
      </c>
      <c r="F5846" s="2">
        <v>11290.05</v>
      </c>
      <c r="G5846" s="3">
        <f t="shared" si="275"/>
        <v>3.1932631876905315E-3</v>
      </c>
      <c r="H5846" s="2">
        <f t="shared" si="273"/>
        <v>130.40000000000146</v>
      </c>
      <c r="I5846" s="3">
        <f t="shared" si="274"/>
        <v>1.1503277198987416E-2</v>
      </c>
    </row>
    <row r="5847" spans="2:9" x14ac:dyDescent="0.25">
      <c r="B5847" s="1">
        <v>43753</v>
      </c>
      <c r="C5847" s="2">
        <v>11428.3</v>
      </c>
      <c r="D5847" s="2">
        <v>11360.85</v>
      </c>
      <c r="E5847" s="2">
        <v>11462.35</v>
      </c>
      <c r="F5847" s="2">
        <v>11342.1</v>
      </c>
      <c r="G5847" s="3">
        <f t="shared" si="275"/>
        <v>7.6844059023997158E-3</v>
      </c>
      <c r="H5847" s="2">
        <f t="shared" si="273"/>
        <v>120.25</v>
      </c>
      <c r="I5847" s="3">
        <f t="shared" si="274"/>
        <v>1.0584595342778049E-2</v>
      </c>
    </row>
    <row r="5848" spans="2:9" x14ac:dyDescent="0.25">
      <c r="B5848" s="1">
        <v>43754</v>
      </c>
      <c r="C5848" s="2">
        <v>11464</v>
      </c>
      <c r="D5848" s="2">
        <v>11464.95</v>
      </c>
      <c r="E5848" s="2">
        <v>11481.05</v>
      </c>
      <c r="F5848" s="2">
        <v>11411.1</v>
      </c>
      <c r="G5848" s="3">
        <f t="shared" si="275"/>
        <v>3.1238241908246867E-3</v>
      </c>
      <c r="H5848" s="2">
        <f t="shared" si="273"/>
        <v>69.949999999998909</v>
      </c>
      <c r="I5848" s="3">
        <f t="shared" si="274"/>
        <v>6.1012041046841813E-3</v>
      </c>
    </row>
    <row r="5849" spans="2:9" x14ac:dyDescent="0.25">
      <c r="B5849" s="1">
        <v>43755</v>
      </c>
      <c r="C5849" s="2">
        <v>11586.35</v>
      </c>
      <c r="D5849" s="2">
        <v>11466.3</v>
      </c>
      <c r="E5849" s="2">
        <v>11599.1</v>
      </c>
      <c r="F5849" s="2">
        <v>11439.65</v>
      </c>
      <c r="G5849" s="3">
        <f t="shared" si="275"/>
        <v>1.0672540125610697E-2</v>
      </c>
      <c r="H5849" s="2">
        <f t="shared" si="273"/>
        <v>159.45000000000073</v>
      </c>
      <c r="I5849" s="3">
        <f t="shared" si="274"/>
        <v>1.3905967923392963E-2</v>
      </c>
    </row>
    <row r="5850" spans="2:9" x14ac:dyDescent="0.25">
      <c r="B5850" s="1">
        <v>43756</v>
      </c>
      <c r="C5850" s="2">
        <v>11661.85</v>
      </c>
      <c r="D5850" s="2">
        <v>11580.3</v>
      </c>
      <c r="E5850" s="2">
        <v>11684.7</v>
      </c>
      <c r="F5850" s="2">
        <v>11553.15</v>
      </c>
      <c r="G5850" s="3">
        <f t="shared" si="275"/>
        <v>6.5162885636977919E-3</v>
      </c>
      <c r="H5850" s="2">
        <f t="shared" si="273"/>
        <v>131.55000000000109</v>
      </c>
      <c r="I5850" s="3">
        <f t="shared" si="274"/>
        <v>1.1359809331364568E-2</v>
      </c>
    </row>
    <row r="5851" spans="2:9" x14ac:dyDescent="0.25">
      <c r="B5851" s="1">
        <v>43760</v>
      </c>
      <c r="C5851" s="2">
        <v>11588.35</v>
      </c>
      <c r="D5851" s="2">
        <v>11657.15</v>
      </c>
      <c r="E5851" s="2">
        <v>11714.35</v>
      </c>
      <c r="F5851" s="2">
        <v>11573.65</v>
      </c>
      <c r="G5851" s="3">
        <f t="shared" si="275"/>
        <v>-6.302602074284902E-3</v>
      </c>
      <c r="H5851" s="2">
        <f t="shared" si="273"/>
        <v>140.70000000000073</v>
      </c>
      <c r="I5851" s="3">
        <f t="shared" si="274"/>
        <v>1.2069845545437842E-2</v>
      </c>
    </row>
    <row r="5852" spans="2:9" x14ac:dyDescent="0.25">
      <c r="B5852" s="1">
        <v>43761</v>
      </c>
      <c r="C5852" s="2">
        <v>11604.1</v>
      </c>
      <c r="D5852" s="2">
        <v>11596.2</v>
      </c>
      <c r="E5852" s="2">
        <v>11651.6</v>
      </c>
      <c r="F5852" s="2">
        <v>11554.4</v>
      </c>
      <c r="G5852" s="3">
        <f t="shared" si="275"/>
        <v>1.3591236025836118E-3</v>
      </c>
      <c r="H5852" s="2">
        <f t="shared" si="273"/>
        <v>97.200000000000728</v>
      </c>
      <c r="I5852" s="3">
        <f t="shared" si="274"/>
        <v>8.3820561908211928E-3</v>
      </c>
    </row>
    <row r="5853" spans="2:9" x14ac:dyDescent="0.25">
      <c r="B5853" s="1">
        <v>43762</v>
      </c>
      <c r="C5853" s="2">
        <v>11582.6</v>
      </c>
      <c r="D5853" s="2">
        <v>11661.65</v>
      </c>
      <c r="E5853" s="2">
        <v>11679.6</v>
      </c>
      <c r="F5853" s="2">
        <v>11534.65</v>
      </c>
      <c r="G5853" s="3">
        <f t="shared" si="275"/>
        <v>-1.8527934092260612E-3</v>
      </c>
      <c r="H5853" s="2">
        <f t="shared" si="273"/>
        <v>144.95000000000073</v>
      </c>
      <c r="I5853" s="3">
        <f t="shared" si="274"/>
        <v>1.2429630455381591E-2</v>
      </c>
    </row>
    <row r="5854" spans="2:9" x14ac:dyDescent="0.25">
      <c r="B5854" s="1">
        <v>43763</v>
      </c>
      <c r="C5854" s="2">
        <v>11583.9</v>
      </c>
      <c r="D5854" s="2">
        <v>11646.15</v>
      </c>
      <c r="E5854" s="2">
        <v>11646.9</v>
      </c>
      <c r="F5854" s="2">
        <v>11490.75</v>
      </c>
      <c r="G5854" s="3">
        <f t="shared" si="275"/>
        <v>1.122373214994532E-4</v>
      </c>
      <c r="H5854" s="2">
        <f t="shared" si="273"/>
        <v>156.14999999999964</v>
      </c>
      <c r="I5854" s="3">
        <f t="shared" si="274"/>
        <v>1.3407864401540393E-2</v>
      </c>
    </row>
    <row r="5855" spans="2:9" x14ac:dyDescent="0.25">
      <c r="B5855" s="1">
        <v>43765</v>
      </c>
      <c r="C5855" s="2">
        <v>11627.15</v>
      </c>
      <c r="D5855" s="2">
        <v>11662.25</v>
      </c>
      <c r="E5855" s="2">
        <v>11672.4</v>
      </c>
      <c r="F5855" s="2">
        <v>11604.6</v>
      </c>
      <c r="G5855" s="3">
        <f t="shared" si="275"/>
        <v>3.7336302972228452E-3</v>
      </c>
      <c r="H5855" s="2">
        <f t="shared" si="273"/>
        <v>67.799999999999272</v>
      </c>
      <c r="I5855" s="3">
        <f t="shared" si="274"/>
        <v>5.8136294454328519E-3</v>
      </c>
    </row>
    <row r="5856" spans="2:9" x14ac:dyDescent="0.25">
      <c r="B5856" s="1">
        <v>43767</v>
      </c>
      <c r="C5856" s="2">
        <v>11786.85</v>
      </c>
      <c r="D5856" s="2">
        <v>11643.95</v>
      </c>
      <c r="E5856" s="2">
        <v>11809.4</v>
      </c>
      <c r="F5856" s="2">
        <v>11627.35</v>
      </c>
      <c r="G5856" s="3">
        <f t="shared" si="275"/>
        <v>1.3735094154629479E-2</v>
      </c>
      <c r="H5856" s="2">
        <f t="shared" si="273"/>
        <v>182.04999999999927</v>
      </c>
      <c r="I5856" s="3">
        <f t="shared" si="274"/>
        <v>1.5634728764723247E-2</v>
      </c>
    </row>
    <row r="5857" spans="2:9" x14ac:dyDescent="0.25">
      <c r="B5857" s="1">
        <v>43768</v>
      </c>
      <c r="C5857" s="2">
        <v>11844.1</v>
      </c>
      <c r="D5857" s="2">
        <v>11883.9</v>
      </c>
      <c r="E5857" s="2">
        <v>11883.95</v>
      </c>
      <c r="F5857" s="2">
        <v>11784.45</v>
      </c>
      <c r="G5857" s="3">
        <f t="shared" si="275"/>
        <v>4.8571077090147075E-3</v>
      </c>
      <c r="H5857" s="2">
        <f t="shared" si="273"/>
        <v>99.5</v>
      </c>
      <c r="I5857" s="3">
        <f t="shared" si="274"/>
        <v>8.3726722708875028E-3</v>
      </c>
    </row>
    <row r="5858" spans="2:9" x14ac:dyDescent="0.25">
      <c r="B5858" s="1">
        <v>43769</v>
      </c>
      <c r="C5858" s="2">
        <v>11877.45</v>
      </c>
      <c r="D5858" s="2">
        <v>11890.45</v>
      </c>
      <c r="E5858" s="2">
        <v>11945</v>
      </c>
      <c r="F5858" s="2">
        <v>11855.1</v>
      </c>
      <c r="G5858" s="3">
        <f t="shared" si="275"/>
        <v>2.8157479251273987E-3</v>
      </c>
      <c r="H5858" s="2">
        <f t="shared" si="273"/>
        <v>89.899999999999636</v>
      </c>
      <c r="I5858" s="3">
        <f t="shared" si="274"/>
        <v>7.5606894608698265E-3</v>
      </c>
    </row>
    <row r="5859" spans="2:9" x14ac:dyDescent="0.25">
      <c r="B5859" s="1">
        <v>43770</v>
      </c>
      <c r="C5859" s="2">
        <v>11890.6</v>
      </c>
      <c r="D5859" s="2">
        <v>11886.6</v>
      </c>
      <c r="E5859" s="2">
        <v>11918.3</v>
      </c>
      <c r="F5859" s="2">
        <v>11843.35</v>
      </c>
      <c r="G5859" s="3">
        <f t="shared" si="275"/>
        <v>1.1071400005893128E-3</v>
      </c>
      <c r="H5859" s="2">
        <f t="shared" si="273"/>
        <v>74.949999999998909</v>
      </c>
      <c r="I5859" s="3">
        <f t="shared" si="274"/>
        <v>6.3054195480624319E-3</v>
      </c>
    </row>
    <row r="5860" spans="2:9" x14ac:dyDescent="0.25">
      <c r="B5860" s="1">
        <v>43773</v>
      </c>
      <c r="C5860" s="2">
        <v>11941.3</v>
      </c>
      <c r="D5860" s="2">
        <v>11928.9</v>
      </c>
      <c r="E5860" s="2">
        <v>11989.15</v>
      </c>
      <c r="F5860" s="2">
        <v>11905.35</v>
      </c>
      <c r="G5860" s="3">
        <f t="shared" si="275"/>
        <v>4.2638723024910341E-3</v>
      </c>
      <c r="H5860" s="2">
        <f t="shared" si="273"/>
        <v>83.799999999999272</v>
      </c>
      <c r="I5860" s="3">
        <f t="shared" si="274"/>
        <v>7.0249561988112294E-3</v>
      </c>
    </row>
    <row r="5861" spans="2:9" x14ac:dyDescent="0.25">
      <c r="B5861" s="1">
        <v>43774</v>
      </c>
      <c r="C5861" s="2">
        <v>11917.2</v>
      </c>
      <c r="D5861" s="2">
        <v>11974.6</v>
      </c>
      <c r="E5861" s="2">
        <v>11978.95</v>
      </c>
      <c r="F5861" s="2">
        <v>11861.9</v>
      </c>
      <c r="G5861" s="3">
        <f t="shared" si="275"/>
        <v>-2.0182057229948258E-3</v>
      </c>
      <c r="H5861" s="2">
        <f t="shared" si="273"/>
        <v>117.05000000000109</v>
      </c>
      <c r="I5861" s="3">
        <f t="shared" si="274"/>
        <v>9.7748567801848145E-3</v>
      </c>
    </row>
    <row r="5862" spans="2:9" x14ac:dyDescent="0.25">
      <c r="B5862" s="1">
        <v>43775</v>
      </c>
      <c r="C5862" s="2">
        <v>11966.05</v>
      </c>
      <c r="D5862" s="2">
        <v>11911.5</v>
      </c>
      <c r="E5862" s="2">
        <v>12002.9</v>
      </c>
      <c r="F5862" s="2">
        <v>11850.25</v>
      </c>
      <c r="G5862" s="3">
        <f t="shared" si="275"/>
        <v>4.0991172423050504E-3</v>
      </c>
      <c r="H5862" s="2">
        <f t="shared" si="273"/>
        <v>152.64999999999964</v>
      </c>
      <c r="I5862" s="3">
        <f t="shared" si="274"/>
        <v>1.2815346513873118E-2</v>
      </c>
    </row>
    <row r="5863" spans="2:9" x14ac:dyDescent="0.25">
      <c r="B5863" s="1">
        <v>43776</v>
      </c>
      <c r="C5863" s="2">
        <v>12012.05</v>
      </c>
      <c r="D5863" s="2">
        <v>12021.1</v>
      </c>
      <c r="E5863" s="2">
        <v>12021.4</v>
      </c>
      <c r="F5863" s="2">
        <v>11946.85</v>
      </c>
      <c r="G5863" s="3">
        <f t="shared" si="275"/>
        <v>3.8442092419803675E-3</v>
      </c>
      <c r="H5863" s="2">
        <f t="shared" si="273"/>
        <v>74.549999999999272</v>
      </c>
      <c r="I5863" s="3">
        <f t="shared" si="274"/>
        <v>6.2015955278634464E-3</v>
      </c>
    </row>
    <row r="5864" spans="2:9" x14ac:dyDescent="0.25">
      <c r="B5864" s="1">
        <v>43777</v>
      </c>
      <c r="C5864" s="2">
        <v>11908.15</v>
      </c>
      <c r="D5864" s="2">
        <v>11987.15</v>
      </c>
      <c r="E5864" s="2">
        <v>12034.15</v>
      </c>
      <c r="F5864" s="2">
        <v>11888.75</v>
      </c>
      <c r="G5864" s="3">
        <f t="shared" si="275"/>
        <v>-8.6496476454892557E-3</v>
      </c>
      <c r="H5864" s="2">
        <f t="shared" si="273"/>
        <v>145.39999999999964</v>
      </c>
      <c r="I5864" s="3">
        <f t="shared" si="274"/>
        <v>1.2129655506104424E-2</v>
      </c>
    </row>
    <row r="5865" spans="2:9" x14ac:dyDescent="0.25">
      <c r="B5865" s="1">
        <v>43780</v>
      </c>
      <c r="C5865" s="2">
        <v>11913.45</v>
      </c>
      <c r="D5865" s="2">
        <v>11879.2</v>
      </c>
      <c r="E5865" s="2">
        <v>11932.65</v>
      </c>
      <c r="F5865" s="2">
        <v>11853.95</v>
      </c>
      <c r="G5865" s="3">
        <f t="shared" si="275"/>
        <v>4.4507333212973066E-4</v>
      </c>
      <c r="H5865" s="2">
        <f t="shared" si="273"/>
        <v>78.699999999998909</v>
      </c>
      <c r="I5865" s="3">
        <f t="shared" si="274"/>
        <v>6.6250252542257816E-3</v>
      </c>
    </row>
    <row r="5866" spans="2:9" x14ac:dyDescent="0.25">
      <c r="B5866" s="1">
        <v>43782</v>
      </c>
      <c r="C5866" s="2">
        <v>11840.45</v>
      </c>
      <c r="D5866" s="2">
        <v>11908.3</v>
      </c>
      <c r="E5866" s="2">
        <v>11946.8</v>
      </c>
      <c r="F5866" s="2">
        <v>11823.2</v>
      </c>
      <c r="G5866" s="3">
        <f t="shared" si="275"/>
        <v>-6.1275281299707496E-3</v>
      </c>
      <c r="H5866" s="2">
        <f t="shared" si="273"/>
        <v>123.59999999999854</v>
      </c>
      <c r="I5866" s="3">
        <f t="shared" si="274"/>
        <v>1.0379315267502376E-2</v>
      </c>
    </row>
    <row r="5867" spans="2:9" x14ac:dyDescent="0.25">
      <c r="B5867" s="1">
        <v>43783</v>
      </c>
      <c r="C5867" s="2">
        <v>11872.1</v>
      </c>
      <c r="D5867" s="2">
        <v>11858.75</v>
      </c>
      <c r="E5867" s="2">
        <v>11895.65</v>
      </c>
      <c r="F5867" s="2">
        <v>11802.65</v>
      </c>
      <c r="G5867" s="3">
        <f t="shared" si="275"/>
        <v>2.6730402982995116E-3</v>
      </c>
      <c r="H5867" s="2">
        <f t="shared" si="273"/>
        <v>93</v>
      </c>
      <c r="I5867" s="3">
        <f t="shared" si="274"/>
        <v>7.8423105301992195E-3</v>
      </c>
    </row>
    <row r="5868" spans="2:9" x14ac:dyDescent="0.25">
      <c r="B5868" s="1">
        <v>43784</v>
      </c>
      <c r="C5868" s="2">
        <v>11895.45</v>
      </c>
      <c r="D5868" s="2">
        <v>11904.2</v>
      </c>
      <c r="E5868" s="2">
        <v>11973.65</v>
      </c>
      <c r="F5868" s="2">
        <v>11879.25</v>
      </c>
      <c r="G5868" s="3">
        <f t="shared" si="275"/>
        <v>1.9667961017848512E-3</v>
      </c>
      <c r="H5868" s="2">
        <f t="shared" si="273"/>
        <v>94.399999999999636</v>
      </c>
      <c r="I5868" s="3">
        <f t="shared" si="274"/>
        <v>7.9299742947866823E-3</v>
      </c>
    </row>
    <row r="5869" spans="2:9" x14ac:dyDescent="0.25">
      <c r="B5869" s="1">
        <v>43787</v>
      </c>
      <c r="C5869" s="2">
        <v>11884.5</v>
      </c>
      <c r="D5869" s="2">
        <v>11915.15</v>
      </c>
      <c r="E5869" s="2">
        <v>11946.2</v>
      </c>
      <c r="F5869" s="2">
        <v>11867.6</v>
      </c>
      <c r="G5869" s="3">
        <f t="shared" si="275"/>
        <v>-9.2052003076814604E-4</v>
      </c>
      <c r="H5869" s="2">
        <f t="shared" si="273"/>
        <v>78.600000000000364</v>
      </c>
      <c r="I5869" s="3">
        <f t="shared" si="274"/>
        <v>6.5966437686475086E-3</v>
      </c>
    </row>
    <row r="5870" spans="2:9" x14ac:dyDescent="0.25">
      <c r="B5870" s="1">
        <v>43788</v>
      </c>
      <c r="C5870" s="2">
        <v>11940.1</v>
      </c>
      <c r="D5870" s="2">
        <v>11919.45</v>
      </c>
      <c r="E5870" s="2">
        <v>11958.85</v>
      </c>
      <c r="F5870" s="2">
        <v>11881.75</v>
      </c>
      <c r="G5870" s="3">
        <f t="shared" si="275"/>
        <v>4.6783625730995038E-3</v>
      </c>
      <c r="H5870" s="2">
        <f t="shared" si="273"/>
        <v>77.100000000000364</v>
      </c>
      <c r="I5870" s="3">
        <f t="shared" si="274"/>
        <v>6.4684192643117222E-3</v>
      </c>
    </row>
    <row r="5871" spans="2:9" x14ac:dyDescent="0.25">
      <c r="B5871" s="1">
        <v>43789</v>
      </c>
      <c r="C5871" s="2">
        <v>11999.1</v>
      </c>
      <c r="D5871" s="2">
        <v>12004.75</v>
      </c>
      <c r="E5871" s="2">
        <v>12038.6</v>
      </c>
      <c r="F5871" s="2">
        <v>11966.05</v>
      </c>
      <c r="G5871" s="3">
        <f t="shared" si="275"/>
        <v>4.941332149646982E-3</v>
      </c>
      <c r="H5871" s="2">
        <f t="shared" si="273"/>
        <v>72.550000000001091</v>
      </c>
      <c r="I5871" s="3">
        <f t="shared" si="274"/>
        <v>6.0434411378830124E-3</v>
      </c>
    </row>
    <row r="5872" spans="2:9" x14ac:dyDescent="0.25">
      <c r="B5872" s="1">
        <v>43790</v>
      </c>
      <c r="C5872" s="2">
        <v>11968.4</v>
      </c>
      <c r="D5872" s="2">
        <v>12025.65</v>
      </c>
      <c r="E5872" s="2">
        <v>12028.2</v>
      </c>
      <c r="F5872" s="2">
        <v>11956.9</v>
      </c>
      <c r="G5872" s="3">
        <f t="shared" si="275"/>
        <v>-2.5585252227251498E-3</v>
      </c>
      <c r="H5872" s="2">
        <f t="shared" si="273"/>
        <v>71.300000000001091</v>
      </c>
      <c r="I5872" s="3">
        <f t="shared" si="274"/>
        <v>5.928993443181956E-3</v>
      </c>
    </row>
    <row r="5873" spans="2:9" x14ac:dyDescent="0.25">
      <c r="B5873" s="1">
        <v>43791</v>
      </c>
      <c r="C5873" s="2">
        <v>11914.4</v>
      </c>
      <c r="D5873" s="2">
        <v>11967.3</v>
      </c>
      <c r="E5873" s="2">
        <v>11968.1</v>
      </c>
      <c r="F5873" s="2">
        <v>11883.5</v>
      </c>
      <c r="G5873" s="3">
        <f t="shared" si="275"/>
        <v>-4.5118812873901071E-3</v>
      </c>
      <c r="H5873" s="2">
        <f t="shared" si="273"/>
        <v>84.600000000000364</v>
      </c>
      <c r="I5873" s="3">
        <f t="shared" si="274"/>
        <v>7.0692637437016178E-3</v>
      </c>
    </row>
    <row r="5874" spans="2:9" x14ac:dyDescent="0.25">
      <c r="B5874" s="1">
        <v>43794</v>
      </c>
      <c r="C5874" s="2">
        <v>12073.75</v>
      </c>
      <c r="D5874" s="2">
        <v>11922.45</v>
      </c>
      <c r="E5874" s="2">
        <v>12084.5</v>
      </c>
      <c r="F5874" s="2">
        <v>11919.75</v>
      </c>
      <c r="G5874" s="3">
        <f t="shared" si="275"/>
        <v>1.3374571946552116E-2</v>
      </c>
      <c r="H5874" s="2">
        <f t="shared" si="273"/>
        <v>164.75</v>
      </c>
      <c r="I5874" s="3">
        <f t="shared" si="274"/>
        <v>1.3818468519473765E-2</v>
      </c>
    </row>
    <row r="5875" spans="2:9" x14ac:dyDescent="0.25">
      <c r="B5875" s="1">
        <v>43795</v>
      </c>
      <c r="C5875" s="2">
        <v>12037.7</v>
      </c>
      <c r="D5875" s="2">
        <v>12110.2</v>
      </c>
      <c r="E5875" s="2">
        <v>12132.45</v>
      </c>
      <c r="F5875" s="2">
        <v>12006.35</v>
      </c>
      <c r="G5875" s="3">
        <f t="shared" si="275"/>
        <v>-2.9858163370948265E-3</v>
      </c>
      <c r="H5875" s="2">
        <f t="shared" si="273"/>
        <v>126.10000000000036</v>
      </c>
      <c r="I5875" s="3">
        <f t="shared" si="274"/>
        <v>1.0412709946986867E-2</v>
      </c>
    </row>
    <row r="5876" spans="2:9" x14ac:dyDescent="0.25">
      <c r="B5876" s="1">
        <v>43796</v>
      </c>
      <c r="C5876" s="2">
        <v>12100.7</v>
      </c>
      <c r="D5876" s="2">
        <v>12068.5</v>
      </c>
      <c r="E5876" s="2">
        <v>12114.9</v>
      </c>
      <c r="F5876" s="2">
        <v>12055.15</v>
      </c>
      <c r="G5876" s="3">
        <f t="shared" si="275"/>
        <v>5.2335579055799997E-3</v>
      </c>
      <c r="H5876" s="2">
        <f t="shared" si="273"/>
        <v>59.75</v>
      </c>
      <c r="I5876" s="3">
        <f t="shared" si="274"/>
        <v>4.9509052492024697E-3</v>
      </c>
    </row>
    <row r="5877" spans="2:9" x14ac:dyDescent="0.25">
      <c r="B5877" s="1">
        <v>43797</v>
      </c>
      <c r="C5877" s="2">
        <v>12151.15</v>
      </c>
      <c r="D5877" s="2">
        <v>12132.1</v>
      </c>
      <c r="E5877" s="2">
        <v>12158.8</v>
      </c>
      <c r="F5877" s="2">
        <v>12099.95</v>
      </c>
      <c r="G5877" s="3">
        <f t="shared" si="275"/>
        <v>4.1691802953547352E-3</v>
      </c>
      <c r="H5877" s="2">
        <f t="shared" si="273"/>
        <v>58.849999999998545</v>
      </c>
      <c r="I5877" s="3">
        <f t="shared" si="274"/>
        <v>4.8507677978254834E-3</v>
      </c>
    </row>
    <row r="5878" spans="2:9" x14ac:dyDescent="0.25">
      <c r="B5878" s="1">
        <v>43798</v>
      </c>
      <c r="C5878" s="2">
        <v>12056.05</v>
      </c>
      <c r="D5878" s="2">
        <v>12146.2</v>
      </c>
      <c r="E5878" s="2">
        <v>12147.4</v>
      </c>
      <c r="F5878" s="2">
        <v>12017.4</v>
      </c>
      <c r="G5878" s="3">
        <f t="shared" si="275"/>
        <v>-7.8264197215901499E-3</v>
      </c>
      <c r="H5878" s="2">
        <f t="shared" si="273"/>
        <v>130</v>
      </c>
      <c r="I5878" s="3">
        <f t="shared" si="274"/>
        <v>1.0702935897647E-2</v>
      </c>
    </row>
    <row r="5879" spans="2:9" x14ac:dyDescent="0.25">
      <c r="B5879" s="1">
        <v>43801</v>
      </c>
      <c r="C5879" s="2">
        <v>12048.2</v>
      </c>
      <c r="D5879" s="2">
        <v>12137.05</v>
      </c>
      <c r="E5879" s="2">
        <v>12137.15</v>
      </c>
      <c r="F5879" s="2">
        <v>12023.7</v>
      </c>
      <c r="G5879" s="3">
        <f t="shared" si="275"/>
        <v>-6.5112536859079917E-4</v>
      </c>
      <c r="H5879" s="2">
        <f t="shared" si="273"/>
        <v>113.44999999999891</v>
      </c>
      <c r="I5879" s="3">
        <f t="shared" si="274"/>
        <v>9.3474114385290429E-3</v>
      </c>
    </row>
    <row r="5880" spans="2:9" x14ac:dyDescent="0.25">
      <c r="B5880" s="1">
        <v>43802</v>
      </c>
      <c r="C5880" s="2">
        <v>11994.2</v>
      </c>
      <c r="D5880" s="2">
        <v>12067.65</v>
      </c>
      <c r="E5880" s="2">
        <v>12068.6</v>
      </c>
      <c r="F5880" s="2">
        <v>11956.4</v>
      </c>
      <c r="G5880" s="3">
        <f t="shared" si="275"/>
        <v>-4.4819973108015665E-3</v>
      </c>
      <c r="H5880" s="2">
        <f t="shared" si="273"/>
        <v>112.20000000000073</v>
      </c>
      <c r="I5880" s="3">
        <f t="shared" si="274"/>
        <v>9.2975848653218084E-3</v>
      </c>
    </row>
    <row r="5881" spans="2:9" x14ac:dyDescent="0.25">
      <c r="B5881" s="1">
        <v>43803</v>
      </c>
      <c r="C5881" s="2">
        <v>12043.2</v>
      </c>
      <c r="D5881" s="2">
        <v>11969.95</v>
      </c>
      <c r="E5881" s="2">
        <v>12054.7</v>
      </c>
      <c r="F5881" s="2">
        <v>11935.3</v>
      </c>
      <c r="G5881" s="3">
        <f t="shared" si="275"/>
        <v>4.0853078988176694E-3</v>
      </c>
      <c r="H5881" s="2">
        <f t="shared" si="273"/>
        <v>119.40000000000146</v>
      </c>
      <c r="I5881" s="3">
        <f t="shared" si="274"/>
        <v>9.9749790099375058E-3</v>
      </c>
    </row>
    <row r="5882" spans="2:9" x14ac:dyDescent="0.25">
      <c r="B5882" s="1">
        <v>43804</v>
      </c>
      <c r="C5882" s="2">
        <v>12018.4</v>
      </c>
      <c r="D5882" s="2">
        <v>12071.25</v>
      </c>
      <c r="E5882" s="2">
        <v>12081.2</v>
      </c>
      <c r="F5882" s="2">
        <v>11998.75</v>
      </c>
      <c r="G5882" s="3">
        <f t="shared" si="275"/>
        <v>-2.0592533545902292E-3</v>
      </c>
      <c r="H5882" s="2">
        <f t="shared" si="273"/>
        <v>82.450000000000728</v>
      </c>
      <c r="I5882" s="3">
        <f t="shared" si="274"/>
        <v>6.830278554416546E-3</v>
      </c>
    </row>
    <row r="5883" spans="2:9" x14ac:dyDescent="0.25">
      <c r="B5883" s="1">
        <v>43805</v>
      </c>
      <c r="C5883" s="2">
        <v>11921.5</v>
      </c>
      <c r="D5883" s="2">
        <v>12047.35</v>
      </c>
      <c r="E5883" s="2">
        <v>12057.05</v>
      </c>
      <c r="F5883" s="2">
        <v>11888.85</v>
      </c>
      <c r="G5883" s="3">
        <f t="shared" si="275"/>
        <v>-8.062637289489416E-3</v>
      </c>
      <c r="H5883" s="2">
        <f t="shared" si="273"/>
        <v>168.19999999999891</v>
      </c>
      <c r="I5883" s="3">
        <f t="shared" si="274"/>
        <v>1.3961576612283939E-2</v>
      </c>
    </row>
    <row r="5884" spans="2:9" x14ac:dyDescent="0.25">
      <c r="B5884" s="1">
        <v>43808</v>
      </c>
      <c r="C5884" s="2">
        <v>11937.5</v>
      </c>
      <c r="D5884" s="2">
        <v>11939.1</v>
      </c>
      <c r="E5884" s="2">
        <v>11981.95</v>
      </c>
      <c r="F5884" s="2">
        <v>11888.05</v>
      </c>
      <c r="G5884" s="3">
        <f t="shared" si="275"/>
        <v>1.342112989137334E-3</v>
      </c>
      <c r="H5884" s="2">
        <f t="shared" si="273"/>
        <v>93.900000000001455</v>
      </c>
      <c r="I5884" s="3">
        <f t="shared" si="274"/>
        <v>7.8649144407871158E-3</v>
      </c>
    </row>
    <row r="5885" spans="2:9" x14ac:dyDescent="0.25">
      <c r="B5885" s="1">
        <v>43809</v>
      </c>
      <c r="C5885" s="2">
        <v>11856.8</v>
      </c>
      <c r="D5885" s="2">
        <v>11950.5</v>
      </c>
      <c r="E5885" s="2">
        <v>11953.2</v>
      </c>
      <c r="F5885" s="2">
        <v>11844.7</v>
      </c>
      <c r="G5885" s="3">
        <f t="shared" si="275"/>
        <v>-6.7602094240838406E-3</v>
      </c>
      <c r="H5885" s="2">
        <f t="shared" si="273"/>
        <v>108.5</v>
      </c>
      <c r="I5885" s="3">
        <f t="shared" si="274"/>
        <v>9.0791180285343717E-3</v>
      </c>
    </row>
    <row r="5886" spans="2:9" x14ac:dyDescent="0.25">
      <c r="B5886" s="1">
        <v>43810</v>
      </c>
      <c r="C5886" s="2">
        <v>11910.15</v>
      </c>
      <c r="D5886" s="2">
        <v>11867.35</v>
      </c>
      <c r="E5886" s="2">
        <v>11923.2</v>
      </c>
      <c r="F5886" s="2">
        <v>11832.3</v>
      </c>
      <c r="G5886" s="3">
        <f t="shared" si="275"/>
        <v>4.4995276971864229E-3</v>
      </c>
      <c r="H5886" s="2">
        <f t="shared" si="273"/>
        <v>90.900000000001455</v>
      </c>
      <c r="I5886" s="3">
        <f t="shared" si="274"/>
        <v>7.6596712829739965E-3</v>
      </c>
    </row>
    <row r="5887" spans="2:9" x14ac:dyDescent="0.25">
      <c r="B5887" s="1">
        <v>43811</v>
      </c>
      <c r="C5887" s="2">
        <v>11971.8</v>
      </c>
      <c r="D5887" s="2">
        <v>11944.3</v>
      </c>
      <c r="E5887" s="2">
        <v>12005.5</v>
      </c>
      <c r="F5887" s="2">
        <v>11934</v>
      </c>
      <c r="G5887" s="3">
        <f t="shared" si="275"/>
        <v>5.1762572259794748E-3</v>
      </c>
      <c r="H5887" s="2">
        <f t="shared" si="273"/>
        <v>71.5</v>
      </c>
      <c r="I5887" s="3">
        <f t="shared" si="274"/>
        <v>5.9861189019030005E-3</v>
      </c>
    </row>
    <row r="5888" spans="2:9" x14ac:dyDescent="0.25">
      <c r="B5888" s="1">
        <v>43812</v>
      </c>
      <c r="C5888" s="2">
        <v>12086.7</v>
      </c>
      <c r="D5888" s="2">
        <v>12026.4</v>
      </c>
      <c r="E5888" s="2">
        <v>12098.85</v>
      </c>
      <c r="F5888" s="2">
        <v>12023.6</v>
      </c>
      <c r="G5888" s="3">
        <f t="shared" si="275"/>
        <v>9.5975542524935342E-3</v>
      </c>
      <c r="H5888" s="2">
        <f t="shared" si="273"/>
        <v>75.25</v>
      </c>
      <c r="I5888" s="3">
        <f t="shared" si="274"/>
        <v>6.2570677842080759E-3</v>
      </c>
    </row>
    <row r="5889" spans="2:9" x14ac:dyDescent="0.25">
      <c r="B5889" s="1">
        <v>43815</v>
      </c>
      <c r="C5889" s="2">
        <v>12053.95</v>
      </c>
      <c r="D5889" s="2">
        <v>12131.35</v>
      </c>
      <c r="E5889" s="2">
        <v>12134.65</v>
      </c>
      <c r="F5889" s="2">
        <v>12046.3</v>
      </c>
      <c r="G5889" s="3">
        <f t="shared" si="275"/>
        <v>-2.7095898797852014E-3</v>
      </c>
      <c r="H5889" s="2">
        <f t="shared" si="273"/>
        <v>88.350000000000364</v>
      </c>
      <c r="I5889" s="3">
        <f t="shared" si="274"/>
        <v>7.2827838616477437E-3</v>
      </c>
    </row>
    <row r="5890" spans="2:9" x14ac:dyDescent="0.25">
      <c r="B5890" s="1">
        <v>43816</v>
      </c>
      <c r="C5890" s="2">
        <v>12165</v>
      </c>
      <c r="D5890" s="2">
        <v>12082.45</v>
      </c>
      <c r="E5890" s="2">
        <v>12182.75</v>
      </c>
      <c r="F5890" s="2">
        <v>12070.35</v>
      </c>
      <c r="G5890" s="3">
        <f t="shared" si="275"/>
        <v>9.2127476885168758E-3</v>
      </c>
      <c r="H5890" s="2">
        <f t="shared" si="273"/>
        <v>112.39999999999964</v>
      </c>
      <c r="I5890" s="3">
        <f t="shared" si="274"/>
        <v>9.3027490285496426E-3</v>
      </c>
    </row>
    <row r="5891" spans="2:9" x14ac:dyDescent="0.25">
      <c r="B5891" s="1">
        <v>43817</v>
      </c>
      <c r="C5891" s="2">
        <v>12221.65</v>
      </c>
      <c r="D5891" s="2">
        <v>12197</v>
      </c>
      <c r="E5891" s="2">
        <v>12237.7</v>
      </c>
      <c r="F5891" s="2">
        <v>12163.45</v>
      </c>
      <c r="G5891" s="3">
        <f t="shared" si="275"/>
        <v>4.6568023016850812E-3</v>
      </c>
      <c r="H5891" s="2">
        <f t="shared" si="273"/>
        <v>74.25</v>
      </c>
      <c r="I5891" s="3">
        <f t="shared" si="274"/>
        <v>6.0875625153726329E-3</v>
      </c>
    </row>
    <row r="5892" spans="2:9" x14ac:dyDescent="0.25">
      <c r="B5892" s="1">
        <v>43818</v>
      </c>
      <c r="C5892" s="2">
        <v>12259.7</v>
      </c>
      <c r="D5892" s="2">
        <v>12223.4</v>
      </c>
      <c r="E5892" s="2">
        <v>12268.35</v>
      </c>
      <c r="F5892" s="2">
        <v>12191.15</v>
      </c>
      <c r="G5892" s="3">
        <f t="shared" si="275"/>
        <v>3.1133275785184544E-3</v>
      </c>
      <c r="H5892" s="2">
        <f t="shared" si="273"/>
        <v>77.200000000000728</v>
      </c>
      <c r="I5892" s="3">
        <f t="shared" si="274"/>
        <v>6.3157550272428887E-3</v>
      </c>
    </row>
    <row r="5893" spans="2:9" x14ac:dyDescent="0.25">
      <c r="B5893" s="1">
        <v>43819</v>
      </c>
      <c r="C5893" s="2">
        <v>12271.8</v>
      </c>
      <c r="D5893" s="2">
        <v>12266.45</v>
      </c>
      <c r="E5893" s="2">
        <v>12293.9</v>
      </c>
      <c r="F5893" s="2">
        <v>12252.75</v>
      </c>
      <c r="G5893" s="3">
        <f t="shared" si="275"/>
        <v>9.8697358010380043E-4</v>
      </c>
      <c r="H5893" s="2">
        <f t="shared" ref="H5893:H5956" si="276">E5893-F5893</f>
        <v>41.149999999999636</v>
      </c>
      <c r="I5893" s="3">
        <f t="shared" si="274"/>
        <v>3.3546788190551981E-3</v>
      </c>
    </row>
    <row r="5894" spans="2:9" x14ac:dyDescent="0.25">
      <c r="B5894" s="1">
        <v>43822</v>
      </c>
      <c r="C5894" s="2">
        <v>12262.75</v>
      </c>
      <c r="D5894" s="2">
        <v>12235.45</v>
      </c>
      <c r="E5894" s="2">
        <v>12287.15</v>
      </c>
      <c r="F5894" s="2">
        <v>12213.25</v>
      </c>
      <c r="G5894" s="3">
        <f t="shared" si="275"/>
        <v>-7.3746312684364046E-4</v>
      </c>
      <c r="H5894" s="2">
        <f t="shared" si="276"/>
        <v>73.899999999999636</v>
      </c>
      <c r="I5894" s="3">
        <f t="shared" ref="I5894:I5957" si="277">H5894/D5894</f>
        <v>6.0398268964361448E-3</v>
      </c>
    </row>
    <row r="5895" spans="2:9" x14ac:dyDescent="0.25">
      <c r="B5895" s="1">
        <v>43823</v>
      </c>
      <c r="C5895" s="2">
        <v>12214.55</v>
      </c>
      <c r="D5895" s="2">
        <v>12269.25</v>
      </c>
      <c r="E5895" s="2">
        <v>12283.7</v>
      </c>
      <c r="F5895" s="2">
        <v>12202.1</v>
      </c>
      <c r="G5895" s="3">
        <f t="shared" ref="G5895:G5958" si="278">C5895/C5894-1</f>
        <v>-3.930602841940134E-3</v>
      </c>
      <c r="H5895" s="2">
        <f t="shared" si="276"/>
        <v>81.600000000000364</v>
      </c>
      <c r="I5895" s="3">
        <f t="shared" si="277"/>
        <v>6.6507732746500696E-3</v>
      </c>
    </row>
    <row r="5896" spans="2:9" x14ac:dyDescent="0.25">
      <c r="B5896" s="1">
        <v>43825</v>
      </c>
      <c r="C5896" s="2">
        <v>12126.55</v>
      </c>
      <c r="D5896" s="2">
        <v>12211.85</v>
      </c>
      <c r="E5896" s="2">
        <v>12221.55</v>
      </c>
      <c r="F5896" s="2">
        <v>12118.85</v>
      </c>
      <c r="G5896" s="3">
        <f t="shared" si="278"/>
        <v>-7.2045224752447234E-3</v>
      </c>
      <c r="H5896" s="2">
        <f t="shared" si="276"/>
        <v>102.69999999999891</v>
      </c>
      <c r="I5896" s="3">
        <f t="shared" si="277"/>
        <v>8.4098641892914588E-3</v>
      </c>
    </row>
    <row r="5897" spans="2:9" x14ac:dyDescent="0.25">
      <c r="B5897" s="1">
        <v>43826</v>
      </c>
      <c r="C5897" s="2">
        <v>12245.8</v>
      </c>
      <c r="D5897" s="2">
        <v>12172.9</v>
      </c>
      <c r="E5897" s="2">
        <v>12258.45</v>
      </c>
      <c r="F5897" s="2">
        <v>12157.9</v>
      </c>
      <c r="G5897" s="3">
        <f t="shared" si="278"/>
        <v>9.8337944427722146E-3</v>
      </c>
      <c r="H5897" s="2">
        <f t="shared" si="276"/>
        <v>100.55000000000109</v>
      </c>
      <c r="I5897" s="3">
        <f t="shared" si="277"/>
        <v>8.2601516483336839E-3</v>
      </c>
    </row>
    <row r="5898" spans="2:9" x14ac:dyDescent="0.25">
      <c r="B5898" s="1">
        <v>43829</v>
      </c>
      <c r="C5898" s="2">
        <v>12255.85</v>
      </c>
      <c r="D5898" s="2">
        <v>12274.9</v>
      </c>
      <c r="E5898" s="2">
        <v>12286.45</v>
      </c>
      <c r="F5898" s="2">
        <v>12213.8</v>
      </c>
      <c r="G5898" s="3">
        <f t="shared" si="278"/>
        <v>8.206895425371119E-4</v>
      </c>
      <c r="H5898" s="2">
        <f t="shared" si="276"/>
        <v>72.650000000001455</v>
      </c>
      <c r="I5898" s="3">
        <f t="shared" si="277"/>
        <v>5.9185818214406195E-3</v>
      </c>
    </row>
    <row r="5899" spans="2:9" x14ac:dyDescent="0.25">
      <c r="B5899" s="1">
        <v>43830</v>
      </c>
      <c r="C5899" s="2">
        <v>12168.45</v>
      </c>
      <c r="D5899" s="2">
        <v>12247.1</v>
      </c>
      <c r="E5899" s="2">
        <v>12247.1</v>
      </c>
      <c r="F5899" s="2">
        <v>12151.8</v>
      </c>
      <c r="G5899" s="3">
        <f t="shared" si="278"/>
        <v>-7.1312883235352675E-3</v>
      </c>
      <c r="H5899" s="2">
        <f t="shared" si="276"/>
        <v>95.300000000001091</v>
      </c>
      <c r="I5899" s="3">
        <f t="shared" si="277"/>
        <v>7.7814339721241016E-3</v>
      </c>
    </row>
    <row r="5900" spans="2:9" x14ac:dyDescent="0.25">
      <c r="B5900" s="1">
        <v>43831</v>
      </c>
      <c r="C5900" s="2">
        <v>12182.5</v>
      </c>
      <c r="D5900" s="2">
        <v>12202.15</v>
      </c>
      <c r="E5900" s="2">
        <v>12222.2</v>
      </c>
      <c r="F5900" s="2">
        <v>12165.3</v>
      </c>
      <c r="G5900" s="3">
        <f t="shared" si="278"/>
        <v>1.1546252809520041E-3</v>
      </c>
      <c r="H5900" s="2">
        <f t="shared" si="276"/>
        <v>56.900000000001455</v>
      </c>
      <c r="I5900" s="3">
        <f t="shared" si="277"/>
        <v>4.6631126481809729E-3</v>
      </c>
    </row>
    <row r="5901" spans="2:9" x14ac:dyDescent="0.25">
      <c r="B5901" s="1">
        <v>43832</v>
      </c>
      <c r="C5901" s="2">
        <v>12282.2</v>
      </c>
      <c r="D5901" s="2">
        <v>12198.55</v>
      </c>
      <c r="E5901" s="2">
        <v>12289.9</v>
      </c>
      <c r="F5901" s="2">
        <v>12195.25</v>
      </c>
      <c r="G5901" s="3">
        <f t="shared" si="278"/>
        <v>8.1838703057666162E-3</v>
      </c>
      <c r="H5901" s="2">
        <f t="shared" si="276"/>
        <v>94.649999999999636</v>
      </c>
      <c r="I5901" s="3">
        <f t="shared" si="277"/>
        <v>7.7591189116738993E-3</v>
      </c>
    </row>
    <row r="5902" spans="2:9" x14ac:dyDescent="0.25">
      <c r="B5902" s="1">
        <v>43833</v>
      </c>
      <c r="C5902" s="2">
        <v>12226.65</v>
      </c>
      <c r="D5902" s="2">
        <v>12261.1</v>
      </c>
      <c r="E5902" s="2">
        <v>12265.6</v>
      </c>
      <c r="F5902" s="2">
        <v>12191.35</v>
      </c>
      <c r="G5902" s="3">
        <f t="shared" si="278"/>
        <v>-4.5228053606032326E-3</v>
      </c>
      <c r="H5902" s="2">
        <f t="shared" si="276"/>
        <v>74.25</v>
      </c>
      <c r="I5902" s="3">
        <f t="shared" si="277"/>
        <v>6.055737250328274E-3</v>
      </c>
    </row>
    <row r="5903" spans="2:9" x14ac:dyDescent="0.25">
      <c r="B5903" s="1">
        <v>43836</v>
      </c>
      <c r="C5903" s="2">
        <v>11993.05</v>
      </c>
      <c r="D5903" s="2">
        <v>12170.6</v>
      </c>
      <c r="E5903" s="2">
        <v>12179.1</v>
      </c>
      <c r="F5903" s="2">
        <v>11974.2</v>
      </c>
      <c r="G5903" s="3">
        <f t="shared" si="278"/>
        <v>-1.91058057603678E-2</v>
      </c>
      <c r="H5903" s="2">
        <f t="shared" si="276"/>
        <v>204.89999999999964</v>
      </c>
      <c r="I5903" s="3">
        <f t="shared" si="277"/>
        <v>1.6835653131316422E-2</v>
      </c>
    </row>
    <row r="5904" spans="2:9" x14ac:dyDescent="0.25">
      <c r="B5904" s="1">
        <v>43837</v>
      </c>
      <c r="C5904" s="2">
        <v>12052.95</v>
      </c>
      <c r="D5904" s="2">
        <v>12079.1</v>
      </c>
      <c r="E5904" s="2">
        <v>12152.15</v>
      </c>
      <c r="F5904" s="2">
        <v>12005.35</v>
      </c>
      <c r="G5904" s="3">
        <f t="shared" si="278"/>
        <v>4.9945593489564288E-3</v>
      </c>
      <c r="H5904" s="2">
        <f t="shared" si="276"/>
        <v>146.79999999999927</v>
      </c>
      <c r="I5904" s="3">
        <f t="shared" si="277"/>
        <v>1.2153223336175648E-2</v>
      </c>
    </row>
    <row r="5905" spans="2:9" x14ac:dyDescent="0.25">
      <c r="B5905" s="1">
        <v>43838</v>
      </c>
      <c r="C5905" s="2">
        <v>12025.35</v>
      </c>
      <c r="D5905" s="2">
        <v>11939.1</v>
      </c>
      <c r="E5905" s="2">
        <v>12044.95</v>
      </c>
      <c r="F5905" s="2">
        <v>11929.6</v>
      </c>
      <c r="G5905" s="3">
        <f t="shared" si="278"/>
        <v>-2.2898958346296849E-3</v>
      </c>
      <c r="H5905" s="2">
        <f t="shared" si="276"/>
        <v>115.35000000000036</v>
      </c>
      <c r="I5905" s="3">
        <f t="shared" si="277"/>
        <v>9.6615322763022645E-3</v>
      </c>
    </row>
    <row r="5906" spans="2:9" x14ac:dyDescent="0.25">
      <c r="B5906" s="1">
        <v>43839</v>
      </c>
      <c r="C5906" s="2">
        <v>12215.9</v>
      </c>
      <c r="D5906" s="2">
        <v>12153.15</v>
      </c>
      <c r="E5906" s="2">
        <v>12224.05</v>
      </c>
      <c r="F5906" s="2">
        <v>12132.55</v>
      </c>
      <c r="G5906" s="3">
        <f t="shared" si="278"/>
        <v>1.5845692640962472E-2</v>
      </c>
      <c r="H5906" s="2">
        <f t="shared" si="276"/>
        <v>91.5</v>
      </c>
      <c r="I5906" s="3">
        <f t="shared" si="277"/>
        <v>7.5289122573160049E-3</v>
      </c>
    </row>
    <row r="5907" spans="2:9" x14ac:dyDescent="0.25">
      <c r="B5907" s="1">
        <v>43840</v>
      </c>
      <c r="C5907" s="2">
        <v>12256.8</v>
      </c>
      <c r="D5907" s="2">
        <v>12271</v>
      </c>
      <c r="E5907" s="2">
        <v>12311.2</v>
      </c>
      <c r="F5907" s="2">
        <v>12213.2</v>
      </c>
      <c r="G5907" s="3">
        <f t="shared" si="278"/>
        <v>3.3480955148617042E-3</v>
      </c>
      <c r="H5907" s="2">
        <f t="shared" si="276"/>
        <v>98</v>
      </c>
      <c r="I5907" s="3">
        <f t="shared" si="277"/>
        <v>7.9863091842555627E-3</v>
      </c>
    </row>
    <row r="5908" spans="2:9" x14ac:dyDescent="0.25">
      <c r="B5908" s="1">
        <v>43843</v>
      </c>
      <c r="C5908" s="2">
        <v>12329.55</v>
      </c>
      <c r="D5908" s="2">
        <v>12296.7</v>
      </c>
      <c r="E5908" s="2">
        <v>12337.75</v>
      </c>
      <c r="F5908" s="2">
        <v>12285.8</v>
      </c>
      <c r="G5908" s="3">
        <f t="shared" si="278"/>
        <v>5.9354807127471876E-3</v>
      </c>
      <c r="H5908" s="2">
        <f t="shared" si="276"/>
        <v>51.950000000000728</v>
      </c>
      <c r="I5908" s="3">
        <f t="shared" si="277"/>
        <v>4.2247106947392978E-3</v>
      </c>
    </row>
    <row r="5909" spans="2:9" x14ac:dyDescent="0.25">
      <c r="B5909" s="1">
        <v>43844</v>
      </c>
      <c r="C5909" s="2">
        <v>12362.3</v>
      </c>
      <c r="D5909" s="2">
        <v>12333.1</v>
      </c>
      <c r="E5909" s="2">
        <v>12374.25</v>
      </c>
      <c r="F5909" s="2">
        <v>12308.7</v>
      </c>
      <c r="G5909" s="3">
        <f t="shared" si="278"/>
        <v>2.6562202189048811E-3</v>
      </c>
      <c r="H5909" s="2">
        <f t="shared" si="276"/>
        <v>65.549999999999272</v>
      </c>
      <c r="I5909" s="3">
        <f t="shared" si="277"/>
        <v>5.3149654182646109E-3</v>
      </c>
    </row>
    <row r="5910" spans="2:9" x14ac:dyDescent="0.25">
      <c r="B5910" s="1">
        <v>43845</v>
      </c>
      <c r="C5910" s="2">
        <v>12343.3</v>
      </c>
      <c r="D5910" s="2">
        <v>12349.4</v>
      </c>
      <c r="E5910" s="2">
        <v>12355.15</v>
      </c>
      <c r="F5910" s="2">
        <v>12278.75</v>
      </c>
      <c r="G5910" s="3">
        <f t="shared" si="278"/>
        <v>-1.5369308300234863E-3</v>
      </c>
      <c r="H5910" s="2">
        <f t="shared" si="276"/>
        <v>76.399999999999636</v>
      </c>
      <c r="I5910" s="3">
        <f t="shared" si="277"/>
        <v>6.1865353782369703E-3</v>
      </c>
    </row>
    <row r="5911" spans="2:9" x14ac:dyDescent="0.25">
      <c r="B5911" s="1">
        <v>43846</v>
      </c>
      <c r="C5911" s="2">
        <v>12355.5</v>
      </c>
      <c r="D5911" s="2">
        <v>12347.1</v>
      </c>
      <c r="E5911" s="2">
        <v>12389.05</v>
      </c>
      <c r="F5911" s="2">
        <v>12315.8</v>
      </c>
      <c r="G5911" s="3">
        <f t="shared" si="278"/>
        <v>9.8839046284227017E-4</v>
      </c>
      <c r="H5911" s="2">
        <f t="shared" si="276"/>
        <v>73.25</v>
      </c>
      <c r="I5911" s="3">
        <f t="shared" si="277"/>
        <v>5.9325671615197088E-3</v>
      </c>
    </row>
    <row r="5912" spans="2:9" x14ac:dyDescent="0.25">
      <c r="B5912" s="1">
        <v>43847</v>
      </c>
      <c r="C5912" s="2">
        <v>12352.35</v>
      </c>
      <c r="D5912" s="2">
        <v>12328.4</v>
      </c>
      <c r="E5912" s="2">
        <v>12385.45</v>
      </c>
      <c r="F5912" s="2">
        <v>12321.4</v>
      </c>
      <c r="G5912" s="3">
        <f t="shared" si="278"/>
        <v>-2.5494718951069029E-4</v>
      </c>
      <c r="H5912" s="2">
        <f t="shared" si="276"/>
        <v>64.050000000001091</v>
      </c>
      <c r="I5912" s="3">
        <f t="shared" si="277"/>
        <v>5.1953213717920487E-3</v>
      </c>
    </row>
    <row r="5913" spans="2:9" x14ac:dyDescent="0.25">
      <c r="B5913" s="1">
        <v>43850</v>
      </c>
      <c r="C5913" s="2">
        <v>12224.55</v>
      </c>
      <c r="D5913" s="2">
        <v>12430.5</v>
      </c>
      <c r="E5913" s="2">
        <v>12430.5</v>
      </c>
      <c r="F5913" s="2">
        <v>12216.9</v>
      </c>
      <c r="G5913" s="3">
        <f t="shared" si="278"/>
        <v>-1.0346209425736941E-2</v>
      </c>
      <c r="H5913" s="2">
        <f t="shared" si="276"/>
        <v>213.60000000000036</v>
      </c>
      <c r="I5913" s="3">
        <f t="shared" si="277"/>
        <v>1.7183540485097168E-2</v>
      </c>
    </row>
    <row r="5914" spans="2:9" x14ac:dyDescent="0.25">
      <c r="B5914" s="1">
        <v>43851</v>
      </c>
      <c r="C5914" s="2">
        <v>12169.85</v>
      </c>
      <c r="D5914" s="2">
        <v>12195.3</v>
      </c>
      <c r="E5914" s="2">
        <v>12230.05</v>
      </c>
      <c r="F5914" s="2">
        <v>12162.3</v>
      </c>
      <c r="G5914" s="3">
        <f t="shared" si="278"/>
        <v>-4.4746023371002863E-3</v>
      </c>
      <c r="H5914" s="2">
        <f t="shared" si="276"/>
        <v>67.75</v>
      </c>
      <c r="I5914" s="3">
        <f t="shared" si="277"/>
        <v>5.5554188908841931E-3</v>
      </c>
    </row>
    <row r="5915" spans="2:9" x14ac:dyDescent="0.25">
      <c r="B5915" s="1">
        <v>43852</v>
      </c>
      <c r="C5915" s="2">
        <v>12106.9</v>
      </c>
      <c r="D5915" s="2">
        <v>12218.35</v>
      </c>
      <c r="E5915" s="2">
        <v>12225.05</v>
      </c>
      <c r="F5915" s="2">
        <v>12087.9</v>
      </c>
      <c r="G5915" s="3">
        <f t="shared" si="278"/>
        <v>-5.172619218807184E-3</v>
      </c>
      <c r="H5915" s="2">
        <f t="shared" si="276"/>
        <v>137.14999999999964</v>
      </c>
      <c r="I5915" s="3">
        <f t="shared" si="277"/>
        <v>1.1224919895075819E-2</v>
      </c>
    </row>
    <row r="5916" spans="2:9" x14ac:dyDescent="0.25">
      <c r="B5916" s="1">
        <v>43853</v>
      </c>
      <c r="C5916" s="2">
        <v>12180.35</v>
      </c>
      <c r="D5916" s="2">
        <v>12123.75</v>
      </c>
      <c r="E5916" s="2">
        <v>12189</v>
      </c>
      <c r="F5916" s="2">
        <v>12094.1</v>
      </c>
      <c r="G5916" s="3">
        <f t="shared" si="278"/>
        <v>6.0667883603564565E-3</v>
      </c>
      <c r="H5916" s="2">
        <f t="shared" si="276"/>
        <v>94.899999999999636</v>
      </c>
      <c r="I5916" s="3">
        <f t="shared" si="277"/>
        <v>7.8276110939271785E-3</v>
      </c>
    </row>
    <row r="5917" spans="2:9" x14ac:dyDescent="0.25">
      <c r="B5917" s="1">
        <v>43854</v>
      </c>
      <c r="C5917" s="2">
        <v>12248.25</v>
      </c>
      <c r="D5917" s="2">
        <v>12174.55</v>
      </c>
      <c r="E5917" s="2">
        <v>12272.15</v>
      </c>
      <c r="F5917" s="2">
        <v>12149.65</v>
      </c>
      <c r="G5917" s="3">
        <f t="shared" si="278"/>
        <v>5.5745524553891812E-3</v>
      </c>
      <c r="H5917" s="2">
        <f t="shared" si="276"/>
        <v>122.5</v>
      </c>
      <c r="I5917" s="3">
        <f t="shared" si="277"/>
        <v>1.0061973543169974E-2</v>
      </c>
    </row>
    <row r="5918" spans="2:9" x14ac:dyDescent="0.25">
      <c r="B5918" s="1">
        <v>43857</v>
      </c>
      <c r="C5918" s="2">
        <v>12119</v>
      </c>
      <c r="D5918" s="2">
        <v>12197.1</v>
      </c>
      <c r="E5918" s="2">
        <v>12216.6</v>
      </c>
      <c r="F5918" s="2">
        <v>12107</v>
      </c>
      <c r="G5918" s="3">
        <f t="shared" si="278"/>
        <v>-1.0552527912150667E-2</v>
      </c>
      <c r="H5918" s="2">
        <f t="shared" si="276"/>
        <v>109.60000000000036</v>
      </c>
      <c r="I5918" s="3">
        <f t="shared" si="277"/>
        <v>8.9857425125644923E-3</v>
      </c>
    </row>
    <row r="5919" spans="2:9" x14ac:dyDescent="0.25">
      <c r="B5919" s="1">
        <v>43858</v>
      </c>
      <c r="C5919" s="2">
        <v>12055.8</v>
      </c>
      <c r="D5919" s="2">
        <v>12148.1</v>
      </c>
      <c r="E5919" s="2">
        <v>12163.55</v>
      </c>
      <c r="F5919" s="2">
        <v>12024.5</v>
      </c>
      <c r="G5919" s="3">
        <f t="shared" si="278"/>
        <v>-5.2149517286905755E-3</v>
      </c>
      <c r="H5919" s="2">
        <f t="shared" si="276"/>
        <v>139.04999999999927</v>
      </c>
      <c r="I5919" s="3">
        <f t="shared" si="277"/>
        <v>1.1446234390563073E-2</v>
      </c>
    </row>
    <row r="5920" spans="2:9" x14ac:dyDescent="0.25">
      <c r="B5920" s="1">
        <v>43859</v>
      </c>
      <c r="C5920" s="2">
        <v>12129.5</v>
      </c>
      <c r="D5920" s="2">
        <v>12114.9</v>
      </c>
      <c r="E5920" s="2">
        <v>12169.6</v>
      </c>
      <c r="F5920" s="2">
        <v>12103.8</v>
      </c>
      <c r="G5920" s="3">
        <f t="shared" si="278"/>
        <v>6.1132401002008674E-3</v>
      </c>
      <c r="H5920" s="2">
        <f t="shared" si="276"/>
        <v>65.800000000001091</v>
      </c>
      <c r="I5920" s="3">
        <f t="shared" si="277"/>
        <v>5.4313283642457716E-3</v>
      </c>
    </row>
    <row r="5921" spans="2:9" x14ac:dyDescent="0.25">
      <c r="B5921" s="1">
        <v>43860</v>
      </c>
      <c r="C5921" s="2">
        <v>12035.8</v>
      </c>
      <c r="D5921" s="2">
        <v>12147.75</v>
      </c>
      <c r="E5921" s="2">
        <v>12150.3</v>
      </c>
      <c r="F5921" s="2">
        <v>12010.6</v>
      </c>
      <c r="G5921" s="3">
        <f t="shared" si="278"/>
        <v>-7.7249680530937503E-3</v>
      </c>
      <c r="H5921" s="2">
        <f t="shared" si="276"/>
        <v>139.69999999999891</v>
      </c>
      <c r="I5921" s="3">
        <f t="shared" si="277"/>
        <v>1.1500072029799668E-2</v>
      </c>
    </row>
    <row r="5922" spans="2:9" x14ac:dyDescent="0.25">
      <c r="B5922" s="1">
        <v>43861</v>
      </c>
      <c r="C5922" s="2">
        <v>11962.1</v>
      </c>
      <c r="D5922" s="2">
        <v>12100.4</v>
      </c>
      <c r="E5922" s="2">
        <v>12103.55</v>
      </c>
      <c r="F5922" s="2">
        <v>11945.85</v>
      </c>
      <c r="G5922" s="3">
        <f t="shared" si="278"/>
        <v>-6.1233985277254765E-3</v>
      </c>
      <c r="H5922" s="2">
        <f t="shared" si="276"/>
        <v>157.69999999999891</v>
      </c>
      <c r="I5922" s="3">
        <f t="shared" si="277"/>
        <v>1.3032627020594271E-2</v>
      </c>
    </row>
    <row r="5923" spans="2:9" x14ac:dyDescent="0.25">
      <c r="B5923" s="1">
        <v>43862</v>
      </c>
      <c r="C5923" s="2">
        <v>11661.85</v>
      </c>
      <c r="D5923" s="2">
        <v>11939</v>
      </c>
      <c r="E5923" s="2">
        <v>12017.35</v>
      </c>
      <c r="F5923" s="2">
        <v>11633.3</v>
      </c>
      <c r="G5923" s="3">
        <f t="shared" si="278"/>
        <v>-2.5100107840596575E-2</v>
      </c>
      <c r="H5923" s="2">
        <f t="shared" si="276"/>
        <v>384.05000000000109</v>
      </c>
      <c r="I5923" s="3">
        <f t="shared" si="277"/>
        <v>3.2167685735823862E-2</v>
      </c>
    </row>
    <row r="5924" spans="2:9" x14ac:dyDescent="0.25">
      <c r="B5924" s="1">
        <v>43864</v>
      </c>
      <c r="C5924" s="2">
        <v>11707.9</v>
      </c>
      <c r="D5924" s="2">
        <v>11627.45</v>
      </c>
      <c r="E5924" s="2">
        <v>11749.85</v>
      </c>
      <c r="F5924" s="2">
        <v>11614.5</v>
      </c>
      <c r="G5924" s="3">
        <f t="shared" si="278"/>
        <v>3.9487731363376799E-3</v>
      </c>
      <c r="H5924" s="2">
        <f t="shared" si="276"/>
        <v>135.35000000000036</v>
      </c>
      <c r="I5924" s="3">
        <f t="shared" si="277"/>
        <v>1.1640557473908755E-2</v>
      </c>
    </row>
    <row r="5925" spans="2:9" x14ac:dyDescent="0.25">
      <c r="B5925" s="1">
        <v>43865</v>
      </c>
      <c r="C5925" s="2">
        <v>11979.65</v>
      </c>
      <c r="D5925" s="2">
        <v>11786.25</v>
      </c>
      <c r="E5925" s="2">
        <v>11986.15</v>
      </c>
      <c r="F5925" s="2">
        <v>11783.4</v>
      </c>
      <c r="G5925" s="3">
        <f t="shared" si="278"/>
        <v>2.3210823461081942E-2</v>
      </c>
      <c r="H5925" s="2">
        <f t="shared" si="276"/>
        <v>202.75</v>
      </c>
      <c r="I5925" s="3">
        <f t="shared" si="277"/>
        <v>1.7202248382649273E-2</v>
      </c>
    </row>
    <row r="5926" spans="2:9" x14ac:dyDescent="0.25">
      <c r="B5926" s="1">
        <v>43866</v>
      </c>
      <c r="C5926" s="2">
        <v>12089.15</v>
      </c>
      <c r="D5926" s="2">
        <v>12005.85</v>
      </c>
      <c r="E5926" s="2">
        <v>12098.15</v>
      </c>
      <c r="F5926" s="2">
        <v>11953.35</v>
      </c>
      <c r="G5926" s="3">
        <f t="shared" si="278"/>
        <v>9.1405007658822424E-3</v>
      </c>
      <c r="H5926" s="2">
        <f t="shared" si="276"/>
        <v>144.79999999999927</v>
      </c>
      <c r="I5926" s="3">
        <f t="shared" si="277"/>
        <v>1.2060787032988024E-2</v>
      </c>
    </row>
    <row r="5927" spans="2:9" x14ac:dyDescent="0.25">
      <c r="B5927" s="1">
        <v>43867</v>
      </c>
      <c r="C5927" s="2">
        <v>12137.95</v>
      </c>
      <c r="D5927" s="2">
        <v>12120</v>
      </c>
      <c r="E5927" s="2">
        <v>12160.6</v>
      </c>
      <c r="F5927" s="2">
        <v>12084.65</v>
      </c>
      <c r="G5927" s="3">
        <f t="shared" si="278"/>
        <v>4.0366775166162938E-3</v>
      </c>
      <c r="H5927" s="2">
        <f t="shared" si="276"/>
        <v>75.950000000000728</v>
      </c>
      <c r="I5927" s="3">
        <f t="shared" si="277"/>
        <v>6.2665016501650761E-3</v>
      </c>
    </row>
    <row r="5928" spans="2:9" x14ac:dyDescent="0.25">
      <c r="B5928" s="1">
        <v>43868</v>
      </c>
      <c r="C5928" s="2">
        <v>12098.35</v>
      </c>
      <c r="D5928" s="2">
        <v>12151.15</v>
      </c>
      <c r="E5928" s="2">
        <v>12154.7</v>
      </c>
      <c r="F5928" s="2">
        <v>12073.95</v>
      </c>
      <c r="G5928" s="3">
        <f t="shared" si="278"/>
        <v>-3.2624949023517535E-3</v>
      </c>
      <c r="H5928" s="2">
        <f t="shared" si="276"/>
        <v>80.75</v>
      </c>
      <c r="I5928" s="3">
        <f t="shared" si="277"/>
        <v>6.6454615406772201E-3</v>
      </c>
    </row>
    <row r="5929" spans="2:9" x14ac:dyDescent="0.25">
      <c r="B5929" s="1">
        <v>43871</v>
      </c>
      <c r="C5929" s="2">
        <v>12031.5</v>
      </c>
      <c r="D5929" s="2">
        <v>12102.35</v>
      </c>
      <c r="E5929" s="2">
        <v>12103.55</v>
      </c>
      <c r="F5929" s="2">
        <v>11990.75</v>
      </c>
      <c r="G5929" s="3">
        <f t="shared" si="278"/>
        <v>-5.525546872094167E-3</v>
      </c>
      <c r="H5929" s="2">
        <f t="shared" si="276"/>
        <v>112.79999999999927</v>
      </c>
      <c r="I5929" s="3">
        <f t="shared" si="277"/>
        <v>9.3205038690832177E-3</v>
      </c>
    </row>
    <row r="5930" spans="2:9" x14ac:dyDescent="0.25">
      <c r="B5930" s="1">
        <v>43872</v>
      </c>
      <c r="C5930" s="2">
        <v>12107.9</v>
      </c>
      <c r="D5930" s="2">
        <v>12108.4</v>
      </c>
      <c r="E5930" s="2">
        <v>12172.3</v>
      </c>
      <c r="F5930" s="2">
        <v>12099</v>
      </c>
      <c r="G5930" s="3">
        <f t="shared" si="278"/>
        <v>6.3499979221210978E-3</v>
      </c>
      <c r="H5930" s="2">
        <f t="shared" si="276"/>
        <v>73.299999999999272</v>
      </c>
      <c r="I5930" s="3">
        <f t="shared" si="277"/>
        <v>6.0536487066829041E-3</v>
      </c>
    </row>
    <row r="5931" spans="2:9" x14ac:dyDescent="0.25">
      <c r="B5931" s="1">
        <v>43873</v>
      </c>
      <c r="C5931" s="2">
        <v>12201.2</v>
      </c>
      <c r="D5931" s="2">
        <v>12151</v>
      </c>
      <c r="E5931" s="2">
        <v>12231.75</v>
      </c>
      <c r="F5931" s="2">
        <v>12144.3</v>
      </c>
      <c r="G5931" s="3">
        <f t="shared" si="278"/>
        <v>7.7057127990816099E-3</v>
      </c>
      <c r="H5931" s="2">
        <f t="shared" si="276"/>
        <v>87.450000000000728</v>
      </c>
      <c r="I5931" s="3">
        <f t="shared" si="277"/>
        <v>7.1969385235783664E-3</v>
      </c>
    </row>
    <row r="5932" spans="2:9" x14ac:dyDescent="0.25">
      <c r="B5932" s="1">
        <v>43874</v>
      </c>
      <c r="C5932" s="2">
        <v>12174.65</v>
      </c>
      <c r="D5932" s="2">
        <v>12219.55</v>
      </c>
      <c r="E5932" s="2">
        <v>12225.65</v>
      </c>
      <c r="F5932" s="2">
        <v>12139.8</v>
      </c>
      <c r="G5932" s="3">
        <f t="shared" si="278"/>
        <v>-2.1760154738879045E-3</v>
      </c>
      <c r="H5932" s="2">
        <f t="shared" si="276"/>
        <v>85.850000000000364</v>
      </c>
      <c r="I5932" s="3">
        <f t="shared" si="277"/>
        <v>7.025626966623187E-3</v>
      </c>
    </row>
    <row r="5933" spans="2:9" x14ac:dyDescent="0.25">
      <c r="B5933" s="1">
        <v>43875</v>
      </c>
      <c r="C5933" s="2">
        <v>12113.45</v>
      </c>
      <c r="D5933" s="2">
        <v>12190.15</v>
      </c>
      <c r="E5933" s="2">
        <v>12246.7</v>
      </c>
      <c r="F5933" s="2">
        <v>12091.2</v>
      </c>
      <c r="G5933" s="3">
        <f t="shared" si="278"/>
        <v>-5.0268385538803084E-3</v>
      </c>
      <c r="H5933" s="2">
        <f t="shared" si="276"/>
        <v>155.5</v>
      </c>
      <c r="I5933" s="3">
        <f t="shared" si="277"/>
        <v>1.2756200703026624E-2</v>
      </c>
    </row>
    <row r="5934" spans="2:9" x14ac:dyDescent="0.25">
      <c r="B5934" s="1">
        <v>43878</v>
      </c>
      <c r="C5934" s="2">
        <v>12045.8</v>
      </c>
      <c r="D5934" s="2">
        <v>12131.8</v>
      </c>
      <c r="E5934" s="2">
        <v>12159.6</v>
      </c>
      <c r="F5934" s="2">
        <v>12037</v>
      </c>
      <c r="G5934" s="3">
        <f t="shared" si="278"/>
        <v>-5.5847013030970727E-3</v>
      </c>
      <c r="H5934" s="2">
        <f t="shared" si="276"/>
        <v>122.60000000000036</v>
      </c>
      <c r="I5934" s="3">
        <f t="shared" si="277"/>
        <v>1.0105672694901034E-2</v>
      </c>
    </row>
    <row r="5935" spans="2:9" x14ac:dyDescent="0.25">
      <c r="B5935" s="1">
        <v>43879</v>
      </c>
      <c r="C5935" s="2">
        <v>11992.5</v>
      </c>
      <c r="D5935" s="2">
        <v>12028.25</v>
      </c>
      <c r="E5935" s="2">
        <v>12030.75</v>
      </c>
      <c r="F5935" s="2">
        <v>11908.05</v>
      </c>
      <c r="G5935" s="3">
        <f t="shared" si="278"/>
        <v>-4.4247787610618428E-3</v>
      </c>
      <c r="H5935" s="2">
        <f t="shared" si="276"/>
        <v>122.70000000000073</v>
      </c>
      <c r="I5935" s="3">
        <f t="shared" si="277"/>
        <v>1.0200985180720448E-2</v>
      </c>
    </row>
    <row r="5936" spans="2:9" x14ac:dyDescent="0.25">
      <c r="B5936" s="1">
        <v>43880</v>
      </c>
      <c r="C5936" s="2">
        <v>12125.9</v>
      </c>
      <c r="D5936" s="2">
        <v>12090.6</v>
      </c>
      <c r="E5936" s="2">
        <v>12134.7</v>
      </c>
      <c r="F5936" s="2">
        <v>12042.1</v>
      </c>
      <c r="G5936" s="3">
        <f t="shared" si="278"/>
        <v>1.1123618928496892E-2</v>
      </c>
      <c r="H5936" s="2">
        <f t="shared" si="276"/>
        <v>92.600000000000364</v>
      </c>
      <c r="I5936" s="3">
        <f t="shared" si="277"/>
        <v>7.6588424064976393E-3</v>
      </c>
    </row>
    <row r="5937" spans="2:9" x14ac:dyDescent="0.25">
      <c r="B5937" s="1">
        <v>43881</v>
      </c>
      <c r="C5937" s="2">
        <v>12080.85</v>
      </c>
      <c r="D5937" s="2">
        <v>12119</v>
      </c>
      <c r="E5937" s="2">
        <v>12152</v>
      </c>
      <c r="F5937" s="2">
        <v>12071.45</v>
      </c>
      <c r="G5937" s="3">
        <f t="shared" si="278"/>
        <v>-3.7151881509825957E-3</v>
      </c>
      <c r="H5937" s="2">
        <f t="shared" si="276"/>
        <v>80.549999999999272</v>
      </c>
      <c r="I5937" s="3">
        <f t="shared" si="277"/>
        <v>6.6465880023103613E-3</v>
      </c>
    </row>
    <row r="5938" spans="2:9" x14ac:dyDescent="0.25">
      <c r="B5938" s="1">
        <v>43885</v>
      </c>
      <c r="C5938" s="2">
        <v>11829.4</v>
      </c>
      <c r="D5938" s="2">
        <v>12012.55</v>
      </c>
      <c r="E5938" s="2">
        <v>12012.55</v>
      </c>
      <c r="F5938" s="2">
        <v>11813.4</v>
      </c>
      <c r="G5938" s="3">
        <f t="shared" si="278"/>
        <v>-2.0813932794463974E-2</v>
      </c>
      <c r="H5938" s="2">
        <f t="shared" si="276"/>
        <v>199.14999999999964</v>
      </c>
      <c r="I5938" s="3">
        <f t="shared" si="277"/>
        <v>1.6578494990655578E-2</v>
      </c>
    </row>
    <row r="5939" spans="2:9" x14ac:dyDescent="0.25">
      <c r="B5939" s="1">
        <v>43886</v>
      </c>
      <c r="C5939" s="2">
        <v>11797.9</v>
      </c>
      <c r="D5939" s="2">
        <v>11877.5</v>
      </c>
      <c r="E5939" s="2">
        <v>11883.05</v>
      </c>
      <c r="F5939" s="2">
        <v>11779.9</v>
      </c>
      <c r="G5939" s="3">
        <f t="shared" si="278"/>
        <v>-2.6628569496339738E-3</v>
      </c>
      <c r="H5939" s="2">
        <f t="shared" si="276"/>
        <v>103.14999999999964</v>
      </c>
      <c r="I5939" s="3">
        <f t="shared" si="277"/>
        <v>8.6844874763207444E-3</v>
      </c>
    </row>
    <row r="5940" spans="2:9" x14ac:dyDescent="0.25">
      <c r="B5940" s="1">
        <v>43887</v>
      </c>
      <c r="C5940" s="2">
        <v>11678.5</v>
      </c>
      <c r="D5940" s="2">
        <v>11738.55</v>
      </c>
      <c r="E5940" s="2">
        <v>11783.25</v>
      </c>
      <c r="F5940" s="2">
        <v>11639.6</v>
      </c>
      <c r="G5940" s="3">
        <f t="shared" si="278"/>
        <v>-1.0120445163969816E-2</v>
      </c>
      <c r="H5940" s="2">
        <f t="shared" si="276"/>
        <v>143.64999999999964</v>
      </c>
      <c r="I5940" s="3">
        <f t="shared" si="277"/>
        <v>1.2237456926110946E-2</v>
      </c>
    </row>
    <row r="5941" spans="2:9" x14ac:dyDescent="0.25">
      <c r="B5941" s="1">
        <v>43888</v>
      </c>
      <c r="C5941" s="2">
        <v>11633.3</v>
      </c>
      <c r="D5941" s="2">
        <v>11661.25</v>
      </c>
      <c r="E5941" s="2">
        <v>11663.85</v>
      </c>
      <c r="F5941" s="2">
        <v>11536.7</v>
      </c>
      <c r="G5941" s="3">
        <f t="shared" si="278"/>
        <v>-3.8703600633643864E-3</v>
      </c>
      <c r="H5941" s="2">
        <f t="shared" si="276"/>
        <v>127.14999999999964</v>
      </c>
      <c r="I5941" s="3">
        <f t="shared" si="277"/>
        <v>1.0903633829992465E-2</v>
      </c>
    </row>
    <row r="5942" spans="2:9" x14ac:dyDescent="0.25">
      <c r="B5942" s="1">
        <v>43889</v>
      </c>
      <c r="C5942" s="2">
        <v>11201.75</v>
      </c>
      <c r="D5942" s="2">
        <v>11382</v>
      </c>
      <c r="E5942" s="2">
        <v>11384.8</v>
      </c>
      <c r="F5942" s="2">
        <v>11175.05</v>
      </c>
      <c r="G5942" s="3">
        <f t="shared" si="278"/>
        <v>-3.709609483121723E-2</v>
      </c>
      <c r="H5942" s="2">
        <f t="shared" si="276"/>
        <v>209.75</v>
      </c>
      <c r="I5942" s="3">
        <f t="shared" si="277"/>
        <v>1.8428219996485678E-2</v>
      </c>
    </row>
    <row r="5943" spans="2:9" x14ac:dyDescent="0.25">
      <c r="B5943" s="1">
        <v>43892</v>
      </c>
      <c r="C5943" s="2">
        <v>11132.75</v>
      </c>
      <c r="D5943" s="2">
        <v>11387.35</v>
      </c>
      <c r="E5943" s="2">
        <v>11433</v>
      </c>
      <c r="F5943" s="2">
        <v>11036.25</v>
      </c>
      <c r="G5943" s="3">
        <f t="shared" si="278"/>
        <v>-6.1597518244916882E-3</v>
      </c>
      <c r="H5943" s="2">
        <f t="shared" si="276"/>
        <v>396.75</v>
      </c>
      <c r="I5943" s="3">
        <f t="shared" si="277"/>
        <v>3.4841293189372416E-2</v>
      </c>
    </row>
    <row r="5944" spans="2:9" x14ac:dyDescent="0.25">
      <c r="B5944" s="1">
        <v>43893</v>
      </c>
      <c r="C5944" s="2">
        <v>11303.3</v>
      </c>
      <c r="D5944" s="2">
        <v>11217.55</v>
      </c>
      <c r="E5944" s="2">
        <v>11342.25</v>
      </c>
      <c r="F5944" s="2">
        <v>11152.55</v>
      </c>
      <c r="G5944" s="3">
        <f t="shared" si="278"/>
        <v>1.5319664952504919E-2</v>
      </c>
      <c r="H5944" s="2">
        <f t="shared" si="276"/>
        <v>189.70000000000073</v>
      </c>
      <c r="I5944" s="3">
        <f t="shared" si="277"/>
        <v>1.6911001065295073E-2</v>
      </c>
    </row>
    <row r="5945" spans="2:9" x14ac:dyDescent="0.25">
      <c r="B5945" s="1">
        <v>43894</v>
      </c>
      <c r="C5945" s="2">
        <v>11251</v>
      </c>
      <c r="D5945" s="2">
        <v>11351.35</v>
      </c>
      <c r="E5945" s="2">
        <v>11356.6</v>
      </c>
      <c r="F5945" s="2">
        <v>11082.15</v>
      </c>
      <c r="G5945" s="3">
        <f t="shared" si="278"/>
        <v>-4.626967345819244E-3</v>
      </c>
      <c r="H5945" s="2">
        <f t="shared" si="276"/>
        <v>274.45000000000073</v>
      </c>
      <c r="I5945" s="3">
        <f t="shared" si="277"/>
        <v>2.4177740973540654E-2</v>
      </c>
    </row>
    <row r="5946" spans="2:9" x14ac:dyDescent="0.25">
      <c r="B5946" s="1">
        <v>43895</v>
      </c>
      <c r="C5946" s="2">
        <v>11269</v>
      </c>
      <c r="D5946" s="2">
        <v>11306.05</v>
      </c>
      <c r="E5946" s="2">
        <v>11389.5</v>
      </c>
      <c r="F5946" s="2">
        <v>11244.6</v>
      </c>
      <c r="G5946" s="3">
        <f t="shared" si="278"/>
        <v>1.5998577904186018E-3</v>
      </c>
      <c r="H5946" s="2">
        <f t="shared" si="276"/>
        <v>144.89999999999964</v>
      </c>
      <c r="I5946" s="3">
        <f t="shared" si="277"/>
        <v>1.2816147107079807E-2</v>
      </c>
    </row>
    <row r="5947" spans="2:9" x14ac:dyDescent="0.25">
      <c r="B5947" s="1">
        <v>43896</v>
      </c>
      <c r="C5947" s="2">
        <v>10989.45</v>
      </c>
      <c r="D5947" s="2">
        <v>10942.65</v>
      </c>
      <c r="E5947" s="2">
        <v>11035.1</v>
      </c>
      <c r="F5947" s="2">
        <v>10827.4</v>
      </c>
      <c r="G5947" s="3">
        <f t="shared" si="278"/>
        <v>-2.4806992634661351E-2</v>
      </c>
      <c r="H5947" s="2">
        <f t="shared" si="276"/>
        <v>207.70000000000073</v>
      </c>
      <c r="I5947" s="3">
        <f t="shared" si="277"/>
        <v>1.8980777051262786E-2</v>
      </c>
    </row>
    <row r="5948" spans="2:9" x14ac:dyDescent="0.25">
      <c r="B5948" s="1">
        <v>43899</v>
      </c>
      <c r="C5948" s="2">
        <v>10451.450000000001</v>
      </c>
      <c r="D5948" s="2">
        <v>10742.05</v>
      </c>
      <c r="E5948" s="2">
        <v>10751.55</v>
      </c>
      <c r="F5948" s="2">
        <v>10294.450000000001</v>
      </c>
      <c r="G5948" s="3">
        <f t="shared" si="278"/>
        <v>-4.8956044206033944E-2</v>
      </c>
      <c r="H5948" s="2">
        <f t="shared" si="276"/>
        <v>457.09999999999854</v>
      </c>
      <c r="I5948" s="3">
        <f t="shared" si="277"/>
        <v>4.2552399216164383E-2</v>
      </c>
    </row>
    <row r="5949" spans="2:9" x14ac:dyDescent="0.25">
      <c r="B5949" s="1">
        <v>43901</v>
      </c>
      <c r="C5949" s="2">
        <v>10458.4</v>
      </c>
      <c r="D5949" s="2">
        <v>10334.299999999999</v>
      </c>
      <c r="E5949" s="2">
        <v>10545.1</v>
      </c>
      <c r="F5949" s="2">
        <v>10334</v>
      </c>
      <c r="G5949" s="3">
        <f t="shared" si="278"/>
        <v>6.6497950045207865E-4</v>
      </c>
      <c r="H5949" s="2">
        <f t="shared" si="276"/>
        <v>211.10000000000036</v>
      </c>
      <c r="I5949" s="3">
        <f t="shared" si="277"/>
        <v>2.0427121333810746E-2</v>
      </c>
    </row>
    <row r="5950" spans="2:9" x14ac:dyDescent="0.25">
      <c r="B5950" s="1">
        <v>43902</v>
      </c>
      <c r="C5950" s="2">
        <v>9590.15</v>
      </c>
      <c r="D5950" s="2">
        <v>10039.950000000001</v>
      </c>
      <c r="E5950" s="2">
        <v>10040.75</v>
      </c>
      <c r="F5950" s="2">
        <v>9508</v>
      </c>
      <c r="G5950" s="3">
        <f t="shared" si="278"/>
        <v>-8.3019391111451069E-2</v>
      </c>
      <c r="H5950" s="2">
        <f t="shared" si="276"/>
        <v>532.75</v>
      </c>
      <c r="I5950" s="3">
        <f t="shared" si="277"/>
        <v>5.3063013262018233E-2</v>
      </c>
    </row>
    <row r="5951" spans="2:9" x14ac:dyDescent="0.25">
      <c r="B5951" s="1">
        <v>43903</v>
      </c>
      <c r="C5951" s="2">
        <v>9955.2000000000007</v>
      </c>
      <c r="D5951" s="2">
        <v>9107.6</v>
      </c>
      <c r="E5951" s="2">
        <v>10159.4</v>
      </c>
      <c r="F5951" s="2">
        <v>8555.15</v>
      </c>
      <c r="G5951" s="3">
        <f t="shared" si="278"/>
        <v>3.8065098043305046E-2</v>
      </c>
      <c r="H5951" s="2">
        <f t="shared" si="276"/>
        <v>1604.25</v>
      </c>
      <c r="I5951" s="3">
        <f t="shared" si="277"/>
        <v>0.1761440994334402</v>
      </c>
    </row>
    <row r="5952" spans="2:9" x14ac:dyDescent="0.25">
      <c r="B5952" s="1">
        <v>43906</v>
      </c>
      <c r="C5952" s="2">
        <v>9197.4</v>
      </c>
      <c r="D5952" s="2">
        <v>9587.7999999999993</v>
      </c>
      <c r="E5952" s="2">
        <v>9602.2000000000007</v>
      </c>
      <c r="F5952" s="2">
        <v>9165.1</v>
      </c>
      <c r="G5952" s="3">
        <f t="shared" si="278"/>
        <v>-7.6121022179363673E-2</v>
      </c>
      <c r="H5952" s="2">
        <f t="shared" si="276"/>
        <v>437.10000000000036</v>
      </c>
      <c r="I5952" s="3">
        <f t="shared" si="277"/>
        <v>4.5589186257535656E-2</v>
      </c>
    </row>
    <row r="5953" spans="2:9" x14ac:dyDescent="0.25">
      <c r="B5953" s="1">
        <v>43907</v>
      </c>
      <c r="C5953" s="2">
        <v>8967.0499999999993</v>
      </c>
      <c r="D5953" s="2">
        <v>9285.4</v>
      </c>
      <c r="E5953" s="2">
        <v>9403.7999999999993</v>
      </c>
      <c r="F5953" s="2">
        <v>8915.6</v>
      </c>
      <c r="G5953" s="3">
        <f t="shared" si="278"/>
        <v>-2.5045121447365593E-2</v>
      </c>
      <c r="H5953" s="2">
        <f t="shared" si="276"/>
        <v>488.19999999999891</v>
      </c>
      <c r="I5953" s="3">
        <f t="shared" si="277"/>
        <v>5.2577164150171121E-2</v>
      </c>
    </row>
    <row r="5954" spans="2:9" x14ac:dyDescent="0.25">
      <c r="B5954" s="1">
        <v>43908</v>
      </c>
      <c r="C5954" s="2">
        <v>8468.7999999999993</v>
      </c>
      <c r="D5954" s="2">
        <v>9088.4500000000007</v>
      </c>
      <c r="E5954" s="2">
        <v>9127.5499999999993</v>
      </c>
      <c r="F5954" s="2">
        <v>8407.0499999999993</v>
      </c>
      <c r="G5954" s="3">
        <f t="shared" si="278"/>
        <v>-5.5564539062456397E-2</v>
      </c>
      <c r="H5954" s="2">
        <f t="shared" si="276"/>
        <v>720.5</v>
      </c>
      <c r="I5954" s="3">
        <f t="shared" si="277"/>
        <v>7.9276444278177247E-2</v>
      </c>
    </row>
    <row r="5955" spans="2:9" x14ac:dyDescent="0.25">
      <c r="B5955" s="1">
        <v>43909</v>
      </c>
      <c r="C5955" s="2">
        <v>8263.4500000000007</v>
      </c>
      <c r="D5955" s="2">
        <v>8063.3</v>
      </c>
      <c r="E5955" s="2">
        <v>8575.4500000000007</v>
      </c>
      <c r="F5955" s="2">
        <v>7832.55</v>
      </c>
      <c r="G5955" s="3">
        <f t="shared" si="278"/>
        <v>-2.4247827319100579E-2</v>
      </c>
      <c r="H5955" s="2">
        <f t="shared" si="276"/>
        <v>742.90000000000055</v>
      </c>
      <c r="I5955" s="3">
        <f t="shared" si="277"/>
        <v>9.2133493730854679E-2</v>
      </c>
    </row>
    <row r="5956" spans="2:9" x14ac:dyDescent="0.25">
      <c r="B5956" s="1">
        <v>43910</v>
      </c>
      <c r="C5956" s="2">
        <v>8745.4500000000007</v>
      </c>
      <c r="D5956" s="2">
        <v>8284.4500000000007</v>
      </c>
      <c r="E5956" s="2">
        <v>8883</v>
      </c>
      <c r="F5956" s="2">
        <v>8178.2</v>
      </c>
      <c r="G5956" s="3">
        <f t="shared" si="278"/>
        <v>5.8329148237116435E-2</v>
      </c>
      <c r="H5956" s="2">
        <f t="shared" si="276"/>
        <v>704.80000000000018</v>
      </c>
      <c r="I5956" s="3">
        <f t="shared" si="277"/>
        <v>8.5075050244735634E-2</v>
      </c>
    </row>
    <row r="5957" spans="2:9" x14ac:dyDescent="0.25">
      <c r="B5957" s="1">
        <v>43913</v>
      </c>
      <c r="C5957" s="2">
        <v>7610.25</v>
      </c>
      <c r="D5957" s="2">
        <v>7945.7</v>
      </c>
      <c r="E5957" s="2">
        <v>8159.25</v>
      </c>
      <c r="F5957" s="2">
        <v>7583.6</v>
      </c>
      <c r="G5957" s="3">
        <f t="shared" si="278"/>
        <v>-0.12980464127060365</v>
      </c>
      <c r="H5957" s="2">
        <f t="shared" ref="H5957:H6020" si="279">E5957-F5957</f>
        <v>575.64999999999964</v>
      </c>
      <c r="I5957" s="3">
        <f t="shared" si="277"/>
        <v>7.2447990737128209E-2</v>
      </c>
    </row>
    <row r="5958" spans="2:9" x14ac:dyDescent="0.25">
      <c r="B5958" s="1">
        <v>43914</v>
      </c>
      <c r="C5958" s="2">
        <v>7801.05</v>
      </c>
      <c r="D5958" s="2">
        <v>7848.3</v>
      </c>
      <c r="E5958" s="2">
        <v>8036.95</v>
      </c>
      <c r="F5958" s="2">
        <v>7511.1</v>
      </c>
      <c r="G5958" s="3">
        <f t="shared" si="278"/>
        <v>2.507144968956343E-2</v>
      </c>
      <c r="H5958" s="2">
        <f t="shared" si="279"/>
        <v>525.84999999999945</v>
      </c>
      <c r="I5958" s="3">
        <f t="shared" ref="I5958:I6021" si="280">H5958/D5958</f>
        <v>6.7001771084183759E-2</v>
      </c>
    </row>
    <row r="5959" spans="2:9" x14ac:dyDescent="0.25">
      <c r="B5959" s="1">
        <v>43915</v>
      </c>
      <c r="C5959" s="2">
        <v>8317.85</v>
      </c>
      <c r="D5959" s="2">
        <v>7735.15</v>
      </c>
      <c r="E5959" s="2">
        <v>8376.75</v>
      </c>
      <c r="F5959" s="2">
        <v>7714.75</v>
      </c>
      <c r="G5959" s="3">
        <f t="shared" ref="G5959:G6022" si="281">C5959/C5958-1</f>
        <v>6.6247492324751134E-2</v>
      </c>
      <c r="H5959" s="2">
        <f t="shared" si="279"/>
        <v>662</v>
      </c>
      <c r="I5959" s="3">
        <f t="shared" si="280"/>
        <v>8.5583343567998044E-2</v>
      </c>
    </row>
    <row r="5960" spans="2:9" x14ac:dyDescent="0.25">
      <c r="B5960" s="1">
        <v>43916</v>
      </c>
      <c r="C5960" s="2">
        <v>8641.4500000000007</v>
      </c>
      <c r="D5960" s="2">
        <v>8451</v>
      </c>
      <c r="E5960" s="2">
        <v>8749.0499999999993</v>
      </c>
      <c r="F5960" s="2">
        <v>8304.9</v>
      </c>
      <c r="G5960" s="3">
        <f t="shared" si="281"/>
        <v>3.890428415996916E-2</v>
      </c>
      <c r="H5960" s="2">
        <f t="shared" si="279"/>
        <v>444.14999999999964</v>
      </c>
      <c r="I5960" s="3">
        <f t="shared" si="280"/>
        <v>5.2555910543130947E-2</v>
      </c>
    </row>
    <row r="5961" spans="2:9" x14ac:dyDescent="0.25">
      <c r="B5961" s="1">
        <v>43917</v>
      </c>
      <c r="C5961" s="2">
        <v>8660.25</v>
      </c>
      <c r="D5961" s="2">
        <v>8949.1</v>
      </c>
      <c r="E5961" s="2">
        <v>9038.9</v>
      </c>
      <c r="F5961" s="2">
        <v>8522.9</v>
      </c>
      <c r="G5961" s="3">
        <f t="shared" si="281"/>
        <v>2.1755608144464755E-3</v>
      </c>
      <c r="H5961" s="2">
        <f t="shared" si="279"/>
        <v>516</v>
      </c>
      <c r="I5961" s="3">
        <f t="shared" si="280"/>
        <v>5.7659429439831933E-2</v>
      </c>
    </row>
    <row r="5962" spans="2:9" x14ac:dyDescent="0.25">
      <c r="B5962" s="1">
        <v>43920</v>
      </c>
      <c r="C5962" s="2">
        <v>8281.1</v>
      </c>
      <c r="D5962" s="2">
        <v>8385.9500000000007</v>
      </c>
      <c r="E5962" s="2">
        <v>8576</v>
      </c>
      <c r="F5962" s="2">
        <v>8244</v>
      </c>
      <c r="G5962" s="3">
        <f t="shared" si="281"/>
        <v>-4.3780491325308146E-2</v>
      </c>
      <c r="H5962" s="2">
        <f t="shared" si="279"/>
        <v>332</v>
      </c>
      <c r="I5962" s="3">
        <f t="shared" si="280"/>
        <v>3.9590028559674216E-2</v>
      </c>
    </row>
    <row r="5963" spans="2:9" x14ac:dyDescent="0.25">
      <c r="B5963" s="1">
        <v>43921</v>
      </c>
      <c r="C5963" s="2">
        <v>8597.75</v>
      </c>
      <c r="D5963" s="2">
        <v>8529.35</v>
      </c>
      <c r="E5963" s="2">
        <v>8678.2999999999993</v>
      </c>
      <c r="F5963" s="2">
        <v>8358</v>
      </c>
      <c r="G5963" s="3">
        <f t="shared" si="281"/>
        <v>3.8237673738996003E-2</v>
      </c>
      <c r="H5963" s="2">
        <f t="shared" si="279"/>
        <v>320.29999999999927</v>
      </c>
      <c r="I5963" s="3">
        <f t="shared" si="280"/>
        <v>3.7552685726344827E-2</v>
      </c>
    </row>
    <row r="5964" spans="2:9" x14ac:dyDescent="0.25">
      <c r="B5964" s="1">
        <v>43922</v>
      </c>
      <c r="C5964" s="2">
        <v>8253.7999999999993</v>
      </c>
      <c r="D5964" s="2">
        <v>8584.1</v>
      </c>
      <c r="E5964" s="2">
        <v>8588.1</v>
      </c>
      <c r="F5964" s="2">
        <v>8198.35</v>
      </c>
      <c r="G5964" s="3">
        <f t="shared" si="281"/>
        <v>-4.0004652379983185E-2</v>
      </c>
      <c r="H5964" s="2">
        <f t="shared" si="279"/>
        <v>389.75</v>
      </c>
      <c r="I5964" s="3">
        <f t="shared" si="280"/>
        <v>4.54037115131464E-2</v>
      </c>
    </row>
    <row r="5965" spans="2:9" x14ac:dyDescent="0.25">
      <c r="B5965" s="1">
        <v>43924</v>
      </c>
      <c r="C5965" s="2">
        <v>8083.8</v>
      </c>
      <c r="D5965" s="2">
        <v>8356.5499999999993</v>
      </c>
      <c r="E5965" s="2">
        <v>8356.5499999999993</v>
      </c>
      <c r="F5965" s="2">
        <v>8055.8</v>
      </c>
      <c r="G5965" s="3">
        <f t="shared" si="281"/>
        <v>-2.0596573699386833E-2</v>
      </c>
      <c r="H5965" s="2">
        <f t="shared" si="279"/>
        <v>300.74999999999909</v>
      </c>
      <c r="I5965" s="3">
        <f t="shared" si="280"/>
        <v>3.5989732604962466E-2</v>
      </c>
    </row>
    <row r="5966" spans="2:9" x14ac:dyDescent="0.25">
      <c r="B5966" s="1">
        <v>43928</v>
      </c>
      <c r="C5966" s="2">
        <v>8792.2000000000007</v>
      </c>
      <c r="D5966" s="2">
        <v>8446.2999999999993</v>
      </c>
      <c r="E5966" s="2">
        <v>8819.4</v>
      </c>
      <c r="F5966" s="2">
        <v>8360.9500000000007</v>
      </c>
      <c r="G5966" s="3">
        <f t="shared" si="281"/>
        <v>8.7632054231920664E-2</v>
      </c>
      <c r="H5966" s="2">
        <f t="shared" si="279"/>
        <v>458.44999999999891</v>
      </c>
      <c r="I5966" s="3">
        <f t="shared" si="280"/>
        <v>5.4278204657660624E-2</v>
      </c>
    </row>
    <row r="5967" spans="2:9" x14ac:dyDescent="0.25">
      <c r="B5967" s="1">
        <v>43929</v>
      </c>
      <c r="C5967" s="2">
        <v>8748.75</v>
      </c>
      <c r="D5967" s="2">
        <v>8688.9</v>
      </c>
      <c r="E5967" s="2">
        <v>9131.7000000000007</v>
      </c>
      <c r="F5967" s="2">
        <v>8653.9</v>
      </c>
      <c r="G5967" s="3">
        <f t="shared" si="281"/>
        <v>-4.9418803029959157E-3</v>
      </c>
      <c r="H5967" s="2">
        <f t="shared" si="279"/>
        <v>477.80000000000109</v>
      </c>
      <c r="I5967" s="3">
        <f t="shared" si="280"/>
        <v>5.4989699501663172E-2</v>
      </c>
    </row>
    <row r="5968" spans="2:9" x14ac:dyDescent="0.25">
      <c r="B5968" s="1">
        <v>43930</v>
      </c>
      <c r="C5968" s="2">
        <v>9111.9</v>
      </c>
      <c r="D5968" s="2">
        <v>8973.0499999999993</v>
      </c>
      <c r="E5968" s="2">
        <v>9128.35</v>
      </c>
      <c r="F5968" s="2">
        <v>8904.5499999999993</v>
      </c>
      <c r="G5968" s="3">
        <f t="shared" si="281"/>
        <v>4.1508786969566946E-2</v>
      </c>
      <c r="H5968" s="2">
        <f t="shared" si="279"/>
        <v>223.80000000000109</v>
      </c>
      <c r="I5968" s="3">
        <f t="shared" si="280"/>
        <v>2.4941352160079474E-2</v>
      </c>
    </row>
    <row r="5969" spans="2:9" x14ac:dyDescent="0.25">
      <c r="B5969" s="1">
        <v>43934</v>
      </c>
      <c r="C5969" s="2">
        <v>8993.85</v>
      </c>
      <c r="D5969" s="2">
        <v>9103.9500000000007</v>
      </c>
      <c r="E5969" s="2">
        <v>9112.0499999999993</v>
      </c>
      <c r="F5969" s="2">
        <v>8912.4</v>
      </c>
      <c r="G5969" s="3">
        <f t="shared" si="281"/>
        <v>-1.2955585552958171E-2</v>
      </c>
      <c r="H5969" s="2">
        <f t="shared" si="279"/>
        <v>199.64999999999964</v>
      </c>
      <c r="I5969" s="3">
        <f t="shared" si="280"/>
        <v>2.1930041355675244E-2</v>
      </c>
    </row>
    <row r="5970" spans="2:9" x14ac:dyDescent="0.25">
      <c r="B5970" s="1">
        <v>43936</v>
      </c>
      <c r="C5970" s="2">
        <v>8925.2999999999993</v>
      </c>
      <c r="D5970" s="2">
        <v>9196.4</v>
      </c>
      <c r="E5970" s="2">
        <v>9261.2000000000007</v>
      </c>
      <c r="F5970" s="2">
        <v>8874.1</v>
      </c>
      <c r="G5970" s="3">
        <f t="shared" si="281"/>
        <v>-7.6218749478811354E-3</v>
      </c>
      <c r="H5970" s="2">
        <f t="shared" si="279"/>
        <v>387.10000000000036</v>
      </c>
      <c r="I5970" s="3">
        <f t="shared" si="280"/>
        <v>4.2092557957461654E-2</v>
      </c>
    </row>
    <row r="5971" spans="2:9" x14ac:dyDescent="0.25">
      <c r="B5971" s="1">
        <v>43937</v>
      </c>
      <c r="C5971" s="2">
        <v>8992.7999999999993</v>
      </c>
      <c r="D5971" s="2">
        <v>8851.25</v>
      </c>
      <c r="E5971" s="2">
        <v>9053.75</v>
      </c>
      <c r="F5971" s="2">
        <v>8821.9</v>
      </c>
      <c r="G5971" s="3">
        <f t="shared" si="281"/>
        <v>7.5627709992940328E-3</v>
      </c>
      <c r="H5971" s="2">
        <f t="shared" si="279"/>
        <v>231.85000000000036</v>
      </c>
      <c r="I5971" s="3">
        <f t="shared" si="280"/>
        <v>2.6194040389775495E-2</v>
      </c>
    </row>
    <row r="5972" spans="2:9" x14ac:dyDescent="0.25">
      <c r="B5972" s="1">
        <v>43938</v>
      </c>
      <c r="C5972" s="2">
        <v>9266.75</v>
      </c>
      <c r="D5972" s="2">
        <v>9323.4500000000007</v>
      </c>
      <c r="E5972" s="2">
        <v>9324</v>
      </c>
      <c r="F5972" s="2">
        <v>9091.35</v>
      </c>
      <c r="G5972" s="3">
        <f t="shared" si="281"/>
        <v>3.0463259496486206E-2</v>
      </c>
      <c r="H5972" s="2">
        <f t="shared" si="279"/>
        <v>232.64999999999964</v>
      </c>
      <c r="I5972" s="3">
        <f t="shared" si="280"/>
        <v>2.4953209380647681E-2</v>
      </c>
    </row>
    <row r="5973" spans="2:9" x14ac:dyDescent="0.25">
      <c r="B5973" s="1">
        <v>43941</v>
      </c>
      <c r="C5973" s="2">
        <v>9261.85</v>
      </c>
      <c r="D5973" s="2">
        <v>9390.2000000000007</v>
      </c>
      <c r="E5973" s="2">
        <v>9390.85</v>
      </c>
      <c r="F5973" s="2">
        <v>9230.7999999999993</v>
      </c>
      <c r="G5973" s="3">
        <f t="shared" si="281"/>
        <v>-5.2877222327130102E-4</v>
      </c>
      <c r="H5973" s="2">
        <f t="shared" si="279"/>
        <v>160.05000000000109</v>
      </c>
      <c r="I5973" s="3">
        <f t="shared" si="280"/>
        <v>1.7044365402227969E-2</v>
      </c>
    </row>
    <row r="5974" spans="2:9" x14ac:dyDescent="0.25">
      <c r="B5974" s="1">
        <v>43942</v>
      </c>
      <c r="C5974" s="2">
        <v>8981.4500000000007</v>
      </c>
      <c r="D5974" s="2">
        <v>9016.9500000000007</v>
      </c>
      <c r="E5974" s="2">
        <v>9044.4</v>
      </c>
      <c r="F5974" s="2">
        <v>8909.4</v>
      </c>
      <c r="G5974" s="3">
        <f t="shared" si="281"/>
        <v>-3.0274729130789213E-2</v>
      </c>
      <c r="H5974" s="2">
        <f t="shared" si="279"/>
        <v>135</v>
      </c>
      <c r="I5974" s="3">
        <f t="shared" si="280"/>
        <v>1.4971803104153842E-2</v>
      </c>
    </row>
    <row r="5975" spans="2:9" x14ac:dyDescent="0.25">
      <c r="B5975" s="1">
        <v>43943</v>
      </c>
      <c r="C5975" s="2">
        <v>9187.2999999999993</v>
      </c>
      <c r="D5975" s="2">
        <v>9026.75</v>
      </c>
      <c r="E5975" s="2">
        <v>9209.75</v>
      </c>
      <c r="F5975" s="2">
        <v>8946.25</v>
      </c>
      <c r="G5975" s="3">
        <f t="shared" si="281"/>
        <v>2.2919461779556505E-2</v>
      </c>
      <c r="H5975" s="2">
        <f t="shared" si="279"/>
        <v>263.5</v>
      </c>
      <c r="I5975" s="3">
        <f t="shared" si="280"/>
        <v>2.9191015592544382E-2</v>
      </c>
    </row>
    <row r="5976" spans="2:9" x14ac:dyDescent="0.25">
      <c r="B5976" s="1">
        <v>43944</v>
      </c>
      <c r="C5976" s="2">
        <v>9313.9</v>
      </c>
      <c r="D5976" s="2">
        <v>9232.35</v>
      </c>
      <c r="E5976" s="2">
        <v>9343.6</v>
      </c>
      <c r="F5976" s="2">
        <v>9170.15</v>
      </c>
      <c r="G5976" s="3">
        <f t="shared" si="281"/>
        <v>1.3779891807168543E-2</v>
      </c>
      <c r="H5976" s="2">
        <f t="shared" si="279"/>
        <v>173.45000000000073</v>
      </c>
      <c r="I5976" s="3">
        <f t="shared" si="280"/>
        <v>1.8787199358776555E-2</v>
      </c>
    </row>
    <row r="5977" spans="2:9" x14ac:dyDescent="0.25">
      <c r="B5977" s="1">
        <v>43945</v>
      </c>
      <c r="C5977" s="2">
        <v>9154.4</v>
      </c>
      <c r="D5977" s="2">
        <v>9163.9</v>
      </c>
      <c r="E5977" s="2">
        <v>9296.9</v>
      </c>
      <c r="F5977" s="2">
        <v>9141.2999999999993</v>
      </c>
      <c r="G5977" s="3">
        <f t="shared" si="281"/>
        <v>-1.7124942290554945E-2</v>
      </c>
      <c r="H5977" s="2">
        <f t="shared" si="279"/>
        <v>155.60000000000036</v>
      </c>
      <c r="I5977" s="3">
        <f t="shared" si="280"/>
        <v>1.6979670227741505E-2</v>
      </c>
    </row>
    <row r="5978" spans="2:9" x14ac:dyDescent="0.25">
      <c r="B5978" s="1">
        <v>43948</v>
      </c>
      <c r="C5978" s="2">
        <v>9282.2999999999993</v>
      </c>
      <c r="D5978" s="2">
        <v>9259.7000000000007</v>
      </c>
      <c r="E5978" s="2">
        <v>9377.1</v>
      </c>
      <c r="F5978" s="2">
        <v>9250.35</v>
      </c>
      <c r="G5978" s="3">
        <f t="shared" si="281"/>
        <v>1.3971423577733066E-2</v>
      </c>
      <c r="H5978" s="2">
        <f t="shared" si="279"/>
        <v>126.75</v>
      </c>
      <c r="I5978" s="3">
        <f t="shared" si="280"/>
        <v>1.3688348434614511E-2</v>
      </c>
    </row>
    <row r="5979" spans="2:9" x14ac:dyDescent="0.25">
      <c r="B5979" s="1">
        <v>43949</v>
      </c>
      <c r="C5979" s="2">
        <v>9380.9</v>
      </c>
      <c r="D5979" s="2">
        <v>9389.7999999999993</v>
      </c>
      <c r="E5979" s="2">
        <v>9404.4</v>
      </c>
      <c r="F5979" s="2">
        <v>9260</v>
      </c>
      <c r="G5979" s="3">
        <f t="shared" si="281"/>
        <v>1.0622367301207802E-2</v>
      </c>
      <c r="H5979" s="2">
        <f t="shared" si="279"/>
        <v>144.39999999999964</v>
      </c>
      <c r="I5979" s="3">
        <f t="shared" si="280"/>
        <v>1.5378389316066332E-2</v>
      </c>
    </row>
    <row r="5980" spans="2:9" x14ac:dyDescent="0.25">
      <c r="B5980" s="1">
        <v>43950</v>
      </c>
      <c r="C5980" s="2">
        <v>9553.35</v>
      </c>
      <c r="D5980" s="2">
        <v>9408.6</v>
      </c>
      <c r="E5980" s="2">
        <v>9599.85</v>
      </c>
      <c r="F5980" s="2">
        <v>9392.35</v>
      </c>
      <c r="G5980" s="3">
        <f t="shared" si="281"/>
        <v>1.8383097570595641E-2</v>
      </c>
      <c r="H5980" s="2">
        <f t="shared" si="279"/>
        <v>207.5</v>
      </c>
      <c r="I5980" s="3">
        <f t="shared" si="280"/>
        <v>2.2054290755266458E-2</v>
      </c>
    </row>
    <row r="5981" spans="2:9" x14ac:dyDescent="0.25">
      <c r="B5981" s="1">
        <v>43951</v>
      </c>
      <c r="C5981" s="2">
        <v>9859.9</v>
      </c>
      <c r="D5981" s="2">
        <v>9753.5</v>
      </c>
      <c r="E5981" s="2">
        <v>9889.0499999999993</v>
      </c>
      <c r="F5981" s="2">
        <v>9731.5</v>
      </c>
      <c r="G5981" s="3">
        <f t="shared" si="281"/>
        <v>3.2088220362490594E-2</v>
      </c>
      <c r="H5981" s="2">
        <f t="shared" si="279"/>
        <v>157.54999999999927</v>
      </c>
      <c r="I5981" s="3">
        <f t="shared" si="280"/>
        <v>1.6153175783052164E-2</v>
      </c>
    </row>
    <row r="5982" spans="2:9" x14ac:dyDescent="0.25">
      <c r="B5982" s="1">
        <v>43955</v>
      </c>
      <c r="C5982" s="2">
        <v>9293.5</v>
      </c>
      <c r="D5982" s="2">
        <v>9533.5</v>
      </c>
      <c r="E5982" s="2">
        <v>9533.5</v>
      </c>
      <c r="F5982" s="2">
        <v>9266.9500000000007</v>
      </c>
      <c r="G5982" s="3">
        <f t="shared" si="281"/>
        <v>-5.7444801671416523E-2</v>
      </c>
      <c r="H5982" s="2">
        <f t="shared" si="279"/>
        <v>266.54999999999927</v>
      </c>
      <c r="I5982" s="3">
        <f t="shared" si="280"/>
        <v>2.795930141081442E-2</v>
      </c>
    </row>
    <row r="5983" spans="2:9" x14ac:dyDescent="0.25">
      <c r="B5983" s="1">
        <v>43956</v>
      </c>
      <c r="C5983" s="2">
        <v>9205.6</v>
      </c>
      <c r="D5983" s="2">
        <v>9429.4</v>
      </c>
      <c r="E5983" s="2">
        <v>9450.9</v>
      </c>
      <c r="F5983" s="2">
        <v>9190.75</v>
      </c>
      <c r="G5983" s="3">
        <f t="shared" si="281"/>
        <v>-9.4582234895356221E-3</v>
      </c>
      <c r="H5983" s="2">
        <f t="shared" si="279"/>
        <v>260.14999999999964</v>
      </c>
      <c r="I5983" s="3">
        <f t="shared" si="280"/>
        <v>2.7589242157507333E-2</v>
      </c>
    </row>
    <row r="5984" spans="2:9" x14ac:dyDescent="0.25">
      <c r="B5984" s="1">
        <v>43957</v>
      </c>
      <c r="C5984" s="2">
        <v>9270.9</v>
      </c>
      <c r="D5984" s="2">
        <v>9226.7999999999993</v>
      </c>
      <c r="E5984" s="2">
        <v>9346.9</v>
      </c>
      <c r="F5984" s="2">
        <v>9116.5</v>
      </c>
      <c r="G5984" s="3">
        <f t="shared" si="281"/>
        <v>7.093508299296003E-3</v>
      </c>
      <c r="H5984" s="2">
        <f t="shared" si="279"/>
        <v>230.39999999999964</v>
      </c>
      <c r="I5984" s="3">
        <f t="shared" si="280"/>
        <v>2.4970737417089311E-2</v>
      </c>
    </row>
    <row r="5985" spans="2:9" x14ac:dyDescent="0.25">
      <c r="B5985" s="1">
        <v>43958</v>
      </c>
      <c r="C5985" s="2">
        <v>9199.0499999999993</v>
      </c>
      <c r="D5985" s="2">
        <v>9234.0499999999993</v>
      </c>
      <c r="E5985" s="2">
        <v>9277.85</v>
      </c>
      <c r="F5985" s="2">
        <v>9175.9</v>
      </c>
      <c r="G5985" s="3">
        <f t="shared" si="281"/>
        <v>-7.7500566288063455E-3</v>
      </c>
      <c r="H5985" s="2">
        <f t="shared" si="279"/>
        <v>101.95000000000073</v>
      </c>
      <c r="I5985" s="3">
        <f t="shared" si="280"/>
        <v>1.1040659299007558E-2</v>
      </c>
    </row>
    <row r="5986" spans="2:9" x14ac:dyDescent="0.25">
      <c r="B5986" s="1">
        <v>43959</v>
      </c>
      <c r="C5986" s="2">
        <v>9251.5</v>
      </c>
      <c r="D5986" s="2">
        <v>9376.9500000000007</v>
      </c>
      <c r="E5986" s="2">
        <v>9382.65</v>
      </c>
      <c r="F5986" s="2">
        <v>9238.2000000000007</v>
      </c>
      <c r="G5986" s="3">
        <f t="shared" si="281"/>
        <v>5.701675716514254E-3</v>
      </c>
      <c r="H5986" s="2">
        <f t="shared" si="279"/>
        <v>144.44999999999891</v>
      </c>
      <c r="I5986" s="3">
        <f t="shared" si="280"/>
        <v>1.5404795802472967E-2</v>
      </c>
    </row>
    <row r="5987" spans="2:9" x14ac:dyDescent="0.25">
      <c r="B5987" s="1">
        <v>43962</v>
      </c>
      <c r="C5987" s="2">
        <v>9239.2000000000007</v>
      </c>
      <c r="D5987" s="2">
        <v>9348.15</v>
      </c>
      <c r="E5987" s="2">
        <v>9439.9</v>
      </c>
      <c r="F5987" s="2">
        <v>9219.9500000000007</v>
      </c>
      <c r="G5987" s="3">
        <f t="shared" si="281"/>
        <v>-1.3295141328432125E-3</v>
      </c>
      <c r="H5987" s="2">
        <f t="shared" si="279"/>
        <v>219.94999999999891</v>
      </c>
      <c r="I5987" s="3">
        <f t="shared" si="280"/>
        <v>2.3528719586228174E-2</v>
      </c>
    </row>
    <row r="5988" spans="2:9" x14ac:dyDescent="0.25">
      <c r="B5988" s="1">
        <v>43963</v>
      </c>
      <c r="C5988" s="2">
        <v>9196.5499999999993</v>
      </c>
      <c r="D5988" s="2">
        <v>9168.85</v>
      </c>
      <c r="E5988" s="2">
        <v>9240.85</v>
      </c>
      <c r="F5988" s="2">
        <v>9043.9500000000007</v>
      </c>
      <c r="G5988" s="3">
        <f t="shared" si="281"/>
        <v>-4.6162005368431958E-3</v>
      </c>
      <c r="H5988" s="2">
        <f t="shared" si="279"/>
        <v>196.89999999999964</v>
      </c>
      <c r="I5988" s="3">
        <f t="shared" si="280"/>
        <v>2.1474885072828069E-2</v>
      </c>
    </row>
    <row r="5989" spans="2:9" x14ac:dyDescent="0.25">
      <c r="B5989" s="1">
        <v>43964</v>
      </c>
      <c r="C5989" s="2">
        <v>9383.5499999999993</v>
      </c>
      <c r="D5989" s="2">
        <v>9584.2000000000007</v>
      </c>
      <c r="E5989" s="2">
        <v>9584.5</v>
      </c>
      <c r="F5989" s="2">
        <v>9351.1</v>
      </c>
      <c r="G5989" s="3">
        <f t="shared" si="281"/>
        <v>2.0333712098558721E-2</v>
      </c>
      <c r="H5989" s="2">
        <f t="shared" si="279"/>
        <v>233.39999999999964</v>
      </c>
      <c r="I5989" s="3">
        <f t="shared" si="280"/>
        <v>2.4352580288391271E-2</v>
      </c>
    </row>
    <row r="5990" spans="2:9" x14ac:dyDescent="0.25">
      <c r="B5990" s="1">
        <v>43965</v>
      </c>
      <c r="C5990" s="2">
        <v>9142.75</v>
      </c>
      <c r="D5990" s="2">
        <v>9213.9500000000007</v>
      </c>
      <c r="E5990" s="2">
        <v>9281.1</v>
      </c>
      <c r="F5990" s="2">
        <v>9119.75</v>
      </c>
      <c r="G5990" s="3">
        <f t="shared" si="281"/>
        <v>-2.5661929653489235E-2</v>
      </c>
      <c r="H5990" s="2">
        <f t="shared" si="279"/>
        <v>161.35000000000036</v>
      </c>
      <c r="I5990" s="3">
        <f t="shared" si="280"/>
        <v>1.7511490728732017E-2</v>
      </c>
    </row>
    <row r="5991" spans="2:9" x14ac:dyDescent="0.25">
      <c r="B5991" s="1">
        <v>43966</v>
      </c>
      <c r="C5991" s="2">
        <v>9136.85</v>
      </c>
      <c r="D5991" s="2">
        <v>9182.4</v>
      </c>
      <c r="E5991" s="2">
        <v>9182.4</v>
      </c>
      <c r="F5991" s="2">
        <v>9050</v>
      </c>
      <c r="G5991" s="3">
        <f t="shared" si="281"/>
        <v>-6.4532006234441219E-4</v>
      </c>
      <c r="H5991" s="2">
        <f t="shared" si="279"/>
        <v>132.39999999999964</v>
      </c>
      <c r="I5991" s="3">
        <f t="shared" si="280"/>
        <v>1.4418888308067569E-2</v>
      </c>
    </row>
    <row r="5992" spans="2:9" x14ac:dyDescent="0.25">
      <c r="B5992" s="1">
        <v>43969</v>
      </c>
      <c r="C5992" s="2">
        <v>8823.25</v>
      </c>
      <c r="D5992" s="2">
        <v>9158.2999999999993</v>
      </c>
      <c r="E5992" s="2">
        <v>9158.2999999999993</v>
      </c>
      <c r="F5992" s="2">
        <v>8806.75</v>
      </c>
      <c r="G5992" s="3">
        <f t="shared" si="281"/>
        <v>-3.4322550988579281E-2</v>
      </c>
      <c r="H5992" s="2">
        <f t="shared" si="279"/>
        <v>351.54999999999927</v>
      </c>
      <c r="I5992" s="3">
        <f t="shared" si="280"/>
        <v>3.8385944989790602E-2</v>
      </c>
    </row>
    <row r="5993" spans="2:9" x14ac:dyDescent="0.25">
      <c r="B5993" s="1">
        <v>43970</v>
      </c>
      <c r="C5993" s="2">
        <v>8879.1</v>
      </c>
      <c r="D5993" s="2">
        <v>8961.7000000000007</v>
      </c>
      <c r="E5993" s="2">
        <v>9030.35</v>
      </c>
      <c r="F5993" s="2">
        <v>8855.2999999999993</v>
      </c>
      <c r="G5993" s="3">
        <f t="shared" si="281"/>
        <v>6.3298671124585315E-3</v>
      </c>
      <c r="H5993" s="2">
        <f t="shared" si="279"/>
        <v>175.05000000000109</v>
      </c>
      <c r="I5993" s="3">
        <f t="shared" si="280"/>
        <v>1.9533124295613675E-2</v>
      </c>
    </row>
    <row r="5994" spans="2:9" x14ac:dyDescent="0.25">
      <c r="B5994" s="1">
        <v>43971</v>
      </c>
      <c r="C5994" s="2">
        <v>9066.5499999999993</v>
      </c>
      <c r="D5994" s="2">
        <v>8889.15</v>
      </c>
      <c r="E5994" s="2">
        <v>9093.7999999999993</v>
      </c>
      <c r="F5994" s="2">
        <v>8875.35</v>
      </c>
      <c r="G5994" s="3">
        <f t="shared" si="281"/>
        <v>2.1111373900507768E-2</v>
      </c>
      <c r="H5994" s="2">
        <f t="shared" si="279"/>
        <v>218.44999999999891</v>
      </c>
      <c r="I5994" s="3">
        <f t="shared" si="280"/>
        <v>2.4574903112220957E-2</v>
      </c>
    </row>
    <row r="5995" spans="2:9" x14ac:dyDescent="0.25">
      <c r="B5995" s="1">
        <v>43972</v>
      </c>
      <c r="C5995" s="2">
        <v>9106.25</v>
      </c>
      <c r="D5995" s="2">
        <v>9079.4500000000007</v>
      </c>
      <c r="E5995" s="2">
        <v>9178.5499999999993</v>
      </c>
      <c r="F5995" s="2">
        <v>9056.1</v>
      </c>
      <c r="G5995" s="3">
        <f t="shared" si="281"/>
        <v>4.3787328145767912E-3</v>
      </c>
      <c r="H5995" s="2">
        <f t="shared" si="279"/>
        <v>122.44999999999891</v>
      </c>
      <c r="I5995" s="3">
        <f t="shared" si="280"/>
        <v>1.3486499732913215E-2</v>
      </c>
    </row>
    <row r="5996" spans="2:9" x14ac:dyDescent="0.25">
      <c r="B5996" s="1">
        <v>43973</v>
      </c>
      <c r="C5996" s="2">
        <v>9039.25</v>
      </c>
      <c r="D5996" s="2">
        <v>9067.9</v>
      </c>
      <c r="E5996" s="2">
        <v>9149.6</v>
      </c>
      <c r="F5996" s="2">
        <v>8968.5499999999993</v>
      </c>
      <c r="G5996" s="3">
        <f t="shared" si="281"/>
        <v>-7.3575840768702605E-3</v>
      </c>
      <c r="H5996" s="2">
        <f t="shared" si="279"/>
        <v>181.05000000000109</v>
      </c>
      <c r="I5996" s="3">
        <f t="shared" si="280"/>
        <v>1.9966034032135455E-2</v>
      </c>
    </row>
    <row r="5997" spans="2:9" x14ac:dyDescent="0.25">
      <c r="B5997" s="1">
        <v>43977</v>
      </c>
      <c r="C5997" s="2">
        <v>9029.0499999999993</v>
      </c>
      <c r="D5997" s="2">
        <v>9099.75</v>
      </c>
      <c r="E5997" s="2">
        <v>9161.65</v>
      </c>
      <c r="F5997" s="2">
        <v>8996.65</v>
      </c>
      <c r="G5997" s="3">
        <f t="shared" si="281"/>
        <v>-1.1284122023398346E-3</v>
      </c>
      <c r="H5997" s="2">
        <f t="shared" si="279"/>
        <v>165</v>
      </c>
      <c r="I5997" s="3">
        <f t="shared" si="280"/>
        <v>1.8132366273798731E-2</v>
      </c>
    </row>
    <row r="5998" spans="2:9" x14ac:dyDescent="0.25">
      <c r="B5998" s="1">
        <v>43978</v>
      </c>
      <c r="C5998" s="2">
        <v>9314.9500000000007</v>
      </c>
      <c r="D5998" s="2">
        <v>9082.2000000000007</v>
      </c>
      <c r="E5998" s="2">
        <v>9334</v>
      </c>
      <c r="F5998" s="2">
        <v>9004.25</v>
      </c>
      <c r="G5998" s="3">
        <f t="shared" si="281"/>
        <v>3.1664460823674911E-2</v>
      </c>
      <c r="H5998" s="2">
        <f t="shared" si="279"/>
        <v>329.75</v>
      </c>
      <c r="I5998" s="3">
        <f t="shared" si="280"/>
        <v>3.6307282376516703E-2</v>
      </c>
    </row>
    <row r="5999" spans="2:9" x14ac:dyDescent="0.25">
      <c r="B5999" s="1">
        <v>43979</v>
      </c>
      <c r="C5999" s="2">
        <v>9490.1</v>
      </c>
      <c r="D5999" s="2">
        <v>9364.9500000000007</v>
      </c>
      <c r="E5999" s="2">
        <v>9511.25</v>
      </c>
      <c r="F5999" s="2">
        <v>9336.5</v>
      </c>
      <c r="G5999" s="3">
        <f t="shared" si="281"/>
        <v>1.8803106833638283E-2</v>
      </c>
      <c r="H5999" s="2">
        <f t="shared" si="279"/>
        <v>174.75</v>
      </c>
      <c r="I5999" s="3">
        <f t="shared" si="280"/>
        <v>1.8660003523777488E-2</v>
      </c>
    </row>
    <row r="6000" spans="2:9" x14ac:dyDescent="0.25">
      <c r="B6000" s="1">
        <v>43980</v>
      </c>
      <c r="C6000" s="2">
        <v>9580.2999999999993</v>
      </c>
      <c r="D6000" s="2">
        <v>9422.2000000000007</v>
      </c>
      <c r="E6000" s="2">
        <v>9598.85</v>
      </c>
      <c r="F6000" s="2">
        <v>9376.9</v>
      </c>
      <c r="G6000" s="3">
        <f t="shared" si="281"/>
        <v>9.5046416792234911E-3</v>
      </c>
      <c r="H6000" s="2">
        <f t="shared" si="279"/>
        <v>221.95000000000073</v>
      </c>
      <c r="I6000" s="3">
        <f t="shared" si="280"/>
        <v>2.3556069707711649E-2</v>
      </c>
    </row>
    <row r="6001" spans="2:9" x14ac:dyDescent="0.25">
      <c r="B6001" s="1">
        <v>43983</v>
      </c>
      <c r="C6001" s="2">
        <v>9826.15</v>
      </c>
      <c r="D6001" s="2">
        <v>9726.85</v>
      </c>
      <c r="E6001" s="2">
        <v>9931.6</v>
      </c>
      <c r="F6001" s="2">
        <v>9706.9500000000007</v>
      </c>
      <c r="G6001" s="3">
        <f t="shared" si="281"/>
        <v>2.5662035635627412E-2</v>
      </c>
      <c r="H6001" s="2">
        <f t="shared" si="279"/>
        <v>224.64999999999964</v>
      </c>
      <c r="I6001" s="3">
        <f t="shared" si="280"/>
        <v>2.3095863511825476E-2</v>
      </c>
    </row>
    <row r="6002" spans="2:9" x14ac:dyDescent="0.25">
      <c r="B6002" s="1">
        <v>43984</v>
      </c>
      <c r="C6002" s="2">
        <v>9979.1</v>
      </c>
      <c r="D6002" s="2">
        <v>9880.85</v>
      </c>
      <c r="E6002" s="2">
        <v>9995.6</v>
      </c>
      <c r="F6002" s="2">
        <v>9824.0499999999993</v>
      </c>
      <c r="G6002" s="3">
        <f t="shared" si="281"/>
        <v>1.5565608096762329E-2</v>
      </c>
      <c r="H6002" s="2">
        <f t="shared" si="279"/>
        <v>171.55000000000109</v>
      </c>
      <c r="I6002" s="3">
        <f t="shared" si="280"/>
        <v>1.7361866641027957E-2</v>
      </c>
    </row>
    <row r="6003" spans="2:9" x14ac:dyDescent="0.25">
      <c r="B6003" s="1">
        <v>43985</v>
      </c>
      <c r="C6003" s="2">
        <v>10061.549999999999</v>
      </c>
      <c r="D6003" s="2">
        <v>10108.299999999999</v>
      </c>
      <c r="E6003" s="2">
        <v>10176.200000000001</v>
      </c>
      <c r="F6003" s="2">
        <v>10035.549999999999</v>
      </c>
      <c r="G6003" s="3">
        <f t="shared" si="281"/>
        <v>8.2622681404134202E-3</v>
      </c>
      <c r="H6003" s="2">
        <f t="shared" si="279"/>
        <v>140.65000000000146</v>
      </c>
      <c r="I6003" s="3">
        <f t="shared" si="280"/>
        <v>1.3914308043884873E-2</v>
      </c>
    </row>
    <row r="6004" spans="2:9" x14ac:dyDescent="0.25">
      <c r="B6004" s="1">
        <v>43986</v>
      </c>
      <c r="C6004" s="2">
        <v>10029.1</v>
      </c>
      <c r="D6004" s="2">
        <v>10054.25</v>
      </c>
      <c r="E6004" s="2">
        <v>10123.85</v>
      </c>
      <c r="F6004" s="2">
        <v>9944.25</v>
      </c>
      <c r="G6004" s="3">
        <f t="shared" si="281"/>
        <v>-3.2251492066330822E-3</v>
      </c>
      <c r="H6004" s="2">
        <f t="shared" si="279"/>
        <v>179.60000000000036</v>
      </c>
      <c r="I6004" s="3">
        <f t="shared" si="280"/>
        <v>1.7863092721983276E-2</v>
      </c>
    </row>
    <row r="6005" spans="2:9" x14ac:dyDescent="0.25">
      <c r="B6005" s="1">
        <v>43987</v>
      </c>
      <c r="C6005" s="2">
        <v>10142.15</v>
      </c>
      <c r="D6005" s="2">
        <v>10093.799999999999</v>
      </c>
      <c r="E6005" s="2">
        <v>10177.799999999999</v>
      </c>
      <c r="F6005" s="2">
        <v>10040.75</v>
      </c>
      <c r="G6005" s="3">
        <f t="shared" si="281"/>
        <v>1.1272197904099057E-2</v>
      </c>
      <c r="H6005" s="2">
        <f t="shared" si="279"/>
        <v>137.04999999999927</v>
      </c>
      <c r="I6005" s="3">
        <f t="shared" si="280"/>
        <v>1.3577641720660135E-2</v>
      </c>
    </row>
    <row r="6006" spans="2:9" x14ac:dyDescent="0.25">
      <c r="B6006" s="1">
        <v>43990</v>
      </c>
      <c r="C6006" s="2">
        <v>10167.450000000001</v>
      </c>
      <c r="D6006" s="2">
        <v>10326.75</v>
      </c>
      <c r="E6006" s="2">
        <v>10328.5</v>
      </c>
      <c r="F6006" s="2">
        <v>10120.25</v>
      </c>
      <c r="G6006" s="3">
        <f t="shared" si="281"/>
        <v>2.4945401123037669E-3</v>
      </c>
      <c r="H6006" s="2">
        <f t="shared" si="279"/>
        <v>208.25</v>
      </c>
      <c r="I6006" s="3">
        <f t="shared" si="280"/>
        <v>2.0166073546856466E-2</v>
      </c>
    </row>
    <row r="6007" spans="2:9" x14ac:dyDescent="0.25">
      <c r="B6007" s="1">
        <v>43991</v>
      </c>
      <c r="C6007" s="2">
        <v>10046.65</v>
      </c>
      <c r="D6007" s="2">
        <v>10181.15</v>
      </c>
      <c r="E6007" s="2">
        <v>10291.15</v>
      </c>
      <c r="F6007" s="2">
        <v>10021.450000000001</v>
      </c>
      <c r="G6007" s="3">
        <f t="shared" si="281"/>
        <v>-1.1881051787813179E-2</v>
      </c>
      <c r="H6007" s="2">
        <f t="shared" si="279"/>
        <v>269.69999999999891</v>
      </c>
      <c r="I6007" s="3">
        <f t="shared" si="280"/>
        <v>2.6490131272007476E-2</v>
      </c>
    </row>
    <row r="6008" spans="2:9" x14ac:dyDescent="0.25">
      <c r="B6008" s="1">
        <v>43992</v>
      </c>
      <c r="C6008" s="2">
        <v>10116.15</v>
      </c>
      <c r="D6008" s="2">
        <v>10072.6</v>
      </c>
      <c r="E6008" s="2">
        <v>10148.75</v>
      </c>
      <c r="F6008" s="2">
        <v>10036.85</v>
      </c>
      <c r="G6008" s="3">
        <f t="shared" si="281"/>
        <v>6.9177287951704969E-3</v>
      </c>
      <c r="H6008" s="2">
        <f t="shared" si="279"/>
        <v>111.89999999999964</v>
      </c>
      <c r="I6008" s="3">
        <f t="shared" si="280"/>
        <v>1.110934614697294E-2</v>
      </c>
    </row>
    <row r="6009" spans="2:9" x14ac:dyDescent="0.25">
      <c r="B6009" s="1">
        <v>43993</v>
      </c>
      <c r="C6009" s="2">
        <v>9902</v>
      </c>
      <c r="D6009" s="2">
        <v>10094.1</v>
      </c>
      <c r="E6009" s="2">
        <v>10112.049999999999</v>
      </c>
      <c r="F6009" s="2">
        <v>9885.0499999999993</v>
      </c>
      <c r="G6009" s="3">
        <f t="shared" si="281"/>
        <v>-2.1169120663493524E-2</v>
      </c>
      <c r="H6009" s="2">
        <f t="shared" si="279"/>
        <v>227</v>
      </c>
      <c r="I6009" s="3">
        <f t="shared" si="280"/>
        <v>2.2488384303702161E-2</v>
      </c>
    </row>
    <row r="6010" spans="2:9" x14ac:dyDescent="0.25">
      <c r="B6010" s="1">
        <v>43994</v>
      </c>
      <c r="C6010" s="2">
        <v>9972.9</v>
      </c>
      <c r="D6010" s="2">
        <v>9544.9500000000007</v>
      </c>
      <c r="E6010" s="2">
        <v>9996.0499999999993</v>
      </c>
      <c r="F6010" s="2">
        <v>9544.35</v>
      </c>
      <c r="G6010" s="3">
        <f t="shared" si="281"/>
        <v>7.1601696626943934E-3</v>
      </c>
      <c r="H6010" s="2">
        <f t="shared" si="279"/>
        <v>451.69999999999891</v>
      </c>
      <c r="I6010" s="3">
        <f t="shared" si="280"/>
        <v>4.7323453763508334E-2</v>
      </c>
    </row>
    <row r="6011" spans="2:9" x14ac:dyDescent="0.25">
      <c r="B6011" s="1">
        <v>43997</v>
      </c>
      <c r="C6011" s="2">
        <v>9813.7000000000007</v>
      </c>
      <c r="D6011" s="2">
        <v>9919.35</v>
      </c>
      <c r="E6011" s="2">
        <v>9943.35</v>
      </c>
      <c r="F6011" s="2">
        <v>9726.35</v>
      </c>
      <c r="G6011" s="3">
        <f t="shared" si="281"/>
        <v>-1.596326043578089E-2</v>
      </c>
      <c r="H6011" s="2">
        <f t="shared" si="279"/>
        <v>217</v>
      </c>
      <c r="I6011" s="3">
        <f t="shared" si="280"/>
        <v>2.1876433435658586E-2</v>
      </c>
    </row>
    <row r="6012" spans="2:9" x14ac:dyDescent="0.25">
      <c r="B6012" s="1">
        <v>43998</v>
      </c>
      <c r="C6012" s="2">
        <v>9914</v>
      </c>
      <c r="D6012" s="2">
        <v>10014.799999999999</v>
      </c>
      <c r="E6012" s="2">
        <v>10046.15</v>
      </c>
      <c r="F6012" s="2">
        <v>9728.5</v>
      </c>
      <c r="G6012" s="3">
        <f t="shared" si="281"/>
        <v>1.0220406166889129E-2</v>
      </c>
      <c r="H6012" s="2">
        <f t="shared" si="279"/>
        <v>317.64999999999964</v>
      </c>
      <c r="I6012" s="3">
        <f t="shared" si="280"/>
        <v>3.1718057275232622E-2</v>
      </c>
    </row>
    <row r="6013" spans="2:9" x14ac:dyDescent="0.25">
      <c r="B6013" s="1">
        <v>43999</v>
      </c>
      <c r="C6013" s="2">
        <v>9881.15</v>
      </c>
      <c r="D6013" s="2">
        <v>9876.7000000000007</v>
      </c>
      <c r="E6013" s="2">
        <v>10003.6</v>
      </c>
      <c r="F6013" s="2">
        <v>9833.7999999999993</v>
      </c>
      <c r="G6013" s="3">
        <f t="shared" si="281"/>
        <v>-3.3134960661690416E-3</v>
      </c>
      <c r="H6013" s="2">
        <f t="shared" si="279"/>
        <v>169.80000000000109</v>
      </c>
      <c r="I6013" s="3">
        <f t="shared" si="280"/>
        <v>1.7191977077364005E-2</v>
      </c>
    </row>
    <row r="6014" spans="2:9" x14ac:dyDescent="0.25">
      <c r="B6014" s="1">
        <v>44000</v>
      </c>
      <c r="C6014" s="2">
        <v>10091.65</v>
      </c>
      <c r="D6014" s="2">
        <v>9863.25</v>
      </c>
      <c r="E6014" s="2">
        <v>10111.200000000001</v>
      </c>
      <c r="F6014" s="2">
        <v>9845.0499999999993</v>
      </c>
      <c r="G6014" s="3">
        <f t="shared" si="281"/>
        <v>2.1303188394063532E-2</v>
      </c>
      <c r="H6014" s="2">
        <f t="shared" si="279"/>
        <v>266.15000000000146</v>
      </c>
      <c r="I6014" s="3">
        <f t="shared" si="280"/>
        <v>2.6984006285960656E-2</v>
      </c>
    </row>
    <row r="6015" spans="2:9" x14ac:dyDescent="0.25">
      <c r="B6015" s="1">
        <v>44001</v>
      </c>
      <c r="C6015" s="2">
        <v>10244.4</v>
      </c>
      <c r="D6015" s="2">
        <v>10119</v>
      </c>
      <c r="E6015" s="2">
        <v>10272.4</v>
      </c>
      <c r="F6015" s="2">
        <v>10072.65</v>
      </c>
      <c r="G6015" s="3">
        <f t="shared" si="281"/>
        <v>1.5136276030183415E-2</v>
      </c>
      <c r="H6015" s="2">
        <f t="shared" si="279"/>
        <v>199.75</v>
      </c>
      <c r="I6015" s="3">
        <f t="shared" si="280"/>
        <v>1.9740092894554799E-2</v>
      </c>
    </row>
    <row r="6016" spans="2:9" x14ac:dyDescent="0.25">
      <c r="B6016" s="1">
        <v>44004</v>
      </c>
      <c r="C6016" s="2">
        <v>10311.200000000001</v>
      </c>
      <c r="D6016" s="2">
        <v>10318.75</v>
      </c>
      <c r="E6016" s="2">
        <v>10393.65</v>
      </c>
      <c r="F6016" s="2">
        <v>10277.6</v>
      </c>
      <c r="G6016" s="3">
        <f t="shared" si="281"/>
        <v>6.5206356643630059E-3</v>
      </c>
      <c r="H6016" s="2">
        <f t="shared" si="279"/>
        <v>116.04999999999927</v>
      </c>
      <c r="I6016" s="3">
        <f t="shared" si="280"/>
        <v>1.1246517262265223E-2</v>
      </c>
    </row>
    <row r="6017" spans="2:9" x14ac:dyDescent="0.25">
      <c r="B6017" s="1">
        <v>44005</v>
      </c>
      <c r="C6017" s="2">
        <v>10471</v>
      </c>
      <c r="D6017" s="2">
        <v>10347.950000000001</v>
      </c>
      <c r="E6017" s="2">
        <v>10484.700000000001</v>
      </c>
      <c r="F6017" s="2">
        <v>10301.75</v>
      </c>
      <c r="G6017" s="3">
        <f t="shared" si="281"/>
        <v>1.5497711226627242E-2</v>
      </c>
      <c r="H6017" s="2">
        <f t="shared" si="279"/>
        <v>182.95000000000073</v>
      </c>
      <c r="I6017" s="3">
        <f t="shared" si="280"/>
        <v>1.7679830304553144E-2</v>
      </c>
    </row>
    <row r="6018" spans="2:9" x14ac:dyDescent="0.25">
      <c r="B6018" s="1">
        <v>44006</v>
      </c>
      <c r="C6018" s="2">
        <v>10305.299999999999</v>
      </c>
      <c r="D6018" s="2">
        <v>10529.25</v>
      </c>
      <c r="E6018" s="2">
        <v>10553.15</v>
      </c>
      <c r="F6018" s="2">
        <v>10281.950000000001</v>
      </c>
      <c r="G6018" s="3">
        <f t="shared" si="281"/>
        <v>-1.5824658580842366E-2</v>
      </c>
      <c r="H6018" s="2">
        <f t="shared" si="279"/>
        <v>271.19999999999891</v>
      </c>
      <c r="I6018" s="3">
        <f t="shared" si="280"/>
        <v>2.5756820286345079E-2</v>
      </c>
    </row>
    <row r="6019" spans="2:9" x14ac:dyDescent="0.25">
      <c r="B6019" s="1">
        <v>44007</v>
      </c>
      <c r="C6019" s="2">
        <v>10288.9</v>
      </c>
      <c r="D6019" s="2">
        <v>10235.549999999999</v>
      </c>
      <c r="E6019" s="2">
        <v>10361.799999999999</v>
      </c>
      <c r="F6019" s="2">
        <v>10194.5</v>
      </c>
      <c r="G6019" s="3">
        <f t="shared" si="281"/>
        <v>-1.5914141267114879E-3</v>
      </c>
      <c r="H6019" s="2">
        <f t="shared" si="279"/>
        <v>167.29999999999927</v>
      </c>
      <c r="I6019" s="3">
        <f t="shared" si="280"/>
        <v>1.6344993674008653E-2</v>
      </c>
    </row>
    <row r="6020" spans="2:9" x14ac:dyDescent="0.25">
      <c r="B6020" s="1">
        <v>44008</v>
      </c>
      <c r="C6020" s="2">
        <v>10383</v>
      </c>
      <c r="D6020" s="2">
        <v>10378.9</v>
      </c>
      <c r="E6020" s="2">
        <v>10409.85</v>
      </c>
      <c r="F6020" s="2">
        <v>10311.25</v>
      </c>
      <c r="G6020" s="3">
        <f t="shared" si="281"/>
        <v>9.1457784602824166E-3</v>
      </c>
      <c r="H6020" s="2">
        <f t="shared" si="279"/>
        <v>98.600000000000364</v>
      </c>
      <c r="I6020" s="3">
        <f t="shared" si="280"/>
        <v>9.5000433571958854E-3</v>
      </c>
    </row>
    <row r="6021" spans="2:9" x14ac:dyDescent="0.25">
      <c r="B6021" s="1">
        <v>44011</v>
      </c>
      <c r="C6021" s="2">
        <v>10312.4</v>
      </c>
      <c r="D6021" s="2">
        <v>10311.950000000001</v>
      </c>
      <c r="E6021" s="2">
        <v>10337.950000000001</v>
      </c>
      <c r="F6021" s="2">
        <v>10223.6</v>
      </c>
      <c r="G6021" s="3">
        <f t="shared" si="281"/>
        <v>-6.7995762303766361E-3</v>
      </c>
      <c r="H6021" s="2">
        <f t="shared" ref="H6021:H6084" si="282">E6021-F6021</f>
        <v>114.35000000000036</v>
      </c>
      <c r="I6021" s="3">
        <f t="shared" si="280"/>
        <v>1.108907626588573E-2</v>
      </c>
    </row>
    <row r="6022" spans="2:9" x14ac:dyDescent="0.25">
      <c r="B6022" s="1">
        <v>44012</v>
      </c>
      <c r="C6022" s="2">
        <v>10302.1</v>
      </c>
      <c r="D6022" s="2">
        <v>10382.6</v>
      </c>
      <c r="E6022" s="2">
        <v>10401.049999999999</v>
      </c>
      <c r="F6022" s="2">
        <v>10267.35</v>
      </c>
      <c r="G6022" s="3">
        <f t="shared" si="281"/>
        <v>-9.9879756409748666E-4</v>
      </c>
      <c r="H6022" s="2">
        <f t="shared" si="282"/>
        <v>133.69999999999891</v>
      </c>
      <c r="I6022" s="3">
        <f t="shared" ref="I6022:I6085" si="283">H6022/D6022</f>
        <v>1.2877313967599533E-2</v>
      </c>
    </row>
    <row r="6023" spans="2:9" x14ac:dyDescent="0.25">
      <c r="B6023" s="1">
        <v>44013</v>
      </c>
      <c r="C6023" s="2">
        <v>10430.049999999999</v>
      </c>
      <c r="D6023" s="2">
        <v>10323.799999999999</v>
      </c>
      <c r="E6023" s="2">
        <v>10447.049999999999</v>
      </c>
      <c r="F6023" s="2">
        <v>10299.6</v>
      </c>
      <c r="G6023" s="3">
        <f t="shared" ref="G6023:G6086" si="284">C6023/C6022-1</f>
        <v>1.241979790528136E-2</v>
      </c>
      <c r="H6023" s="2">
        <f t="shared" si="282"/>
        <v>147.44999999999891</v>
      </c>
      <c r="I6023" s="3">
        <f t="shared" si="283"/>
        <v>1.428253162595158E-2</v>
      </c>
    </row>
    <row r="6024" spans="2:9" x14ac:dyDescent="0.25">
      <c r="B6024" s="1">
        <v>44014</v>
      </c>
      <c r="C6024" s="2">
        <v>10551.7</v>
      </c>
      <c r="D6024" s="2">
        <v>10493.05</v>
      </c>
      <c r="E6024" s="2">
        <v>10598.2</v>
      </c>
      <c r="F6024" s="2">
        <v>10485.549999999999</v>
      </c>
      <c r="G6024" s="3">
        <f t="shared" si="284"/>
        <v>1.1663414844607756E-2</v>
      </c>
      <c r="H6024" s="2">
        <f t="shared" si="282"/>
        <v>112.65000000000146</v>
      </c>
      <c r="I6024" s="3">
        <f t="shared" si="283"/>
        <v>1.0735677424581171E-2</v>
      </c>
    </row>
    <row r="6025" spans="2:9" x14ac:dyDescent="0.25">
      <c r="B6025" s="1">
        <v>44015</v>
      </c>
      <c r="C6025" s="2">
        <v>10607.35</v>
      </c>
      <c r="D6025" s="2">
        <v>10614.95</v>
      </c>
      <c r="E6025" s="2">
        <v>10631.3</v>
      </c>
      <c r="F6025" s="2">
        <v>10562.65</v>
      </c>
      <c r="G6025" s="3">
        <f t="shared" si="284"/>
        <v>5.2740316726214154E-3</v>
      </c>
      <c r="H6025" s="2">
        <f t="shared" si="282"/>
        <v>68.649999999999636</v>
      </c>
      <c r="I6025" s="3">
        <f t="shared" si="283"/>
        <v>6.4672937696361862E-3</v>
      </c>
    </row>
    <row r="6026" spans="2:9" x14ac:dyDescent="0.25">
      <c r="B6026" s="1">
        <v>44018</v>
      </c>
      <c r="C6026" s="2">
        <v>10763.65</v>
      </c>
      <c r="D6026" s="2">
        <v>10723.85</v>
      </c>
      <c r="E6026" s="2">
        <v>10811.4</v>
      </c>
      <c r="F6026" s="2">
        <v>10695.1</v>
      </c>
      <c r="G6026" s="3">
        <f t="shared" si="284"/>
        <v>1.4735065779860168E-2</v>
      </c>
      <c r="H6026" s="2">
        <f t="shared" si="282"/>
        <v>116.29999999999927</v>
      </c>
      <c r="I6026" s="3">
        <f t="shared" si="283"/>
        <v>1.084498570942332E-2</v>
      </c>
    </row>
    <row r="6027" spans="2:9" x14ac:dyDescent="0.25">
      <c r="B6027" s="1">
        <v>44019</v>
      </c>
      <c r="C6027" s="2">
        <v>10799.65</v>
      </c>
      <c r="D6027" s="2">
        <v>10802.85</v>
      </c>
      <c r="E6027" s="2">
        <v>10813.8</v>
      </c>
      <c r="F6027" s="2">
        <v>10689.7</v>
      </c>
      <c r="G6027" s="3">
        <f t="shared" si="284"/>
        <v>3.3445903573601221E-3</v>
      </c>
      <c r="H6027" s="2">
        <f t="shared" si="282"/>
        <v>124.09999999999854</v>
      </c>
      <c r="I6027" s="3">
        <f t="shared" si="283"/>
        <v>1.1487709261907602E-2</v>
      </c>
    </row>
    <row r="6028" spans="2:9" x14ac:dyDescent="0.25">
      <c r="B6028" s="1">
        <v>44020</v>
      </c>
      <c r="C6028" s="2">
        <v>10705.75</v>
      </c>
      <c r="D6028" s="2">
        <v>10818.65</v>
      </c>
      <c r="E6028" s="2">
        <v>10847.85</v>
      </c>
      <c r="F6028" s="2">
        <v>10676.55</v>
      </c>
      <c r="G6028" s="3">
        <f t="shared" si="284"/>
        <v>-8.6947262179792872E-3</v>
      </c>
      <c r="H6028" s="2">
        <f t="shared" si="282"/>
        <v>171.30000000000109</v>
      </c>
      <c r="I6028" s="3">
        <f t="shared" si="283"/>
        <v>1.5833768538588557E-2</v>
      </c>
    </row>
    <row r="6029" spans="2:9" x14ac:dyDescent="0.25">
      <c r="B6029" s="1">
        <v>44021</v>
      </c>
      <c r="C6029" s="2">
        <v>10813.45</v>
      </c>
      <c r="D6029" s="2">
        <v>10755.55</v>
      </c>
      <c r="E6029" s="2">
        <v>10836.85</v>
      </c>
      <c r="F6029" s="2">
        <v>10733</v>
      </c>
      <c r="G6029" s="3">
        <f t="shared" si="284"/>
        <v>1.006001447820104E-2</v>
      </c>
      <c r="H6029" s="2">
        <f t="shared" si="282"/>
        <v>103.85000000000036</v>
      </c>
      <c r="I6029" s="3">
        <f t="shared" si="283"/>
        <v>9.6554801939464155E-3</v>
      </c>
    </row>
    <row r="6030" spans="2:9" x14ac:dyDescent="0.25">
      <c r="B6030" s="1">
        <v>44022</v>
      </c>
      <c r="C6030" s="2">
        <v>10768.05</v>
      </c>
      <c r="D6030" s="2">
        <v>10764.1</v>
      </c>
      <c r="E6030" s="2">
        <v>10819.4</v>
      </c>
      <c r="F6030" s="2">
        <v>10713</v>
      </c>
      <c r="G6030" s="3">
        <f t="shared" si="284"/>
        <v>-4.1984750472792154E-3</v>
      </c>
      <c r="H6030" s="2">
        <f t="shared" si="282"/>
        <v>106.39999999999964</v>
      </c>
      <c r="I6030" s="3">
        <f t="shared" si="283"/>
        <v>9.8847093579583645E-3</v>
      </c>
    </row>
    <row r="6031" spans="2:9" x14ac:dyDescent="0.25">
      <c r="B6031" s="1">
        <v>44025</v>
      </c>
      <c r="C6031" s="2">
        <v>10802.7</v>
      </c>
      <c r="D6031" s="2">
        <v>10851.85</v>
      </c>
      <c r="E6031" s="2">
        <v>10894.05</v>
      </c>
      <c r="F6031" s="2">
        <v>10756.05</v>
      </c>
      <c r="G6031" s="3">
        <f t="shared" si="284"/>
        <v>3.2178528145765384E-3</v>
      </c>
      <c r="H6031" s="2">
        <f t="shared" si="282"/>
        <v>138</v>
      </c>
      <c r="I6031" s="3">
        <f t="shared" si="283"/>
        <v>1.2716725719577767E-2</v>
      </c>
    </row>
    <row r="6032" spans="2:9" x14ac:dyDescent="0.25">
      <c r="B6032" s="1">
        <v>44026</v>
      </c>
      <c r="C6032" s="2">
        <v>10607.35</v>
      </c>
      <c r="D6032" s="2">
        <v>10750.85</v>
      </c>
      <c r="E6032" s="2">
        <v>10755.65</v>
      </c>
      <c r="F6032" s="2">
        <v>10562.9</v>
      </c>
      <c r="G6032" s="3">
        <f t="shared" si="284"/>
        <v>-1.8083442102437397E-2</v>
      </c>
      <c r="H6032" s="2">
        <f t="shared" si="282"/>
        <v>192.75</v>
      </c>
      <c r="I6032" s="3">
        <f t="shared" si="283"/>
        <v>1.7928814930912439E-2</v>
      </c>
    </row>
    <row r="6033" spans="2:9" x14ac:dyDescent="0.25">
      <c r="B6033" s="1">
        <v>44027</v>
      </c>
      <c r="C6033" s="2">
        <v>10618.2</v>
      </c>
      <c r="D6033" s="2">
        <v>10701</v>
      </c>
      <c r="E6033" s="2">
        <v>10827.45</v>
      </c>
      <c r="F6033" s="2">
        <v>10577.75</v>
      </c>
      <c r="G6033" s="3">
        <f t="shared" si="284"/>
        <v>1.0228756475463285E-3</v>
      </c>
      <c r="H6033" s="2">
        <f t="shared" si="282"/>
        <v>249.70000000000073</v>
      </c>
      <c r="I6033" s="3">
        <f t="shared" si="283"/>
        <v>2.3334267825436943E-2</v>
      </c>
    </row>
    <row r="6034" spans="2:9" x14ac:dyDescent="0.25">
      <c r="B6034" s="1">
        <v>44028</v>
      </c>
      <c r="C6034" s="2">
        <v>10739.95</v>
      </c>
      <c r="D6034" s="2">
        <v>10706.2</v>
      </c>
      <c r="E6034" s="2">
        <v>10755.3</v>
      </c>
      <c r="F6034" s="2">
        <v>10595.2</v>
      </c>
      <c r="G6034" s="3">
        <f t="shared" si="284"/>
        <v>1.1466161873010527E-2</v>
      </c>
      <c r="H6034" s="2">
        <f t="shared" si="282"/>
        <v>160.09999999999854</v>
      </c>
      <c r="I6034" s="3">
        <f t="shared" si="283"/>
        <v>1.4953951915712254E-2</v>
      </c>
    </row>
    <row r="6035" spans="2:9" x14ac:dyDescent="0.25">
      <c r="B6035" s="1">
        <v>44029</v>
      </c>
      <c r="C6035" s="2">
        <v>10901.7</v>
      </c>
      <c r="D6035" s="2">
        <v>10752</v>
      </c>
      <c r="E6035" s="2">
        <v>10933.45</v>
      </c>
      <c r="F6035" s="2">
        <v>10749.65</v>
      </c>
      <c r="G6035" s="3">
        <f t="shared" si="284"/>
        <v>1.5060591529755696E-2</v>
      </c>
      <c r="H6035" s="2">
        <f t="shared" si="282"/>
        <v>183.80000000000109</v>
      </c>
      <c r="I6035" s="3">
        <f t="shared" si="283"/>
        <v>1.709449404761915E-2</v>
      </c>
    </row>
    <row r="6036" spans="2:9" x14ac:dyDescent="0.25">
      <c r="B6036" s="1">
        <v>44032</v>
      </c>
      <c r="C6036" s="2">
        <v>11022.2</v>
      </c>
      <c r="D6036" s="2">
        <v>10999.45</v>
      </c>
      <c r="E6036" s="2">
        <v>11037.9</v>
      </c>
      <c r="F6036" s="2">
        <v>10953</v>
      </c>
      <c r="G6036" s="3">
        <f t="shared" si="284"/>
        <v>1.1053321958960582E-2</v>
      </c>
      <c r="H6036" s="2">
        <f t="shared" si="282"/>
        <v>84.899999999999636</v>
      </c>
      <c r="I6036" s="3">
        <f t="shared" si="283"/>
        <v>7.7185677465691129E-3</v>
      </c>
    </row>
    <row r="6037" spans="2:9" x14ac:dyDescent="0.25">
      <c r="B6037" s="1">
        <v>44033</v>
      </c>
      <c r="C6037" s="2">
        <v>11162.25</v>
      </c>
      <c r="D6037" s="2">
        <v>11126.1</v>
      </c>
      <c r="E6037" s="2">
        <v>11179.55</v>
      </c>
      <c r="F6037" s="2">
        <v>11113.25</v>
      </c>
      <c r="G6037" s="3">
        <f t="shared" si="284"/>
        <v>1.2706174810836135E-2</v>
      </c>
      <c r="H6037" s="2">
        <f t="shared" si="282"/>
        <v>66.299999999999272</v>
      </c>
      <c r="I6037" s="3">
        <f t="shared" si="283"/>
        <v>5.958961361123778E-3</v>
      </c>
    </row>
    <row r="6038" spans="2:9" x14ac:dyDescent="0.25">
      <c r="B6038" s="1">
        <v>44034</v>
      </c>
      <c r="C6038" s="2">
        <v>11132.6</v>
      </c>
      <c r="D6038" s="2">
        <v>11231.2</v>
      </c>
      <c r="E6038" s="2">
        <v>11238.1</v>
      </c>
      <c r="F6038" s="2">
        <v>11056.55</v>
      </c>
      <c r="G6038" s="3">
        <f t="shared" si="284"/>
        <v>-2.6562744966291962E-3</v>
      </c>
      <c r="H6038" s="2">
        <f t="shared" si="282"/>
        <v>181.55000000000109</v>
      </c>
      <c r="I6038" s="3">
        <f t="shared" si="283"/>
        <v>1.6164790939525702E-2</v>
      </c>
    </row>
    <row r="6039" spans="2:9" x14ac:dyDescent="0.25">
      <c r="B6039" s="1">
        <v>44035</v>
      </c>
      <c r="C6039" s="2">
        <v>11215.45</v>
      </c>
      <c r="D6039" s="2">
        <v>11135</v>
      </c>
      <c r="E6039" s="2">
        <v>11239.8</v>
      </c>
      <c r="F6039" s="2">
        <v>11103.15</v>
      </c>
      <c r="G6039" s="3">
        <f t="shared" si="284"/>
        <v>7.4421069651293692E-3</v>
      </c>
      <c r="H6039" s="2">
        <f t="shared" si="282"/>
        <v>136.64999999999964</v>
      </c>
      <c r="I6039" s="3">
        <f t="shared" si="283"/>
        <v>1.2272114952851337E-2</v>
      </c>
    </row>
    <row r="6040" spans="2:9" x14ac:dyDescent="0.25">
      <c r="B6040" s="1">
        <v>44036</v>
      </c>
      <c r="C6040" s="2">
        <v>11194.15</v>
      </c>
      <c r="D6040" s="2">
        <v>11149.95</v>
      </c>
      <c r="E6040" s="2">
        <v>11225.4</v>
      </c>
      <c r="F6040" s="2">
        <v>11090.3</v>
      </c>
      <c r="G6040" s="3">
        <f t="shared" si="284"/>
        <v>-1.8991658827778313E-3</v>
      </c>
      <c r="H6040" s="2">
        <f t="shared" si="282"/>
        <v>135.10000000000036</v>
      </c>
      <c r="I6040" s="3">
        <f t="shared" si="283"/>
        <v>1.2116646262987758E-2</v>
      </c>
    </row>
    <row r="6041" spans="2:9" x14ac:dyDescent="0.25">
      <c r="B6041" s="1">
        <v>44039</v>
      </c>
      <c r="C6041" s="2">
        <v>11131.8</v>
      </c>
      <c r="D6041" s="2">
        <v>11225</v>
      </c>
      <c r="E6041" s="2">
        <v>11225</v>
      </c>
      <c r="F6041" s="2">
        <v>11087.85</v>
      </c>
      <c r="G6041" s="3">
        <f t="shared" si="284"/>
        <v>-5.5698735500239183E-3</v>
      </c>
      <c r="H6041" s="2">
        <f t="shared" si="282"/>
        <v>137.14999999999964</v>
      </c>
      <c r="I6041" s="3">
        <f t="shared" si="283"/>
        <v>1.2218262806236047E-2</v>
      </c>
    </row>
    <row r="6042" spans="2:9" x14ac:dyDescent="0.25">
      <c r="B6042" s="1">
        <v>44040</v>
      </c>
      <c r="C6042" s="2">
        <v>11300.55</v>
      </c>
      <c r="D6042" s="2">
        <v>11154.1</v>
      </c>
      <c r="E6042" s="2">
        <v>11317.75</v>
      </c>
      <c r="F6042" s="2">
        <v>11151.4</v>
      </c>
      <c r="G6042" s="3">
        <f t="shared" si="284"/>
        <v>1.5159273432868048E-2</v>
      </c>
      <c r="H6042" s="2">
        <f t="shared" si="282"/>
        <v>166.35000000000036</v>
      </c>
      <c r="I6042" s="3">
        <f t="shared" si="283"/>
        <v>1.4913798513551103E-2</v>
      </c>
    </row>
    <row r="6043" spans="2:9" x14ac:dyDescent="0.25">
      <c r="B6043" s="1">
        <v>44041</v>
      </c>
      <c r="C6043" s="2">
        <v>11202.85</v>
      </c>
      <c r="D6043" s="2">
        <v>11276.9</v>
      </c>
      <c r="E6043" s="2">
        <v>11341.4</v>
      </c>
      <c r="F6043" s="2">
        <v>11149.75</v>
      </c>
      <c r="G6043" s="3">
        <f t="shared" si="284"/>
        <v>-8.6455968957261931E-3</v>
      </c>
      <c r="H6043" s="2">
        <f t="shared" si="282"/>
        <v>191.64999999999964</v>
      </c>
      <c r="I6043" s="3">
        <f t="shared" si="283"/>
        <v>1.6994918816341339E-2</v>
      </c>
    </row>
    <row r="6044" spans="2:9" x14ac:dyDescent="0.25">
      <c r="B6044" s="1">
        <v>44042</v>
      </c>
      <c r="C6044" s="2">
        <v>11102.15</v>
      </c>
      <c r="D6044" s="2">
        <v>11254.3</v>
      </c>
      <c r="E6044" s="2">
        <v>11299.95</v>
      </c>
      <c r="F6044" s="2">
        <v>11084.95</v>
      </c>
      <c r="G6044" s="3">
        <f t="shared" si="284"/>
        <v>-8.9887841040450223E-3</v>
      </c>
      <c r="H6044" s="2">
        <f t="shared" si="282"/>
        <v>215</v>
      </c>
      <c r="I6044" s="3">
        <f t="shared" si="283"/>
        <v>1.9103809210701688E-2</v>
      </c>
    </row>
    <row r="6045" spans="2:9" x14ac:dyDescent="0.25">
      <c r="B6045" s="1">
        <v>44043</v>
      </c>
      <c r="C6045" s="2">
        <v>11073.45</v>
      </c>
      <c r="D6045" s="2">
        <v>11139.5</v>
      </c>
      <c r="E6045" s="2">
        <v>11150.4</v>
      </c>
      <c r="F6045" s="2">
        <v>11026.65</v>
      </c>
      <c r="G6045" s="3">
        <f t="shared" si="284"/>
        <v>-2.5850848709483287E-3</v>
      </c>
      <c r="H6045" s="2">
        <f t="shared" si="282"/>
        <v>123.75</v>
      </c>
      <c r="I6045" s="3">
        <f t="shared" si="283"/>
        <v>1.1109116208088333E-2</v>
      </c>
    </row>
    <row r="6046" spans="2:9" x14ac:dyDescent="0.25">
      <c r="B6046" s="1">
        <v>44046</v>
      </c>
      <c r="C6046" s="2">
        <v>10891.6</v>
      </c>
      <c r="D6046" s="2">
        <v>11057.55</v>
      </c>
      <c r="E6046" s="2">
        <v>11058.05</v>
      </c>
      <c r="F6046" s="2">
        <v>10882.25</v>
      </c>
      <c r="G6046" s="3">
        <f t="shared" si="284"/>
        <v>-1.6422162921221561E-2</v>
      </c>
      <c r="H6046" s="2">
        <f t="shared" si="282"/>
        <v>175.79999999999927</v>
      </c>
      <c r="I6046" s="3">
        <f t="shared" si="283"/>
        <v>1.5898639391185142E-2</v>
      </c>
    </row>
    <row r="6047" spans="2:9" x14ac:dyDescent="0.25">
      <c r="B6047" s="1">
        <v>44047</v>
      </c>
      <c r="C6047" s="2">
        <v>11095.25</v>
      </c>
      <c r="D6047" s="2">
        <v>10946.65</v>
      </c>
      <c r="E6047" s="2">
        <v>11112.25</v>
      </c>
      <c r="F6047" s="2">
        <v>10908.1</v>
      </c>
      <c r="G6047" s="3">
        <f t="shared" si="284"/>
        <v>1.8697895625986893E-2</v>
      </c>
      <c r="H6047" s="2">
        <f t="shared" si="282"/>
        <v>204.14999999999964</v>
      </c>
      <c r="I6047" s="3">
        <f t="shared" si="283"/>
        <v>1.8649541183832465E-2</v>
      </c>
    </row>
    <row r="6048" spans="2:9" x14ac:dyDescent="0.25">
      <c r="B6048" s="1">
        <v>44048</v>
      </c>
      <c r="C6048" s="2">
        <v>11101.65</v>
      </c>
      <c r="D6048" s="2">
        <v>11155.75</v>
      </c>
      <c r="E6048" s="2">
        <v>11225.65</v>
      </c>
      <c r="F6048" s="2">
        <v>11064.05</v>
      </c>
      <c r="G6048" s="3">
        <f t="shared" si="284"/>
        <v>5.7682341542553139E-4</v>
      </c>
      <c r="H6048" s="2">
        <f t="shared" si="282"/>
        <v>161.60000000000036</v>
      </c>
      <c r="I6048" s="3">
        <f t="shared" si="283"/>
        <v>1.4485803285301335E-2</v>
      </c>
    </row>
    <row r="6049" spans="2:9" x14ac:dyDescent="0.25">
      <c r="B6049" s="1">
        <v>44049</v>
      </c>
      <c r="C6049" s="2">
        <v>11200.15</v>
      </c>
      <c r="D6049" s="2">
        <v>11185.7</v>
      </c>
      <c r="E6049" s="2">
        <v>11256.8</v>
      </c>
      <c r="F6049" s="2">
        <v>11127.3</v>
      </c>
      <c r="G6049" s="3">
        <f t="shared" si="284"/>
        <v>8.8725549805659387E-3</v>
      </c>
      <c r="H6049" s="2">
        <f t="shared" si="282"/>
        <v>129.5</v>
      </c>
      <c r="I6049" s="3">
        <f t="shared" si="283"/>
        <v>1.1577281707894901E-2</v>
      </c>
    </row>
    <row r="6050" spans="2:9" x14ac:dyDescent="0.25">
      <c r="B6050" s="1">
        <v>44050</v>
      </c>
      <c r="C6050" s="2">
        <v>11214.05</v>
      </c>
      <c r="D6050" s="2">
        <v>11186.65</v>
      </c>
      <c r="E6050" s="2">
        <v>11231.9</v>
      </c>
      <c r="F6050" s="2">
        <v>11142.05</v>
      </c>
      <c r="G6050" s="3">
        <f t="shared" si="284"/>
        <v>1.2410548073016336E-3</v>
      </c>
      <c r="H6050" s="2">
        <f t="shared" si="282"/>
        <v>89.850000000000364</v>
      </c>
      <c r="I6050" s="3">
        <f t="shared" si="283"/>
        <v>8.0318951607496764E-3</v>
      </c>
    </row>
    <row r="6051" spans="2:9" x14ac:dyDescent="0.25">
      <c r="B6051" s="1">
        <v>44053</v>
      </c>
      <c r="C6051" s="2">
        <v>11270.15</v>
      </c>
      <c r="D6051" s="2">
        <v>11270.25</v>
      </c>
      <c r="E6051" s="2">
        <v>11337.3</v>
      </c>
      <c r="F6051" s="2">
        <v>11238</v>
      </c>
      <c r="G6051" s="3">
        <f t="shared" si="284"/>
        <v>5.0026529220041915E-3</v>
      </c>
      <c r="H6051" s="2">
        <f t="shared" si="282"/>
        <v>99.299999999999272</v>
      </c>
      <c r="I6051" s="3">
        <f t="shared" si="283"/>
        <v>8.8108072136819753E-3</v>
      </c>
    </row>
    <row r="6052" spans="2:9" x14ac:dyDescent="0.25">
      <c r="B6052" s="1">
        <v>44054</v>
      </c>
      <c r="C6052" s="2">
        <v>11322.5</v>
      </c>
      <c r="D6052" s="2">
        <v>11322.25</v>
      </c>
      <c r="E6052" s="2">
        <v>11373.6</v>
      </c>
      <c r="F6052" s="2">
        <v>11299.15</v>
      </c>
      <c r="G6052" s="3">
        <f t="shared" si="284"/>
        <v>4.6450135978670648E-3</v>
      </c>
      <c r="H6052" s="2">
        <f t="shared" si="282"/>
        <v>74.450000000000728</v>
      </c>
      <c r="I6052" s="3">
        <f t="shared" si="283"/>
        <v>6.575548146349067E-3</v>
      </c>
    </row>
    <row r="6053" spans="2:9" x14ac:dyDescent="0.25">
      <c r="B6053" s="1">
        <v>44055</v>
      </c>
      <c r="C6053" s="2">
        <v>11308.4</v>
      </c>
      <c r="D6053" s="2">
        <v>11289</v>
      </c>
      <c r="E6053" s="2">
        <v>11322</v>
      </c>
      <c r="F6053" s="2">
        <v>11242.65</v>
      </c>
      <c r="G6053" s="3">
        <f t="shared" si="284"/>
        <v>-1.2453080150144347E-3</v>
      </c>
      <c r="H6053" s="2">
        <f t="shared" si="282"/>
        <v>79.350000000000364</v>
      </c>
      <c r="I6053" s="3">
        <f t="shared" si="283"/>
        <v>7.0289662503322144E-3</v>
      </c>
    </row>
    <row r="6054" spans="2:9" x14ac:dyDescent="0.25">
      <c r="B6054" s="1">
        <v>44056</v>
      </c>
      <c r="C6054" s="2">
        <v>11300.45</v>
      </c>
      <c r="D6054" s="2">
        <v>11334.85</v>
      </c>
      <c r="E6054" s="2">
        <v>11359.3</v>
      </c>
      <c r="F6054" s="2">
        <v>11269.95</v>
      </c>
      <c r="G6054" s="3">
        <f t="shared" si="284"/>
        <v>-7.0301722613264062E-4</v>
      </c>
      <c r="H6054" s="2">
        <f t="shared" si="282"/>
        <v>89.349999999998545</v>
      </c>
      <c r="I6054" s="3">
        <f t="shared" si="283"/>
        <v>7.8827686294921009E-3</v>
      </c>
    </row>
    <row r="6055" spans="2:9" x14ac:dyDescent="0.25">
      <c r="B6055" s="1">
        <v>44057</v>
      </c>
      <c r="C6055" s="2">
        <v>11178.4</v>
      </c>
      <c r="D6055" s="2">
        <v>11353.3</v>
      </c>
      <c r="E6055" s="2">
        <v>11366.25</v>
      </c>
      <c r="F6055" s="2">
        <v>11111.45</v>
      </c>
      <c r="G6055" s="3">
        <f t="shared" si="284"/>
        <v>-1.0800454849143271E-2</v>
      </c>
      <c r="H6055" s="2">
        <f t="shared" si="282"/>
        <v>254.79999999999927</v>
      </c>
      <c r="I6055" s="3">
        <f t="shared" si="283"/>
        <v>2.244281398359942E-2</v>
      </c>
    </row>
    <row r="6056" spans="2:9" x14ac:dyDescent="0.25">
      <c r="B6056" s="1">
        <v>44060</v>
      </c>
      <c r="C6056" s="2">
        <v>11247.1</v>
      </c>
      <c r="D6056" s="2">
        <v>11248.9</v>
      </c>
      <c r="E6056" s="2">
        <v>11267.1</v>
      </c>
      <c r="F6056" s="2">
        <v>11144.5</v>
      </c>
      <c r="G6056" s="3">
        <f t="shared" si="284"/>
        <v>6.1457811493594861E-3</v>
      </c>
      <c r="H6056" s="2">
        <f t="shared" si="282"/>
        <v>122.60000000000036</v>
      </c>
      <c r="I6056" s="3">
        <f t="shared" si="283"/>
        <v>1.0898843442469964E-2</v>
      </c>
    </row>
    <row r="6057" spans="2:9" x14ac:dyDescent="0.25">
      <c r="B6057" s="1">
        <v>44061</v>
      </c>
      <c r="C6057" s="2">
        <v>11385.35</v>
      </c>
      <c r="D6057" s="2">
        <v>11259.8</v>
      </c>
      <c r="E6057" s="2">
        <v>11401.7</v>
      </c>
      <c r="F6057" s="2">
        <v>11253.15</v>
      </c>
      <c r="G6057" s="3">
        <f t="shared" si="284"/>
        <v>1.2292057508157761E-2</v>
      </c>
      <c r="H6057" s="2">
        <f t="shared" si="282"/>
        <v>148.55000000000109</v>
      </c>
      <c r="I6057" s="3">
        <f t="shared" si="283"/>
        <v>1.3192951917440904E-2</v>
      </c>
    </row>
    <row r="6058" spans="2:9" x14ac:dyDescent="0.25">
      <c r="B6058" s="1">
        <v>44062</v>
      </c>
      <c r="C6058" s="2">
        <v>11408.4</v>
      </c>
      <c r="D6058" s="2">
        <v>11452.15</v>
      </c>
      <c r="E6058" s="2">
        <v>11460.35</v>
      </c>
      <c r="F6058" s="2">
        <v>11394.1</v>
      </c>
      <c r="G6058" s="3">
        <f t="shared" si="284"/>
        <v>2.024531525161688E-3</v>
      </c>
      <c r="H6058" s="2">
        <f t="shared" si="282"/>
        <v>66.25</v>
      </c>
      <c r="I6058" s="3">
        <f t="shared" si="283"/>
        <v>5.7849399457743748E-3</v>
      </c>
    </row>
    <row r="6059" spans="2:9" x14ac:dyDescent="0.25">
      <c r="B6059" s="1">
        <v>44063</v>
      </c>
      <c r="C6059" s="2">
        <v>11312.2</v>
      </c>
      <c r="D6059" s="2">
        <v>11317.45</v>
      </c>
      <c r="E6059" s="2">
        <v>11361.45</v>
      </c>
      <c r="F6059" s="2">
        <v>11289.8</v>
      </c>
      <c r="G6059" s="3">
        <f t="shared" si="284"/>
        <v>-8.4323831562707063E-3</v>
      </c>
      <c r="H6059" s="2">
        <f t="shared" si="282"/>
        <v>71.650000000001455</v>
      </c>
      <c r="I6059" s="3">
        <f t="shared" si="283"/>
        <v>6.3309314377356608E-3</v>
      </c>
    </row>
    <row r="6060" spans="2:9" x14ac:dyDescent="0.25">
      <c r="B6060" s="1">
        <v>44064</v>
      </c>
      <c r="C6060" s="2">
        <v>11371.6</v>
      </c>
      <c r="D6060" s="2">
        <v>11409.65</v>
      </c>
      <c r="E6060" s="2">
        <v>11418.5</v>
      </c>
      <c r="F6060" s="2">
        <v>11362.2</v>
      </c>
      <c r="G6060" s="3">
        <f t="shared" si="284"/>
        <v>5.2509679814713994E-3</v>
      </c>
      <c r="H6060" s="2">
        <f t="shared" si="282"/>
        <v>56.299999999999272</v>
      </c>
      <c r="I6060" s="3">
        <f t="shared" si="283"/>
        <v>4.9344195483646981E-3</v>
      </c>
    </row>
    <row r="6061" spans="2:9" x14ac:dyDescent="0.25">
      <c r="B6061" s="1">
        <v>44067</v>
      </c>
      <c r="C6061" s="2">
        <v>11466.45</v>
      </c>
      <c r="D6061" s="2">
        <v>11412</v>
      </c>
      <c r="E6061" s="2">
        <v>11497.25</v>
      </c>
      <c r="F6061" s="2">
        <v>11410.65</v>
      </c>
      <c r="G6061" s="3">
        <f t="shared" si="284"/>
        <v>8.3409546589749972E-3</v>
      </c>
      <c r="H6061" s="2">
        <f t="shared" si="282"/>
        <v>86.600000000000364</v>
      </c>
      <c r="I6061" s="3">
        <f t="shared" si="283"/>
        <v>7.5885033298282827E-3</v>
      </c>
    </row>
    <row r="6062" spans="2:9" x14ac:dyDescent="0.25">
      <c r="B6062" s="1">
        <v>44068</v>
      </c>
      <c r="C6062" s="2">
        <v>11472.25</v>
      </c>
      <c r="D6062" s="2">
        <v>11513.1</v>
      </c>
      <c r="E6062" s="2">
        <v>11525.9</v>
      </c>
      <c r="F6062" s="2">
        <v>11423.35</v>
      </c>
      <c r="G6062" s="3">
        <f t="shared" si="284"/>
        <v>5.0582351120009861E-4</v>
      </c>
      <c r="H6062" s="2">
        <f t="shared" si="282"/>
        <v>102.54999999999927</v>
      </c>
      <c r="I6062" s="3">
        <f t="shared" si="283"/>
        <v>8.907244790716598E-3</v>
      </c>
    </row>
    <row r="6063" spans="2:9" x14ac:dyDescent="0.25">
      <c r="B6063" s="1">
        <v>44069</v>
      </c>
      <c r="C6063" s="2">
        <v>11549.6</v>
      </c>
      <c r="D6063" s="2">
        <v>11512.85</v>
      </c>
      <c r="E6063" s="2">
        <v>11561.75</v>
      </c>
      <c r="F6063" s="2">
        <v>11461.85</v>
      </c>
      <c r="G6063" s="3">
        <f t="shared" si="284"/>
        <v>6.7423565560373877E-3</v>
      </c>
      <c r="H6063" s="2">
        <f t="shared" si="282"/>
        <v>99.899999999999636</v>
      </c>
      <c r="I6063" s="3">
        <f t="shared" si="283"/>
        <v>8.6772606261698564E-3</v>
      </c>
    </row>
    <row r="6064" spans="2:9" x14ac:dyDescent="0.25">
      <c r="B6064" s="1">
        <v>44070</v>
      </c>
      <c r="C6064" s="2">
        <v>11559.25</v>
      </c>
      <c r="D6064" s="2">
        <v>11609.3</v>
      </c>
      <c r="E6064" s="2">
        <v>11617.35</v>
      </c>
      <c r="F6064" s="2">
        <v>11540.6</v>
      </c>
      <c r="G6064" s="3">
        <f t="shared" si="284"/>
        <v>8.3552677148990284E-4</v>
      </c>
      <c r="H6064" s="2">
        <f t="shared" si="282"/>
        <v>76.75</v>
      </c>
      <c r="I6064" s="3">
        <f t="shared" si="283"/>
        <v>6.6110790486937198E-3</v>
      </c>
    </row>
    <row r="6065" spans="2:9" x14ac:dyDescent="0.25">
      <c r="B6065" s="1">
        <v>44071</v>
      </c>
      <c r="C6065" s="2">
        <v>11647.6</v>
      </c>
      <c r="D6065" s="2">
        <v>11602.95</v>
      </c>
      <c r="E6065" s="2">
        <v>11686.05</v>
      </c>
      <c r="F6065" s="2">
        <v>11589.4</v>
      </c>
      <c r="G6065" s="3">
        <f t="shared" si="284"/>
        <v>7.6432294482773333E-3</v>
      </c>
      <c r="H6065" s="2">
        <f t="shared" si="282"/>
        <v>96.649999999999636</v>
      </c>
      <c r="I6065" s="3">
        <f t="shared" si="283"/>
        <v>8.3297782029569754E-3</v>
      </c>
    </row>
    <row r="6066" spans="2:9" x14ac:dyDescent="0.25">
      <c r="B6066" s="1">
        <v>44074</v>
      </c>
      <c r="C6066" s="2">
        <v>11387.5</v>
      </c>
      <c r="D6066" s="2">
        <v>11777.55</v>
      </c>
      <c r="E6066" s="2">
        <v>11794.25</v>
      </c>
      <c r="F6066" s="2">
        <v>11325.85</v>
      </c>
      <c r="G6066" s="3">
        <f t="shared" si="284"/>
        <v>-2.2330780589992827E-2</v>
      </c>
      <c r="H6066" s="2">
        <f t="shared" si="282"/>
        <v>468.39999999999964</v>
      </c>
      <c r="I6066" s="3">
        <f t="shared" si="283"/>
        <v>3.9770580468773187E-2</v>
      </c>
    </row>
    <row r="6067" spans="2:9" x14ac:dyDescent="0.25">
      <c r="B6067" s="1">
        <v>44075</v>
      </c>
      <c r="C6067" s="2">
        <v>11470.25</v>
      </c>
      <c r="D6067" s="2">
        <v>11464.3</v>
      </c>
      <c r="E6067" s="2">
        <v>11553.55</v>
      </c>
      <c r="F6067" s="2">
        <v>11366.9</v>
      </c>
      <c r="G6067" s="3">
        <f t="shared" si="284"/>
        <v>7.2667398463226451E-3</v>
      </c>
      <c r="H6067" s="2">
        <f t="shared" si="282"/>
        <v>186.64999999999964</v>
      </c>
      <c r="I6067" s="3">
        <f t="shared" si="283"/>
        <v>1.6280976596913868E-2</v>
      </c>
    </row>
    <row r="6068" spans="2:9" x14ac:dyDescent="0.25">
      <c r="B6068" s="1">
        <v>44076</v>
      </c>
      <c r="C6068" s="2">
        <v>11535</v>
      </c>
      <c r="D6068" s="2">
        <v>11478.55</v>
      </c>
      <c r="E6068" s="2">
        <v>11554.75</v>
      </c>
      <c r="F6068" s="2">
        <v>11430.4</v>
      </c>
      <c r="G6068" s="3">
        <f t="shared" si="284"/>
        <v>5.6450382511279429E-3</v>
      </c>
      <c r="H6068" s="2">
        <f t="shared" si="282"/>
        <v>124.35000000000036</v>
      </c>
      <c r="I6068" s="3">
        <f t="shared" si="283"/>
        <v>1.0833249844274789E-2</v>
      </c>
    </row>
    <row r="6069" spans="2:9" x14ac:dyDescent="0.25">
      <c r="B6069" s="1">
        <v>44077</v>
      </c>
      <c r="C6069" s="2">
        <v>11527.45</v>
      </c>
      <c r="D6069" s="2">
        <v>11566.2</v>
      </c>
      <c r="E6069" s="2">
        <v>11584.95</v>
      </c>
      <c r="F6069" s="2">
        <v>11507.65</v>
      </c>
      <c r="G6069" s="3">
        <f t="shared" si="284"/>
        <v>-6.5452969224089053E-4</v>
      </c>
      <c r="H6069" s="2">
        <f t="shared" si="282"/>
        <v>77.300000000001091</v>
      </c>
      <c r="I6069" s="3">
        <f t="shared" si="283"/>
        <v>6.6832667600422863E-3</v>
      </c>
    </row>
    <row r="6070" spans="2:9" x14ac:dyDescent="0.25">
      <c r="B6070" s="1">
        <v>44078</v>
      </c>
      <c r="C6070" s="2">
        <v>11333.85</v>
      </c>
      <c r="D6070" s="2">
        <v>11354.4</v>
      </c>
      <c r="E6070" s="2">
        <v>11452.05</v>
      </c>
      <c r="F6070" s="2">
        <v>11303.65</v>
      </c>
      <c r="G6070" s="3">
        <f t="shared" si="284"/>
        <v>-1.6794694403359012E-2</v>
      </c>
      <c r="H6070" s="2">
        <f t="shared" si="282"/>
        <v>148.39999999999964</v>
      </c>
      <c r="I6070" s="3">
        <f t="shared" si="283"/>
        <v>1.3069823152258124E-2</v>
      </c>
    </row>
    <row r="6071" spans="2:9" x14ac:dyDescent="0.25">
      <c r="B6071" s="1">
        <v>44081</v>
      </c>
      <c r="C6071" s="2">
        <v>11355.05</v>
      </c>
      <c r="D6071" s="2">
        <v>11359.6</v>
      </c>
      <c r="E6071" s="2">
        <v>11381.15</v>
      </c>
      <c r="F6071" s="2">
        <v>11251.7</v>
      </c>
      <c r="G6071" s="3">
        <f t="shared" si="284"/>
        <v>1.8705029623649061E-3</v>
      </c>
      <c r="H6071" s="2">
        <f t="shared" si="282"/>
        <v>129.44999999999891</v>
      </c>
      <c r="I6071" s="3">
        <f t="shared" si="283"/>
        <v>1.1395647734075047E-2</v>
      </c>
    </row>
    <row r="6072" spans="2:9" x14ac:dyDescent="0.25">
      <c r="B6072" s="1">
        <v>44082</v>
      </c>
      <c r="C6072" s="2">
        <v>11317.35</v>
      </c>
      <c r="D6072" s="2">
        <v>11378.55</v>
      </c>
      <c r="E6072" s="2">
        <v>11437.25</v>
      </c>
      <c r="F6072" s="2">
        <v>11290.45</v>
      </c>
      <c r="G6072" s="3">
        <f t="shared" si="284"/>
        <v>-3.3201086741140307E-3</v>
      </c>
      <c r="H6072" s="2">
        <f t="shared" si="282"/>
        <v>146.79999999999927</v>
      </c>
      <c r="I6072" s="3">
        <f t="shared" si="283"/>
        <v>1.290146811324811E-2</v>
      </c>
    </row>
    <row r="6073" spans="2:9" x14ac:dyDescent="0.25">
      <c r="B6073" s="1">
        <v>44083</v>
      </c>
      <c r="C6073" s="2">
        <v>11278</v>
      </c>
      <c r="D6073" s="2">
        <v>11218.6</v>
      </c>
      <c r="E6073" s="2">
        <v>11298.15</v>
      </c>
      <c r="F6073" s="2">
        <v>11185.15</v>
      </c>
      <c r="G6073" s="3">
        <f t="shared" si="284"/>
        <v>-3.4769623630973578E-3</v>
      </c>
      <c r="H6073" s="2">
        <f t="shared" si="282"/>
        <v>113</v>
      </c>
      <c r="I6073" s="3">
        <f t="shared" si="283"/>
        <v>1.0072558073199863E-2</v>
      </c>
    </row>
    <row r="6074" spans="2:9" x14ac:dyDescent="0.25">
      <c r="B6074" s="1">
        <v>44084</v>
      </c>
      <c r="C6074" s="2">
        <v>11449.25</v>
      </c>
      <c r="D6074" s="2">
        <v>11363.3</v>
      </c>
      <c r="E6074" s="2">
        <v>11464.05</v>
      </c>
      <c r="F6074" s="2">
        <v>11327.4</v>
      </c>
      <c r="G6074" s="3">
        <f t="shared" si="284"/>
        <v>1.5184429863450921E-2</v>
      </c>
      <c r="H6074" s="2">
        <f t="shared" si="282"/>
        <v>136.64999999999964</v>
      </c>
      <c r="I6074" s="3">
        <f t="shared" si="283"/>
        <v>1.2025555956456279E-2</v>
      </c>
    </row>
    <row r="6075" spans="2:9" x14ac:dyDescent="0.25">
      <c r="B6075" s="1">
        <v>44085</v>
      </c>
      <c r="C6075" s="2">
        <v>11464.45</v>
      </c>
      <c r="D6075" s="2">
        <v>11447.8</v>
      </c>
      <c r="E6075" s="2">
        <v>11493.5</v>
      </c>
      <c r="F6075" s="2">
        <v>11419.9</v>
      </c>
      <c r="G6075" s="3">
        <f t="shared" si="284"/>
        <v>1.3275978775904029E-3</v>
      </c>
      <c r="H6075" s="2">
        <f t="shared" si="282"/>
        <v>73.600000000000364</v>
      </c>
      <c r="I6075" s="3">
        <f t="shared" si="283"/>
        <v>6.4291828997711676E-3</v>
      </c>
    </row>
    <row r="6076" spans="2:9" x14ac:dyDescent="0.25">
      <c r="B6076" s="1">
        <v>44088</v>
      </c>
      <c r="C6076" s="2">
        <v>11440.05</v>
      </c>
      <c r="D6076" s="2">
        <v>11540.15</v>
      </c>
      <c r="E6076" s="2">
        <v>11568.9</v>
      </c>
      <c r="F6076" s="2">
        <v>11383.55</v>
      </c>
      <c r="G6076" s="3">
        <f t="shared" si="284"/>
        <v>-2.1283184103905173E-3</v>
      </c>
      <c r="H6076" s="2">
        <f t="shared" si="282"/>
        <v>185.35000000000036</v>
      </c>
      <c r="I6076" s="3">
        <f t="shared" si="283"/>
        <v>1.6061316360705916E-2</v>
      </c>
    </row>
    <row r="6077" spans="2:9" x14ac:dyDescent="0.25">
      <c r="B6077" s="1">
        <v>44089</v>
      </c>
      <c r="C6077" s="2">
        <v>11521.8</v>
      </c>
      <c r="D6077" s="2">
        <v>11487.2</v>
      </c>
      <c r="E6077" s="2">
        <v>11535.95</v>
      </c>
      <c r="F6077" s="2">
        <v>11442.25</v>
      </c>
      <c r="G6077" s="3">
        <f t="shared" si="284"/>
        <v>7.1459477886897105E-3</v>
      </c>
      <c r="H6077" s="2">
        <f t="shared" si="282"/>
        <v>93.700000000000728</v>
      </c>
      <c r="I6077" s="3">
        <f t="shared" si="283"/>
        <v>8.1569050769552832E-3</v>
      </c>
    </row>
    <row r="6078" spans="2:9" x14ac:dyDescent="0.25">
      <c r="B6078" s="1">
        <v>44090</v>
      </c>
      <c r="C6078" s="2">
        <v>11604.55</v>
      </c>
      <c r="D6078" s="2">
        <v>11538.45</v>
      </c>
      <c r="E6078" s="2">
        <v>11618.1</v>
      </c>
      <c r="F6078" s="2">
        <v>11516.75</v>
      </c>
      <c r="G6078" s="3">
        <f t="shared" si="284"/>
        <v>7.182037528858265E-3</v>
      </c>
      <c r="H6078" s="2">
        <f t="shared" si="282"/>
        <v>101.35000000000036</v>
      </c>
      <c r="I6078" s="3">
        <f t="shared" si="283"/>
        <v>8.7836754503421485E-3</v>
      </c>
    </row>
    <row r="6079" spans="2:9" x14ac:dyDescent="0.25">
      <c r="B6079" s="1">
        <v>44091</v>
      </c>
      <c r="C6079" s="2">
        <v>11516.1</v>
      </c>
      <c r="D6079" s="2">
        <v>11539.4</v>
      </c>
      <c r="E6079" s="2">
        <v>11587.2</v>
      </c>
      <c r="F6079" s="2">
        <v>11498.5</v>
      </c>
      <c r="G6079" s="3">
        <f t="shared" si="284"/>
        <v>-7.6220103321541499E-3</v>
      </c>
      <c r="H6079" s="2">
        <f t="shared" si="282"/>
        <v>88.700000000000728</v>
      </c>
      <c r="I6079" s="3">
        <f t="shared" si="283"/>
        <v>7.6867081477373809E-3</v>
      </c>
    </row>
    <row r="6080" spans="2:9" x14ac:dyDescent="0.25">
      <c r="B6080" s="1">
        <v>44092</v>
      </c>
      <c r="C6080" s="2">
        <v>11504.95</v>
      </c>
      <c r="D6080" s="2">
        <v>11584.1</v>
      </c>
      <c r="E6080" s="2">
        <v>11584.1</v>
      </c>
      <c r="F6080" s="2">
        <v>11446.1</v>
      </c>
      <c r="G6080" s="3">
        <f t="shared" si="284"/>
        <v>-9.6820972377797965E-4</v>
      </c>
      <c r="H6080" s="2">
        <f t="shared" si="282"/>
        <v>138</v>
      </c>
      <c r="I6080" s="3">
        <f t="shared" si="283"/>
        <v>1.1912880586320906E-2</v>
      </c>
    </row>
    <row r="6081" spans="2:9" x14ac:dyDescent="0.25">
      <c r="B6081" s="1">
        <v>44095</v>
      </c>
      <c r="C6081" s="2">
        <v>11250.55</v>
      </c>
      <c r="D6081" s="2">
        <v>11503.8</v>
      </c>
      <c r="E6081" s="2">
        <v>11535.25</v>
      </c>
      <c r="F6081" s="2">
        <v>11218.5</v>
      </c>
      <c r="G6081" s="3">
        <f t="shared" si="284"/>
        <v>-2.2112221261283316E-2</v>
      </c>
      <c r="H6081" s="2">
        <f t="shared" si="282"/>
        <v>316.75</v>
      </c>
      <c r="I6081" s="3">
        <f t="shared" si="283"/>
        <v>2.75343799440185E-2</v>
      </c>
    </row>
    <row r="6082" spans="2:9" x14ac:dyDescent="0.25">
      <c r="B6082" s="1">
        <v>44096</v>
      </c>
      <c r="C6082" s="2">
        <v>11153.65</v>
      </c>
      <c r="D6082" s="2">
        <v>11301.75</v>
      </c>
      <c r="E6082" s="2">
        <v>11302.2</v>
      </c>
      <c r="F6082" s="2">
        <v>11084.65</v>
      </c>
      <c r="G6082" s="3">
        <f t="shared" si="284"/>
        <v>-8.6129122576229511E-3</v>
      </c>
      <c r="H6082" s="2">
        <f t="shared" si="282"/>
        <v>217.55000000000109</v>
      </c>
      <c r="I6082" s="3">
        <f t="shared" si="283"/>
        <v>1.9249231313734697E-2</v>
      </c>
    </row>
    <row r="6083" spans="2:9" x14ac:dyDescent="0.25">
      <c r="B6083" s="1">
        <v>44097</v>
      </c>
      <c r="C6083" s="2">
        <v>11131.85</v>
      </c>
      <c r="D6083" s="2">
        <v>11258.75</v>
      </c>
      <c r="E6083" s="2">
        <v>11259.55</v>
      </c>
      <c r="F6083" s="2">
        <v>11024.4</v>
      </c>
      <c r="G6083" s="3">
        <f t="shared" si="284"/>
        <v>-1.9545171311632359E-3</v>
      </c>
      <c r="H6083" s="2">
        <f t="shared" si="282"/>
        <v>235.14999999999964</v>
      </c>
      <c r="I6083" s="3">
        <f t="shared" si="283"/>
        <v>2.0885977572998746E-2</v>
      </c>
    </row>
    <row r="6084" spans="2:9" x14ac:dyDescent="0.25">
      <c r="B6084" s="1">
        <v>44098</v>
      </c>
      <c r="C6084" s="2">
        <v>10805.55</v>
      </c>
      <c r="D6084" s="2">
        <v>11011</v>
      </c>
      <c r="E6084" s="2">
        <v>11015.3</v>
      </c>
      <c r="F6084" s="2">
        <v>10790.2</v>
      </c>
      <c r="G6084" s="3">
        <f t="shared" si="284"/>
        <v>-2.9312288613303372E-2</v>
      </c>
      <c r="H6084" s="2">
        <f t="shared" si="282"/>
        <v>225.09999999999854</v>
      </c>
      <c r="I6084" s="3">
        <f t="shared" si="283"/>
        <v>2.0443193170465765E-2</v>
      </c>
    </row>
    <row r="6085" spans="2:9" x14ac:dyDescent="0.25">
      <c r="B6085" s="1">
        <v>44099</v>
      </c>
      <c r="C6085" s="2">
        <v>11050.25</v>
      </c>
      <c r="D6085" s="2">
        <v>10910.4</v>
      </c>
      <c r="E6085" s="2">
        <v>11072.6</v>
      </c>
      <c r="F6085" s="2">
        <v>10854.85</v>
      </c>
      <c r="G6085" s="3">
        <f t="shared" si="284"/>
        <v>2.2645769997825305E-2</v>
      </c>
      <c r="H6085" s="2">
        <f t="shared" ref="H6085:H6148" si="285">E6085-F6085</f>
        <v>217.75</v>
      </c>
      <c r="I6085" s="3">
        <f t="shared" si="283"/>
        <v>1.9958021704062179E-2</v>
      </c>
    </row>
    <row r="6086" spans="2:9" x14ac:dyDescent="0.25">
      <c r="B6086" s="1">
        <v>44102</v>
      </c>
      <c r="C6086" s="2">
        <v>11227.55</v>
      </c>
      <c r="D6086" s="2">
        <v>11140.85</v>
      </c>
      <c r="E6086" s="2">
        <v>11239.35</v>
      </c>
      <c r="F6086" s="2">
        <v>11099.85</v>
      </c>
      <c r="G6086" s="3">
        <f t="shared" si="284"/>
        <v>1.6044885862310787E-2</v>
      </c>
      <c r="H6086" s="2">
        <f t="shared" si="285"/>
        <v>139.5</v>
      </c>
      <c r="I6086" s="3">
        <f t="shared" ref="I6086:I6149" si="286">H6086/D6086</f>
        <v>1.2521486242073091E-2</v>
      </c>
    </row>
    <row r="6087" spans="2:9" x14ac:dyDescent="0.25">
      <c r="B6087" s="1">
        <v>44103</v>
      </c>
      <c r="C6087" s="2">
        <v>11222.4</v>
      </c>
      <c r="D6087" s="2">
        <v>11288.6</v>
      </c>
      <c r="E6087" s="2">
        <v>11305.4</v>
      </c>
      <c r="F6087" s="2">
        <v>11181</v>
      </c>
      <c r="G6087" s="3">
        <f t="shared" ref="G6087:G6150" si="287">C6087/C6086-1</f>
        <v>-4.5869312539237317E-4</v>
      </c>
      <c r="H6087" s="2">
        <f t="shared" si="285"/>
        <v>124.39999999999964</v>
      </c>
      <c r="I6087" s="3">
        <f t="shared" si="286"/>
        <v>1.101996704640076E-2</v>
      </c>
    </row>
    <row r="6088" spans="2:9" x14ac:dyDescent="0.25">
      <c r="B6088" s="1">
        <v>44104</v>
      </c>
      <c r="C6088" s="2">
        <v>11247.55</v>
      </c>
      <c r="D6088" s="2">
        <v>11244.45</v>
      </c>
      <c r="E6088" s="2">
        <v>11295.4</v>
      </c>
      <c r="F6088" s="2">
        <v>11184.55</v>
      </c>
      <c r="G6088" s="3">
        <f t="shared" si="287"/>
        <v>2.2410536070716081E-3</v>
      </c>
      <c r="H6088" s="2">
        <f t="shared" si="285"/>
        <v>110.85000000000036</v>
      </c>
      <c r="I6088" s="3">
        <f t="shared" si="286"/>
        <v>9.8581967103771508E-3</v>
      </c>
    </row>
    <row r="6089" spans="2:9" x14ac:dyDescent="0.25">
      <c r="B6089" s="1">
        <v>44105</v>
      </c>
      <c r="C6089" s="2">
        <v>11416.95</v>
      </c>
      <c r="D6089" s="2">
        <v>11364.45</v>
      </c>
      <c r="E6089" s="2">
        <v>11428.6</v>
      </c>
      <c r="F6089" s="2">
        <v>11347.05</v>
      </c>
      <c r="G6089" s="3">
        <f t="shared" si="287"/>
        <v>1.5061057741463824E-2</v>
      </c>
      <c r="H6089" s="2">
        <f t="shared" si="285"/>
        <v>81.550000000001091</v>
      </c>
      <c r="I6089" s="3">
        <f t="shared" si="286"/>
        <v>7.1758862065477071E-3</v>
      </c>
    </row>
    <row r="6090" spans="2:9" x14ac:dyDescent="0.25">
      <c r="B6090" s="1">
        <v>44109</v>
      </c>
      <c r="C6090" s="2">
        <v>11503.35</v>
      </c>
      <c r="D6090" s="2">
        <v>11487.8</v>
      </c>
      <c r="E6090" s="2">
        <v>11578.05</v>
      </c>
      <c r="F6090" s="2">
        <v>11452.3</v>
      </c>
      <c r="G6090" s="3">
        <f t="shared" si="287"/>
        <v>7.5676954002601438E-3</v>
      </c>
      <c r="H6090" s="2">
        <f t="shared" si="285"/>
        <v>125.75</v>
      </c>
      <c r="I6090" s="3">
        <f t="shared" si="286"/>
        <v>1.0946395306324972E-2</v>
      </c>
    </row>
    <row r="6091" spans="2:9" x14ac:dyDescent="0.25">
      <c r="B6091" s="1">
        <v>44110</v>
      </c>
      <c r="C6091" s="2">
        <v>11662.4</v>
      </c>
      <c r="D6091" s="2">
        <v>11603.45</v>
      </c>
      <c r="E6091" s="2">
        <v>11680.3</v>
      </c>
      <c r="F6091" s="2">
        <v>11564.3</v>
      </c>
      <c r="G6091" s="3">
        <f t="shared" si="287"/>
        <v>1.3826407090108406E-2</v>
      </c>
      <c r="H6091" s="2">
        <f t="shared" si="285"/>
        <v>116</v>
      </c>
      <c r="I6091" s="3">
        <f t="shared" si="286"/>
        <v>9.9970267463556084E-3</v>
      </c>
    </row>
    <row r="6092" spans="2:9" x14ac:dyDescent="0.25">
      <c r="B6092" s="1">
        <v>44111</v>
      </c>
      <c r="C6092" s="2">
        <v>11738.85</v>
      </c>
      <c r="D6092" s="2">
        <v>11679.25</v>
      </c>
      <c r="E6092" s="2">
        <v>11763.05</v>
      </c>
      <c r="F6092" s="2">
        <v>11629.35</v>
      </c>
      <c r="G6092" s="3">
        <f t="shared" si="287"/>
        <v>6.555254493071816E-3</v>
      </c>
      <c r="H6092" s="2">
        <f t="shared" si="285"/>
        <v>133.69999999999891</v>
      </c>
      <c r="I6092" s="3">
        <f t="shared" si="286"/>
        <v>1.1447652888669984E-2</v>
      </c>
    </row>
    <row r="6093" spans="2:9" x14ac:dyDescent="0.25">
      <c r="B6093" s="1">
        <v>44112</v>
      </c>
      <c r="C6093" s="2">
        <v>11834.6</v>
      </c>
      <c r="D6093" s="2">
        <v>11835.4</v>
      </c>
      <c r="E6093" s="2">
        <v>11905.7</v>
      </c>
      <c r="F6093" s="2">
        <v>11791.15</v>
      </c>
      <c r="G6093" s="3">
        <f t="shared" si="287"/>
        <v>8.1566763354161687E-3</v>
      </c>
      <c r="H6093" s="2">
        <f t="shared" si="285"/>
        <v>114.55000000000109</v>
      </c>
      <c r="I6093" s="3">
        <f t="shared" si="286"/>
        <v>9.6785913446103301E-3</v>
      </c>
    </row>
    <row r="6094" spans="2:9" x14ac:dyDescent="0.25">
      <c r="B6094" s="1">
        <v>44113</v>
      </c>
      <c r="C6094" s="2">
        <v>11914.2</v>
      </c>
      <c r="D6094" s="2">
        <v>11852.05</v>
      </c>
      <c r="E6094" s="2">
        <v>11938.6</v>
      </c>
      <c r="F6094" s="2">
        <v>11805.2</v>
      </c>
      <c r="G6094" s="3">
        <f t="shared" si="287"/>
        <v>6.7260405928379896E-3</v>
      </c>
      <c r="H6094" s="2">
        <f t="shared" si="285"/>
        <v>133.39999999999964</v>
      </c>
      <c r="I6094" s="3">
        <f t="shared" si="286"/>
        <v>1.1255436823165583E-2</v>
      </c>
    </row>
    <row r="6095" spans="2:9" x14ac:dyDescent="0.25">
      <c r="B6095" s="1">
        <v>44116</v>
      </c>
      <c r="C6095" s="2">
        <v>11930.95</v>
      </c>
      <c r="D6095" s="2">
        <v>11973.55</v>
      </c>
      <c r="E6095" s="2">
        <v>12022.05</v>
      </c>
      <c r="F6095" s="2">
        <v>11867.2</v>
      </c>
      <c r="G6095" s="3">
        <f t="shared" si="287"/>
        <v>1.4058854140437393E-3</v>
      </c>
      <c r="H6095" s="2">
        <f t="shared" si="285"/>
        <v>154.84999999999854</v>
      </c>
      <c r="I6095" s="3">
        <f t="shared" si="286"/>
        <v>1.2932672432152416E-2</v>
      </c>
    </row>
    <row r="6096" spans="2:9" x14ac:dyDescent="0.25">
      <c r="B6096" s="1">
        <v>44117</v>
      </c>
      <c r="C6096" s="2">
        <v>11934.5</v>
      </c>
      <c r="D6096" s="2">
        <v>11934.65</v>
      </c>
      <c r="E6096" s="2">
        <v>11988.2</v>
      </c>
      <c r="F6096" s="2">
        <v>11888.9</v>
      </c>
      <c r="G6096" s="3">
        <f t="shared" si="287"/>
        <v>2.9754545949822742E-4</v>
      </c>
      <c r="H6096" s="2">
        <f t="shared" si="285"/>
        <v>99.300000000001091</v>
      </c>
      <c r="I6096" s="3">
        <f t="shared" si="286"/>
        <v>8.3203110271353655E-3</v>
      </c>
    </row>
    <row r="6097" spans="2:9" x14ac:dyDescent="0.25">
      <c r="B6097" s="1">
        <v>44118</v>
      </c>
      <c r="C6097" s="2">
        <v>11971.05</v>
      </c>
      <c r="D6097" s="2">
        <v>11917.4</v>
      </c>
      <c r="E6097" s="2">
        <v>11997.2</v>
      </c>
      <c r="F6097" s="2">
        <v>11822.15</v>
      </c>
      <c r="G6097" s="3">
        <f t="shared" si="287"/>
        <v>3.0625497507226207E-3</v>
      </c>
      <c r="H6097" s="2">
        <f t="shared" si="285"/>
        <v>175.05000000000109</v>
      </c>
      <c r="I6097" s="3">
        <f t="shared" si="286"/>
        <v>1.4688606575259796E-2</v>
      </c>
    </row>
    <row r="6098" spans="2:9" x14ac:dyDescent="0.25">
      <c r="B6098" s="1">
        <v>44119</v>
      </c>
      <c r="C6098" s="2">
        <v>11680.35</v>
      </c>
      <c r="D6098" s="2">
        <v>12023.45</v>
      </c>
      <c r="E6098" s="2">
        <v>12025.45</v>
      </c>
      <c r="F6098" s="2">
        <v>11661.3</v>
      </c>
      <c r="G6098" s="3">
        <f t="shared" si="287"/>
        <v>-2.4283584146753912E-2</v>
      </c>
      <c r="H6098" s="2">
        <f t="shared" si="285"/>
        <v>364.15000000000146</v>
      </c>
      <c r="I6098" s="3">
        <f t="shared" si="286"/>
        <v>3.0286648175024758E-2</v>
      </c>
    </row>
    <row r="6099" spans="2:9" x14ac:dyDescent="0.25">
      <c r="B6099" s="1">
        <v>44120</v>
      </c>
      <c r="C6099" s="2">
        <v>11762.45</v>
      </c>
      <c r="D6099" s="2">
        <v>11727.4</v>
      </c>
      <c r="E6099" s="2">
        <v>11789.75</v>
      </c>
      <c r="F6099" s="2">
        <v>11667.85</v>
      </c>
      <c r="G6099" s="3">
        <f t="shared" si="287"/>
        <v>7.0288989627880216E-3</v>
      </c>
      <c r="H6099" s="2">
        <f t="shared" si="285"/>
        <v>121.89999999999964</v>
      </c>
      <c r="I6099" s="3">
        <f t="shared" si="286"/>
        <v>1.0394460835308733E-2</v>
      </c>
    </row>
    <row r="6100" spans="2:9" x14ac:dyDescent="0.25">
      <c r="B6100" s="1">
        <v>44123</v>
      </c>
      <c r="C6100" s="2">
        <v>11873.05</v>
      </c>
      <c r="D6100" s="2">
        <v>11879.2</v>
      </c>
      <c r="E6100" s="2">
        <v>11898.25</v>
      </c>
      <c r="F6100" s="2">
        <v>11820.4</v>
      </c>
      <c r="G6100" s="3">
        <f t="shared" si="287"/>
        <v>9.4028029874726471E-3</v>
      </c>
      <c r="H6100" s="2">
        <f t="shared" si="285"/>
        <v>77.850000000000364</v>
      </c>
      <c r="I6100" s="3">
        <f t="shared" si="286"/>
        <v>6.5534716142501481E-3</v>
      </c>
    </row>
    <row r="6101" spans="2:9" x14ac:dyDescent="0.25">
      <c r="B6101" s="1">
        <v>44124</v>
      </c>
      <c r="C6101" s="2">
        <v>11896.8</v>
      </c>
      <c r="D6101" s="2">
        <v>11861</v>
      </c>
      <c r="E6101" s="2">
        <v>11949.25</v>
      </c>
      <c r="F6101" s="2">
        <v>11837.25</v>
      </c>
      <c r="G6101" s="3">
        <f t="shared" si="287"/>
        <v>2.0003284749916528E-3</v>
      </c>
      <c r="H6101" s="2">
        <f t="shared" si="285"/>
        <v>112</v>
      </c>
      <c r="I6101" s="3">
        <f t="shared" si="286"/>
        <v>9.4427114071326188E-3</v>
      </c>
    </row>
    <row r="6102" spans="2:9" x14ac:dyDescent="0.25">
      <c r="B6102" s="1">
        <v>44125</v>
      </c>
      <c r="C6102" s="2">
        <v>11937.65</v>
      </c>
      <c r="D6102" s="2">
        <v>11958.55</v>
      </c>
      <c r="E6102" s="2">
        <v>12018.65</v>
      </c>
      <c r="F6102" s="2">
        <v>11775.75</v>
      </c>
      <c r="G6102" s="3">
        <f t="shared" si="287"/>
        <v>3.4336964561898498E-3</v>
      </c>
      <c r="H6102" s="2">
        <f t="shared" si="285"/>
        <v>242.89999999999964</v>
      </c>
      <c r="I6102" s="3">
        <f t="shared" si="286"/>
        <v>2.0311827102784171E-2</v>
      </c>
    </row>
    <row r="6103" spans="2:9" x14ac:dyDescent="0.25">
      <c r="B6103" s="1">
        <v>44126</v>
      </c>
      <c r="C6103" s="2">
        <v>11896.45</v>
      </c>
      <c r="D6103" s="2">
        <v>11890</v>
      </c>
      <c r="E6103" s="2">
        <v>11939.55</v>
      </c>
      <c r="F6103" s="2">
        <v>11823.45</v>
      </c>
      <c r="G6103" s="3">
        <f t="shared" si="287"/>
        <v>-3.4512655338361231E-3</v>
      </c>
      <c r="H6103" s="2">
        <f t="shared" si="285"/>
        <v>116.09999999999854</v>
      </c>
      <c r="I6103" s="3">
        <f t="shared" si="286"/>
        <v>9.7645079899073631E-3</v>
      </c>
    </row>
    <row r="6104" spans="2:9" x14ac:dyDescent="0.25">
      <c r="B6104" s="1">
        <v>44127</v>
      </c>
      <c r="C6104" s="2">
        <v>11930.35</v>
      </c>
      <c r="D6104" s="2">
        <v>11957.9</v>
      </c>
      <c r="E6104" s="2">
        <v>11974.55</v>
      </c>
      <c r="F6104" s="2">
        <v>11908.75</v>
      </c>
      <c r="G6104" s="3">
        <f t="shared" si="287"/>
        <v>2.8495895834470542E-3</v>
      </c>
      <c r="H6104" s="2">
        <f t="shared" si="285"/>
        <v>65.799999999999272</v>
      </c>
      <c r="I6104" s="3">
        <f t="shared" si="286"/>
        <v>5.5026384231344361E-3</v>
      </c>
    </row>
    <row r="6105" spans="2:9" x14ac:dyDescent="0.25">
      <c r="B6105" s="1">
        <v>44130</v>
      </c>
      <c r="C6105" s="2">
        <v>11767.75</v>
      </c>
      <c r="D6105" s="2">
        <v>11937.4</v>
      </c>
      <c r="E6105" s="2">
        <v>11942.85</v>
      </c>
      <c r="F6105" s="2">
        <v>11711.7</v>
      </c>
      <c r="G6105" s="3">
        <f t="shared" si="287"/>
        <v>-1.362910560042252E-2</v>
      </c>
      <c r="H6105" s="2">
        <f t="shared" si="285"/>
        <v>231.14999999999964</v>
      </c>
      <c r="I6105" s="3">
        <f t="shared" si="286"/>
        <v>1.9363512992778966E-2</v>
      </c>
    </row>
    <row r="6106" spans="2:9" x14ac:dyDescent="0.25">
      <c r="B6106" s="1">
        <v>44131</v>
      </c>
      <c r="C6106" s="2">
        <v>11889.4</v>
      </c>
      <c r="D6106" s="2">
        <v>11807.1</v>
      </c>
      <c r="E6106" s="2">
        <v>11899.05</v>
      </c>
      <c r="F6106" s="2">
        <v>11723</v>
      </c>
      <c r="G6106" s="3">
        <f t="shared" si="287"/>
        <v>1.0337575152429279E-2</v>
      </c>
      <c r="H6106" s="2">
        <f t="shared" si="285"/>
        <v>176.04999999999927</v>
      </c>
      <c r="I6106" s="3">
        <f t="shared" si="286"/>
        <v>1.4910519941391134E-2</v>
      </c>
    </row>
    <row r="6107" spans="2:9" x14ac:dyDescent="0.25">
      <c r="B6107" s="1">
        <v>44132</v>
      </c>
      <c r="C6107" s="2">
        <v>11729.6</v>
      </c>
      <c r="D6107" s="2">
        <v>11922.6</v>
      </c>
      <c r="E6107" s="2">
        <v>11929.4</v>
      </c>
      <c r="F6107" s="2">
        <v>11684.85</v>
      </c>
      <c r="G6107" s="3">
        <f t="shared" si="287"/>
        <v>-1.3440543677561423E-2</v>
      </c>
      <c r="H6107" s="2">
        <f t="shared" si="285"/>
        <v>244.54999999999927</v>
      </c>
      <c r="I6107" s="3">
        <f t="shared" si="286"/>
        <v>2.0511465619915056E-2</v>
      </c>
    </row>
    <row r="6108" spans="2:9" x14ac:dyDescent="0.25">
      <c r="B6108" s="1">
        <v>44133</v>
      </c>
      <c r="C6108" s="2">
        <v>11670.8</v>
      </c>
      <c r="D6108" s="2">
        <v>11633.3</v>
      </c>
      <c r="E6108" s="2">
        <v>11744.15</v>
      </c>
      <c r="F6108" s="2">
        <v>11606.45</v>
      </c>
      <c r="G6108" s="3">
        <f t="shared" si="287"/>
        <v>-5.0129586686673555E-3</v>
      </c>
      <c r="H6108" s="2">
        <f t="shared" si="285"/>
        <v>137.69999999999891</v>
      </c>
      <c r="I6108" s="3">
        <f t="shared" si="286"/>
        <v>1.1836710133839832E-2</v>
      </c>
    </row>
    <row r="6109" spans="2:9" x14ac:dyDescent="0.25">
      <c r="B6109" s="1">
        <v>44134</v>
      </c>
      <c r="C6109" s="2">
        <v>11642.4</v>
      </c>
      <c r="D6109" s="2">
        <v>11678.45</v>
      </c>
      <c r="E6109" s="2">
        <v>11748.95</v>
      </c>
      <c r="F6109" s="2">
        <v>11535.45</v>
      </c>
      <c r="G6109" s="3">
        <f t="shared" si="287"/>
        <v>-2.4334235870719922E-3</v>
      </c>
      <c r="H6109" s="2">
        <f t="shared" si="285"/>
        <v>213.5</v>
      </c>
      <c r="I6109" s="3">
        <f t="shared" si="286"/>
        <v>1.8281535648994516E-2</v>
      </c>
    </row>
    <row r="6110" spans="2:9" x14ac:dyDescent="0.25">
      <c r="B6110" s="1">
        <v>44137</v>
      </c>
      <c r="C6110" s="2">
        <v>11669.15</v>
      </c>
      <c r="D6110" s="2">
        <v>11697.35</v>
      </c>
      <c r="E6110" s="2">
        <v>11725.65</v>
      </c>
      <c r="F6110" s="2">
        <v>11557.4</v>
      </c>
      <c r="G6110" s="3">
        <f t="shared" si="287"/>
        <v>2.297636226207711E-3</v>
      </c>
      <c r="H6110" s="2">
        <f t="shared" si="285"/>
        <v>168.25</v>
      </c>
      <c r="I6110" s="3">
        <f t="shared" si="286"/>
        <v>1.4383599704206508E-2</v>
      </c>
    </row>
    <row r="6111" spans="2:9" x14ac:dyDescent="0.25">
      <c r="B6111" s="1">
        <v>44138</v>
      </c>
      <c r="C6111" s="2">
        <v>11813.5</v>
      </c>
      <c r="D6111" s="2">
        <v>11734.45</v>
      </c>
      <c r="E6111" s="2">
        <v>11836.2</v>
      </c>
      <c r="F6111" s="2">
        <v>11723.3</v>
      </c>
      <c r="G6111" s="3">
        <f t="shared" si="287"/>
        <v>1.237022405230892E-2</v>
      </c>
      <c r="H6111" s="2">
        <f t="shared" si="285"/>
        <v>112.90000000000146</v>
      </c>
      <c r="I6111" s="3">
        <f t="shared" si="286"/>
        <v>9.6212434327984219E-3</v>
      </c>
    </row>
    <row r="6112" spans="2:9" x14ac:dyDescent="0.25">
      <c r="B6112" s="1">
        <v>44139</v>
      </c>
      <c r="C6112" s="2">
        <v>11908.5</v>
      </c>
      <c r="D6112" s="2">
        <v>11783.35</v>
      </c>
      <c r="E6112" s="2">
        <v>11929.65</v>
      </c>
      <c r="F6112" s="2">
        <v>11756.4</v>
      </c>
      <c r="G6112" s="3">
        <f t="shared" si="287"/>
        <v>8.0416472679560869E-3</v>
      </c>
      <c r="H6112" s="2">
        <f t="shared" si="285"/>
        <v>173.25</v>
      </c>
      <c r="I6112" s="3">
        <f t="shared" si="286"/>
        <v>1.4702949500778641E-2</v>
      </c>
    </row>
    <row r="6113" spans="2:9" x14ac:dyDescent="0.25">
      <c r="B6113" s="1">
        <v>44140</v>
      </c>
      <c r="C6113" s="2">
        <v>12120.3</v>
      </c>
      <c r="D6113" s="2">
        <v>12062.4</v>
      </c>
      <c r="E6113" s="2">
        <v>12131.1</v>
      </c>
      <c r="F6113" s="2">
        <v>12027.6</v>
      </c>
      <c r="G6113" s="3">
        <f t="shared" si="287"/>
        <v>1.7785615316790571E-2</v>
      </c>
      <c r="H6113" s="2">
        <f t="shared" si="285"/>
        <v>103.5</v>
      </c>
      <c r="I6113" s="3">
        <f t="shared" si="286"/>
        <v>8.5803820135296454E-3</v>
      </c>
    </row>
    <row r="6114" spans="2:9" x14ac:dyDescent="0.25">
      <c r="B6114" s="1">
        <v>44141</v>
      </c>
      <c r="C6114" s="2">
        <v>12263.55</v>
      </c>
      <c r="D6114" s="2">
        <v>12156.65</v>
      </c>
      <c r="E6114" s="2">
        <v>12280.4</v>
      </c>
      <c r="F6114" s="2">
        <v>12131.85</v>
      </c>
      <c r="G6114" s="3">
        <f t="shared" si="287"/>
        <v>1.1819014380832105E-2</v>
      </c>
      <c r="H6114" s="2">
        <f t="shared" si="285"/>
        <v>148.54999999999927</v>
      </c>
      <c r="I6114" s="3">
        <f t="shared" si="286"/>
        <v>1.2219649327734143E-2</v>
      </c>
    </row>
    <row r="6115" spans="2:9" x14ac:dyDescent="0.25">
      <c r="B6115" s="1">
        <v>44144</v>
      </c>
      <c r="C6115" s="2">
        <v>12461.05</v>
      </c>
      <c r="D6115" s="2">
        <v>12399.4</v>
      </c>
      <c r="E6115" s="2">
        <v>12474.05</v>
      </c>
      <c r="F6115" s="2">
        <v>12367.35</v>
      </c>
      <c r="G6115" s="3">
        <f t="shared" si="287"/>
        <v>1.6104635280974833E-2</v>
      </c>
      <c r="H6115" s="2">
        <f t="shared" si="285"/>
        <v>106.69999999999891</v>
      </c>
      <c r="I6115" s="3">
        <f t="shared" si="286"/>
        <v>8.6052550929882829E-3</v>
      </c>
    </row>
    <row r="6116" spans="2:9" x14ac:dyDescent="0.25">
      <c r="B6116" s="1">
        <v>44145</v>
      </c>
      <c r="C6116" s="2">
        <v>12631.1</v>
      </c>
      <c r="D6116" s="2">
        <v>12556.4</v>
      </c>
      <c r="E6116" s="2">
        <v>12643.9</v>
      </c>
      <c r="F6116" s="2">
        <v>12475.25</v>
      </c>
      <c r="G6116" s="3">
        <f t="shared" si="287"/>
        <v>1.3646522564310537E-2</v>
      </c>
      <c r="H6116" s="2">
        <f t="shared" si="285"/>
        <v>168.64999999999964</v>
      </c>
      <c r="I6116" s="3">
        <f t="shared" si="286"/>
        <v>1.3431397534325096E-2</v>
      </c>
    </row>
    <row r="6117" spans="2:9" x14ac:dyDescent="0.25">
      <c r="B6117" s="1">
        <v>44146</v>
      </c>
      <c r="C6117" s="2">
        <v>12749.15</v>
      </c>
      <c r="D6117" s="2">
        <v>12680.6</v>
      </c>
      <c r="E6117" s="2">
        <v>12769.75</v>
      </c>
      <c r="F6117" s="2">
        <v>12571.1</v>
      </c>
      <c r="G6117" s="3">
        <f t="shared" si="287"/>
        <v>9.3459793683843273E-3</v>
      </c>
      <c r="H6117" s="2">
        <f t="shared" si="285"/>
        <v>198.64999999999964</v>
      </c>
      <c r="I6117" s="3">
        <f t="shared" si="286"/>
        <v>1.5665662508083184E-2</v>
      </c>
    </row>
    <row r="6118" spans="2:9" x14ac:dyDescent="0.25">
      <c r="B6118" s="1">
        <v>44147</v>
      </c>
      <c r="C6118" s="2">
        <v>12690.8</v>
      </c>
      <c r="D6118" s="2">
        <v>12702.15</v>
      </c>
      <c r="E6118" s="2">
        <v>12741.15</v>
      </c>
      <c r="F6118" s="2">
        <v>12624.85</v>
      </c>
      <c r="G6118" s="3">
        <f t="shared" si="287"/>
        <v>-4.5767757066157433E-3</v>
      </c>
      <c r="H6118" s="2">
        <f t="shared" si="285"/>
        <v>116.29999999999927</v>
      </c>
      <c r="I6118" s="3">
        <f t="shared" si="286"/>
        <v>9.155930295264918E-3</v>
      </c>
    </row>
    <row r="6119" spans="2:9" x14ac:dyDescent="0.25">
      <c r="B6119" s="1">
        <v>44148</v>
      </c>
      <c r="C6119" s="2">
        <v>12719.95</v>
      </c>
      <c r="D6119" s="2">
        <v>12659.7</v>
      </c>
      <c r="E6119" s="2">
        <v>12735.95</v>
      </c>
      <c r="F6119" s="2">
        <v>12607.7</v>
      </c>
      <c r="G6119" s="3">
        <f t="shared" si="287"/>
        <v>2.2969395152394601E-3</v>
      </c>
      <c r="H6119" s="2">
        <f t="shared" si="285"/>
        <v>128.25</v>
      </c>
      <c r="I6119" s="3">
        <f t="shared" si="286"/>
        <v>1.0130571814497974E-2</v>
      </c>
    </row>
    <row r="6120" spans="2:9" x14ac:dyDescent="0.25">
      <c r="B6120" s="1">
        <v>44149</v>
      </c>
      <c r="C6120" s="2">
        <v>12780.25</v>
      </c>
      <c r="D6120" s="2">
        <v>12823.35</v>
      </c>
      <c r="E6120" s="2">
        <v>12828.7</v>
      </c>
      <c r="F6120" s="2">
        <v>12749.45</v>
      </c>
      <c r="G6120" s="3">
        <f t="shared" si="287"/>
        <v>4.7405846721095823E-3</v>
      </c>
      <c r="H6120" s="2">
        <f t="shared" si="285"/>
        <v>79.25</v>
      </c>
      <c r="I6120" s="3">
        <f t="shared" si="286"/>
        <v>6.1801323367138847E-3</v>
      </c>
    </row>
    <row r="6121" spans="2:9" x14ac:dyDescent="0.25">
      <c r="B6121" s="1">
        <v>44152</v>
      </c>
      <c r="C6121" s="2">
        <v>12874.2</v>
      </c>
      <c r="D6121" s="2">
        <v>12932.5</v>
      </c>
      <c r="E6121" s="2">
        <v>12934.05</v>
      </c>
      <c r="F6121" s="2">
        <v>12797.1</v>
      </c>
      <c r="G6121" s="3">
        <f t="shared" si="287"/>
        <v>7.3511864008921624E-3</v>
      </c>
      <c r="H6121" s="2">
        <f t="shared" si="285"/>
        <v>136.94999999999891</v>
      </c>
      <c r="I6121" s="3">
        <f t="shared" si="286"/>
        <v>1.0589599845350775E-2</v>
      </c>
    </row>
    <row r="6122" spans="2:9" x14ac:dyDescent="0.25">
      <c r="B6122" s="1">
        <v>44153</v>
      </c>
      <c r="C6122" s="2">
        <v>12938.25</v>
      </c>
      <c r="D6122" s="2">
        <v>12860.1</v>
      </c>
      <c r="E6122" s="2">
        <v>12948.85</v>
      </c>
      <c r="F6122" s="2">
        <v>12819.35</v>
      </c>
      <c r="G6122" s="3">
        <f t="shared" si="287"/>
        <v>4.9750664118934917E-3</v>
      </c>
      <c r="H6122" s="2">
        <f t="shared" si="285"/>
        <v>129.5</v>
      </c>
      <c r="I6122" s="3">
        <f t="shared" si="286"/>
        <v>1.0069906143809145E-2</v>
      </c>
    </row>
    <row r="6123" spans="2:9" x14ac:dyDescent="0.25">
      <c r="B6123" s="1">
        <v>44154</v>
      </c>
      <c r="C6123" s="2">
        <v>12771.7</v>
      </c>
      <c r="D6123" s="2">
        <v>12839.5</v>
      </c>
      <c r="E6123" s="2">
        <v>12963</v>
      </c>
      <c r="F6123" s="2">
        <v>12745.75</v>
      </c>
      <c r="G6123" s="3">
        <f t="shared" si="287"/>
        <v>-1.2872683709156951E-2</v>
      </c>
      <c r="H6123" s="2">
        <f t="shared" si="285"/>
        <v>217.25</v>
      </c>
      <c r="I6123" s="3">
        <f t="shared" si="286"/>
        <v>1.6920440827135012E-2</v>
      </c>
    </row>
    <row r="6124" spans="2:9" x14ac:dyDescent="0.25">
      <c r="B6124" s="1">
        <v>44155</v>
      </c>
      <c r="C6124" s="2">
        <v>12859.05</v>
      </c>
      <c r="D6124" s="2">
        <v>12813.4</v>
      </c>
      <c r="E6124" s="2">
        <v>12892.45</v>
      </c>
      <c r="F6124" s="2">
        <v>12730.25</v>
      </c>
      <c r="G6124" s="3">
        <f t="shared" si="287"/>
        <v>6.8393401035100609E-3</v>
      </c>
      <c r="H6124" s="2">
        <f t="shared" si="285"/>
        <v>162.20000000000073</v>
      </c>
      <c r="I6124" s="3">
        <f t="shared" si="286"/>
        <v>1.2658623004042699E-2</v>
      </c>
    </row>
    <row r="6125" spans="2:9" x14ac:dyDescent="0.25">
      <c r="B6125" s="1">
        <v>44158</v>
      </c>
      <c r="C6125" s="2">
        <v>12926.45</v>
      </c>
      <c r="D6125" s="2">
        <v>12960.3</v>
      </c>
      <c r="E6125" s="2">
        <v>12968.85</v>
      </c>
      <c r="F6125" s="2">
        <v>12825.7</v>
      </c>
      <c r="G6125" s="3">
        <f t="shared" si="287"/>
        <v>5.2414447412523213E-3</v>
      </c>
      <c r="H6125" s="2">
        <f t="shared" si="285"/>
        <v>143.14999999999964</v>
      </c>
      <c r="I6125" s="3">
        <f t="shared" si="286"/>
        <v>1.1045269013834529E-2</v>
      </c>
    </row>
    <row r="6126" spans="2:9" x14ac:dyDescent="0.25">
      <c r="B6126" s="1">
        <v>44159</v>
      </c>
      <c r="C6126" s="2">
        <v>13055.15</v>
      </c>
      <c r="D6126" s="2">
        <v>13002.6</v>
      </c>
      <c r="E6126" s="2">
        <v>13079.1</v>
      </c>
      <c r="F6126" s="2">
        <v>12978</v>
      </c>
      <c r="G6126" s="3">
        <f t="shared" si="287"/>
        <v>9.956329850809631E-3</v>
      </c>
      <c r="H6126" s="2">
        <f t="shared" si="285"/>
        <v>101.10000000000036</v>
      </c>
      <c r="I6126" s="3">
        <f t="shared" si="286"/>
        <v>7.7753680033224399E-3</v>
      </c>
    </row>
    <row r="6127" spans="2:9" x14ac:dyDescent="0.25">
      <c r="B6127" s="1">
        <v>44160</v>
      </c>
      <c r="C6127" s="2">
        <v>12858.4</v>
      </c>
      <c r="D6127" s="2">
        <v>13130</v>
      </c>
      <c r="E6127" s="2">
        <v>13145.85</v>
      </c>
      <c r="F6127" s="2">
        <v>12833.65</v>
      </c>
      <c r="G6127" s="3">
        <f t="shared" si="287"/>
        <v>-1.5070680919024304E-2</v>
      </c>
      <c r="H6127" s="2">
        <f t="shared" si="285"/>
        <v>312.20000000000073</v>
      </c>
      <c r="I6127" s="3">
        <f t="shared" si="286"/>
        <v>2.3777608530083833E-2</v>
      </c>
    </row>
    <row r="6128" spans="2:9" x14ac:dyDescent="0.25">
      <c r="B6128" s="1">
        <v>44161</v>
      </c>
      <c r="C6128" s="2">
        <v>12987</v>
      </c>
      <c r="D6128" s="2">
        <v>12906.45</v>
      </c>
      <c r="E6128" s="2">
        <v>13018</v>
      </c>
      <c r="F6128" s="2">
        <v>12790.4</v>
      </c>
      <c r="G6128" s="3">
        <f t="shared" si="287"/>
        <v>1.000124432277727E-2</v>
      </c>
      <c r="H6128" s="2">
        <f t="shared" si="285"/>
        <v>227.60000000000036</v>
      </c>
      <c r="I6128" s="3">
        <f t="shared" si="286"/>
        <v>1.7634593555935239E-2</v>
      </c>
    </row>
    <row r="6129" spans="2:9" x14ac:dyDescent="0.25">
      <c r="B6129" s="1">
        <v>44162</v>
      </c>
      <c r="C6129" s="2">
        <v>12968.95</v>
      </c>
      <c r="D6129" s="2">
        <v>13012.05</v>
      </c>
      <c r="E6129" s="2">
        <v>13035.3</v>
      </c>
      <c r="F6129" s="2">
        <v>12914.3</v>
      </c>
      <c r="G6129" s="3">
        <f t="shared" si="287"/>
        <v>-1.3898513898513709E-3</v>
      </c>
      <c r="H6129" s="2">
        <f t="shared" si="285"/>
        <v>121</v>
      </c>
      <c r="I6129" s="3">
        <f t="shared" si="286"/>
        <v>9.2990727825361889E-3</v>
      </c>
    </row>
    <row r="6130" spans="2:9" x14ac:dyDescent="0.25">
      <c r="B6130" s="1">
        <v>44166</v>
      </c>
      <c r="C6130" s="2">
        <v>13109.05</v>
      </c>
      <c r="D6130" s="2">
        <v>13062.2</v>
      </c>
      <c r="E6130" s="2">
        <v>13128.4</v>
      </c>
      <c r="F6130" s="2">
        <v>12962.8</v>
      </c>
      <c r="G6130" s="3">
        <f t="shared" si="287"/>
        <v>1.0802724970024435E-2</v>
      </c>
      <c r="H6130" s="2">
        <f t="shared" si="285"/>
        <v>165.60000000000036</v>
      </c>
      <c r="I6130" s="3">
        <f t="shared" si="286"/>
        <v>1.2677803126579011E-2</v>
      </c>
    </row>
    <row r="6131" spans="2:9" x14ac:dyDescent="0.25">
      <c r="B6131" s="1">
        <v>44167</v>
      </c>
      <c r="C6131" s="2">
        <v>13113.75</v>
      </c>
      <c r="D6131" s="2">
        <v>13121.4</v>
      </c>
      <c r="E6131" s="2">
        <v>13128.5</v>
      </c>
      <c r="F6131" s="2">
        <v>12983.55</v>
      </c>
      <c r="G6131" s="3">
        <f t="shared" si="287"/>
        <v>3.5853093855009455E-4</v>
      </c>
      <c r="H6131" s="2">
        <f t="shared" si="285"/>
        <v>144.95000000000073</v>
      </c>
      <c r="I6131" s="3">
        <f t="shared" si="286"/>
        <v>1.1046839514076298E-2</v>
      </c>
    </row>
    <row r="6132" spans="2:9" x14ac:dyDescent="0.25">
      <c r="B6132" s="1">
        <v>44168</v>
      </c>
      <c r="C6132" s="2">
        <v>13133.9</v>
      </c>
      <c r="D6132" s="2">
        <v>13215.3</v>
      </c>
      <c r="E6132" s="2">
        <v>13216.6</v>
      </c>
      <c r="F6132" s="2">
        <v>13107.9</v>
      </c>
      <c r="G6132" s="3">
        <f t="shared" si="287"/>
        <v>1.5365551425030599E-3</v>
      </c>
      <c r="H6132" s="2">
        <f t="shared" si="285"/>
        <v>108.70000000000073</v>
      </c>
      <c r="I6132" s="3">
        <f t="shared" si="286"/>
        <v>8.225314597474196E-3</v>
      </c>
    </row>
    <row r="6133" spans="2:9" x14ac:dyDescent="0.25">
      <c r="B6133" s="1">
        <v>44169</v>
      </c>
      <c r="C6133" s="2">
        <v>13258.55</v>
      </c>
      <c r="D6133" s="2">
        <v>13177.4</v>
      </c>
      <c r="E6133" s="2">
        <v>13280.05</v>
      </c>
      <c r="F6133" s="2">
        <v>13152.85</v>
      </c>
      <c r="G6133" s="3">
        <f t="shared" si="287"/>
        <v>9.4907072537480097E-3</v>
      </c>
      <c r="H6133" s="2">
        <f t="shared" si="285"/>
        <v>127.19999999999891</v>
      </c>
      <c r="I6133" s="3">
        <f t="shared" si="286"/>
        <v>9.6528905550411249E-3</v>
      </c>
    </row>
    <row r="6134" spans="2:9" x14ac:dyDescent="0.25">
      <c r="B6134" s="1">
        <v>44172</v>
      </c>
      <c r="C6134" s="2">
        <v>13355.75</v>
      </c>
      <c r="D6134" s="2">
        <v>13264.85</v>
      </c>
      <c r="E6134" s="2">
        <v>13366.65</v>
      </c>
      <c r="F6134" s="2">
        <v>13241.95</v>
      </c>
      <c r="G6134" s="3">
        <f t="shared" si="287"/>
        <v>7.331118410384363E-3</v>
      </c>
      <c r="H6134" s="2">
        <f t="shared" si="285"/>
        <v>124.69999999999891</v>
      </c>
      <c r="I6134" s="3">
        <f t="shared" si="286"/>
        <v>9.4007847808304582E-3</v>
      </c>
    </row>
    <row r="6135" spans="2:9" x14ac:dyDescent="0.25">
      <c r="B6135" s="1">
        <v>44173</v>
      </c>
      <c r="C6135" s="2">
        <v>13392.95</v>
      </c>
      <c r="D6135" s="2">
        <v>13393.85</v>
      </c>
      <c r="E6135" s="2">
        <v>13435.45</v>
      </c>
      <c r="F6135" s="2">
        <v>13311.05</v>
      </c>
      <c r="G6135" s="3">
        <f t="shared" si="287"/>
        <v>2.785317185481917E-3</v>
      </c>
      <c r="H6135" s="2">
        <f t="shared" si="285"/>
        <v>124.40000000000146</v>
      </c>
      <c r="I6135" s="3">
        <f t="shared" si="286"/>
        <v>9.2878447944393476E-3</v>
      </c>
    </row>
    <row r="6136" spans="2:9" x14ac:dyDescent="0.25">
      <c r="B6136" s="1">
        <v>44174</v>
      </c>
      <c r="C6136" s="2">
        <v>13529.1</v>
      </c>
      <c r="D6136" s="2">
        <v>13458.1</v>
      </c>
      <c r="E6136" s="2">
        <v>13548.9</v>
      </c>
      <c r="F6136" s="2">
        <v>13449.6</v>
      </c>
      <c r="G6136" s="3">
        <f t="shared" si="287"/>
        <v>1.0165796183813081E-2</v>
      </c>
      <c r="H6136" s="2">
        <f t="shared" si="285"/>
        <v>99.299999999999272</v>
      </c>
      <c r="I6136" s="3">
        <f t="shared" si="286"/>
        <v>7.3784560970715975E-3</v>
      </c>
    </row>
    <row r="6137" spans="2:9" x14ac:dyDescent="0.25">
      <c r="B6137" s="1">
        <v>44175</v>
      </c>
      <c r="C6137" s="2">
        <v>13478.3</v>
      </c>
      <c r="D6137" s="2">
        <v>13488.5</v>
      </c>
      <c r="E6137" s="2">
        <v>13503.55</v>
      </c>
      <c r="F6137" s="2">
        <v>13399.3</v>
      </c>
      <c r="G6137" s="3">
        <f t="shared" si="287"/>
        <v>-3.7548691339409634E-3</v>
      </c>
      <c r="H6137" s="2">
        <f t="shared" si="285"/>
        <v>104.25</v>
      </c>
      <c r="I6137" s="3">
        <f t="shared" si="286"/>
        <v>7.728806019942914E-3</v>
      </c>
    </row>
    <row r="6138" spans="2:9" x14ac:dyDescent="0.25">
      <c r="B6138" s="1">
        <v>44176</v>
      </c>
      <c r="C6138" s="2">
        <v>13513.85</v>
      </c>
      <c r="D6138" s="2">
        <v>13512.3</v>
      </c>
      <c r="E6138" s="2">
        <v>13579.35</v>
      </c>
      <c r="F6138" s="2">
        <v>13402.85</v>
      </c>
      <c r="G6138" s="3">
        <f t="shared" si="287"/>
        <v>2.6375729876915166E-3</v>
      </c>
      <c r="H6138" s="2">
        <f t="shared" si="285"/>
        <v>176.5</v>
      </c>
      <c r="I6138" s="3">
        <f t="shared" si="286"/>
        <v>1.3062172983133885E-2</v>
      </c>
    </row>
    <row r="6139" spans="2:9" x14ac:dyDescent="0.25">
      <c r="B6139" s="1">
        <v>44179</v>
      </c>
      <c r="C6139" s="2">
        <v>13558.15</v>
      </c>
      <c r="D6139" s="2">
        <v>13571.45</v>
      </c>
      <c r="E6139" s="2">
        <v>13597.5</v>
      </c>
      <c r="F6139" s="2">
        <v>13472.45</v>
      </c>
      <c r="G6139" s="3">
        <f t="shared" si="287"/>
        <v>3.2781183748524789E-3</v>
      </c>
      <c r="H6139" s="2">
        <f t="shared" si="285"/>
        <v>125.04999999999927</v>
      </c>
      <c r="I6139" s="3">
        <f t="shared" si="286"/>
        <v>9.2141959775852451E-3</v>
      </c>
    </row>
    <row r="6140" spans="2:9" x14ac:dyDescent="0.25">
      <c r="B6140" s="1">
        <v>44180</v>
      </c>
      <c r="C6140" s="2">
        <v>13567.85</v>
      </c>
      <c r="D6140" s="2">
        <v>13547.2</v>
      </c>
      <c r="E6140" s="2">
        <v>13589.65</v>
      </c>
      <c r="F6140" s="2">
        <v>13447.05</v>
      </c>
      <c r="G6140" s="3">
        <f t="shared" si="287"/>
        <v>7.1543684057195911E-4</v>
      </c>
      <c r="H6140" s="2">
        <f t="shared" si="285"/>
        <v>142.60000000000036</v>
      </c>
      <c r="I6140" s="3">
        <f t="shared" si="286"/>
        <v>1.052616038738635E-2</v>
      </c>
    </row>
    <row r="6141" spans="2:9" x14ac:dyDescent="0.25">
      <c r="B6141" s="1">
        <v>44181</v>
      </c>
      <c r="C6141" s="2">
        <v>13682.7</v>
      </c>
      <c r="D6141" s="2">
        <v>13663.1</v>
      </c>
      <c r="E6141" s="2">
        <v>13692.35</v>
      </c>
      <c r="F6141" s="2">
        <v>13606.45</v>
      </c>
      <c r="G6141" s="3">
        <f t="shared" si="287"/>
        <v>8.4648636298307878E-3</v>
      </c>
      <c r="H6141" s="2">
        <f t="shared" si="285"/>
        <v>85.899999999999636</v>
      </c>
      <c r="I6141" s="3">
        <f t="shared" si="286"/>
        <v>6.2870066090418451E-3</v>
      </c>
    </row>
    <row r="6142" spans="2:9" x14ac:dyDescent="0.25">
      <c r="B6142" s="1">
        <v>44182</v>
      </c>
      <c r="C6142" s="2">
        <v>13740.7</v>
      </c>
      <c r="D6142" s="2">
        <v>13713.55</v>
      </c>
      <c r="E6142" s="2">
        <v>13773.25</v>
      </c>
      <c r="F6142" s="2">
        <v>13673.55</v>
      </c>
      <c r="G6142" s="3">
        <f t="shared" si="287"/>
        <v>4.2389294510585263E-3</v>
      </c>
      <c r="H6142" s="2">
        <f t="shared" si="285"/>
        <v>99.700000000000728</v>
      </c>
      <c r="I6142" s="3">
        <f t="shared" si="286"/>
        <v>7.270181681621515E-3</v>
      </c>
    </row>
    <row r="6143" spans="2:9" x14ac:dyDescent="0.25">
      <c r="B6143" s="1">
        <v>44183</v>
      </c>
      <c r="C6143" s="2">
        <v>13760.55</v>
      </c>
      <c r="D6143" s="2">
        <v>13764.4</v>
      </c>
      <c r="E6143" s="2">
        <v>13772.85</v>
      </c>
      <c r="F6143" s="2">
        <v>13658.6</v>
      </c>
      <c r="G6143" s="3">
        <f t="shared" si="287"/>
        <v>1.4446134476409078E-3</v>
      </c>
      <c r="H6143" s="2">
        <f t="shared" si="285"/>
        <v>114.25</v>
      </c>
      <c r="I6143" s="3">
        <f t="shared" si="286"/>
        <v>8.3003981285054203E-3</v>
      </c>
    </row>
    <row r="6144" spans="2:9" x14ac:dyDescent="0.25">
      <c r="B6144" s="1">
        <v>44186</v>
      </c>
      <c r="C6144" s="2">
        <v>13328.4</v>
      </c>
      <c r="D6144" s="2">
        <v>13741.9</v>
      </c>
      <c r="E6144" s="2">
        <v>13777.5</v>
      </c>
      <c r="F6144" s="2">
        <v>13131.45</v>
      </c>
      <c r="G6144" s="3">
        <f t="shared" si="287"/>
        <v>-3.1404994713147394E-2</v>
      </c>
      <c r="H6144" s="2">
        <f t="shared" si="285"/>
        <v>646.04999999999927</v>
      </c>
      <c r="I6144" s="3">
        <f t="shared" si="286"/>
        <v>4.7013149564470655E-2</v>
      </c>
    </row>
    <row r="6145" spans="2:9" x14ac:dyDescent="0.25">
      <c r="B6145" s="1">
        <v>44187</v>
      </c>
      <c r="C6145" s="2">
        <v>13466.3</v>
      </c>
      <c r="D6145" s="2">
        <v>13373.65</v>
      </c>
      <c r="E6145" s="2">
        <v>13492.05</v>
      </c>
      <c r="F6145" s="2">
        <v>13192.9</v>
      </c>
      <c r="G6145" s="3">
        <f t="shared" si="287"/>
        <v>1.0346328141412231E-2</v>
      </c>
      <c r="H6145" s="2">
        <f t="shared" si="285"/>
        <v>299.14999999999964</v>
      </c>
      <c r="I6145" s="3">
        <f t="shared" si="286"/>
        <v>2.2368612906723269E-2</v>
      </c>
    </row>
    <row r="6146" spans="2:9" x14ac:dyDescent="0.25">
      <c r="B6146" s="1">
        <v>44188</v>
      </c>
      <c r="C6146" s="2">
        <v>13601.1</v>
      </c>
      <c r="D6146" s="2">
        <v>13473.5</v>
      </c>
      <c r="E6146" s="2">
        <v>13619.45</v>
      </c>
      <c r="F6146" s="2">
        <v>13432.2</v>
      </c>
      <c r="G6146" s="3">
        <f t="shared" si="287"/>
        <v>1.0010173544329204E-2</v>
      </c>
      <c r="H6146" s="2">
        <f t="shared" si="285"/>
        <v>187.25</v>
      </c>
      <c r="I6146" s="3">
        <f t="shared" si="286"/>
        <v>1.3897650944446506E-2</v>
      </c>
    </row>
    <row r="6147" spans="2:9" x14ac:dyDescent="0.25">
      <c r="B6147" s="1">
        <v>44189</v>
      </c>
      <c r="C6147" s="2">
        <v>13749.25</v>
      </c>
      <c r="D6147" s="2">
        <v>13672.15</v>
      </c>
      <c r="E6147" s="2">
        <v>13771.75</v>
      </c>
      <c r="F6147" s="2">
        <v>13626.9</v>
      </c>
      <c r="G6147" s="3">
        <f t="shared" si="287"/>
        <v>1.0892501341803307E-2</v>
      </c>
      <c r="H6147" s="2">
        <f t="shared" si="285"/>
        <v>144.85000000000036</v>
      </c>
      <c r="I6147" s="3">
        <f t="shared" si="286"/>
        <v>1.0594529755744368E-2</v>
      </c>
    </row>
    <row r="6148" spans="2:9" x14ac:dyDescent="0.25">
      <c r="B6148" s="1">
        <v>44193</v>
      </c>
      <c r="C6148" s="2">
        <v>13873.2</v>
      </c>
      <c r="D6148" s="2">
        <v>13815.15</v>
      </c>
      <c r="E6148" s="2">
        <v>13885.3</v>
      </c>
      <c r="F6148" s="2">
        <v>13811.55</v>
      </c>
      <c r="G6148" s="3">
        <f t="shared" si="287"/>
        <v>9.0150371838464416E-3</v>
      </c>
      <c r="H6148" s="2">
        <f t="shared" si="285"/>
        <v>73.75</v>
      </c>
      <c r="I6148" s="3">
        <f t="shared" si="286"/>
        <v>5.3383423270829487E-3</v>
      </c>
    </row>
    <row r="6149" spans="2:9" x14ac:dyDescent="0.25">
      <c r="B6149" s="1">
        <v>44194</v>
      </c>
      <c r="C6149" s="2">
        <v>13932.6</v>
      </c>
      <c r="D6149" s="2">
        <v>13910.35</v>
      </c>
      <c r="E6149" s="2">
        <v>13967.6</v>
      </c>
      <c r="F6149" s="2">
        <v>13859.9</v>
      </c>
      <c r="G6149" s="3">
        <f t="shared" si="287"/>
        <v>4.2816365366318276E-3</v>
      </c>
      <c r="H6149" s="2">
        <f t="shared" ref="H6149:H6212" si="288">E6149-F6149</f>
        <v>107.70000000000073</v>
      </c>
      <c r="I6149" s="3">
        <f t="shared" si="286"/>
        <v>7.742436387294405E-3</v>
      </c>
    </row>
    <row r="6150" spans="2:9" x14ac:dyDescent="0.25">
      <c r="B6150" s="1">
        <v>44195</v>
      </c>
      <c r="C6150" s="2">
        <v>13981.95</v>
      </c>
      <c r="D6150" s="2">
        <v>13980.9</v>
      </c>
      <c r="E6150" s="2">
        <v>13997</v>
      </c>
      <c r="F6150" s="2">
        <v>13864.95</v>
      </c>
      <c r="G6150" s="3">
        <f t="shared" si="287"/>
        <v>3.5420524525213715E-3</v>
      </c>
      <c r="H6150" s="2">
        <f t="shared" si="288"/>
        <v>132.04999999999927</v>
      </c>
      <c r="I6150" s="3">
        <f t="shared" ref="I6150:I6213" si="289">H6150/D6150</f>
        <v>9.4450285746982866E-3</v>
      </c>
    </row>
    <row r="6151" spans="2:9" x14ac:dyDescent="0.25">
      <c r="B6151" s="1">
        <v>44196</v>
      </c>
      <c r="C6151" s="2">
        <v>13981.75</v>
      </c>
      <c r="D6151" s="2">
        <v>13970</v>
      </c>
      <c r="E6151" s="2">
        <v>14024.85</v>
      </c>
      <c r="F6151" s="2">
        <v>13936.45</v>
      </c>
      <c r="G6151" s="3">
        <f t="shared" ref="G6151:G6214" si="290">C6151/C6150-1</f>
        <v>-1.430415643033367E-5</v>
      </c>
      <c r="H6151" s="2">
        <f t="shared" si="288"/>
        <v>88.399999999999636</v>
      </c>
      <c r="I6151" s="3">
        <f t="shared" si="289"/>
        <v>6.3278453829634668E-3</v>
      </c>
    </row>
    <row r="6152" spans="2:9" x14ac:dyDescent="0.25">
      <c r="B6152" s="1">
        <v>44197</v>
      </c>
      <c r="C6152" s="2">
        <v>14018.5</v>
      </c>
      <c r="D6152" s="2">
        <v>13996.1</v>
      </c>
      <c r="E6152" s="2">
        <v>14049.85</v>
      </c>
      <c r="F6152" s="2">
        <v>13991.35</v>
      </c>
      <c r="G6152" s="3">
        <f t="shared" si="290"/>
        <v>2.6284263414808606E-3</v>
      </c>
      <c r="H6152" s="2">
        <f t="shared" si="288"/>
        <v>58.5</v>
      </c>
      <c r="I6152" s="3">
        <f t="shared" si="289"/>
        <v>4.1797357835397005E-3</v>
      </c>
    </row>
    <row r="6153" spans="2:9" x14ac:dyDescent="0.25">
      <c r="B6153" s="1">
        <v>44200</v>
      </c>
      <c r="C6153" s="2">
        <v>14132.9</v>
      </c>
      <c r="D6153" s="2">
        <v>14104.35</v>
      </c>
      <c r="E6153" s="2">
        <v>14147.95</v>
      </c>
      <c r="F6153" s="2">
        <v>13953.75</v>
      </c>
      <c r="G6153" s="3">
        <f t="shared" si="290"/>
        <v>8.1606448621465155E-3</v>
      </c>
      <c r="H6153" s="2">
        <f t="shared" si="288"/>
        <v>194.20000000000073</v>
      </c>
      <c r="I6153" s="3">
        <f t="shared" si="289"/>
        <v>1.3768801823550942E-2</v>
      </c>
    </row>
    <row r="6154" spans="2:9" x14ac:dyDescent="0.25">
      <c r="B6154" s="1">
        <v>44201</v>
      </c>
      <c r="C6154" s="2">
        <v>14199.5</v>
      </c>
      <c r="D6154" s="2">
        <v>14075.15</v>
      </c>
      <c r="E6154" s="2">
        <v>14215.6</v>
      </c>
      <c r="F6154" s="2">
        <v>14048.15</v>
      </c>
      <c r="G6154" s="3">
        <f t="shared" si="290"/>
        <v>4.7124086351704175E-3</v>
      </c>
      <c r="H6154" s="2">
        <f t="shared" si="288"/>
        <v>167.45000000000073</v>
      </c>
      <c r="I6154" s="3">
        <f t="shared" si="289"/>
        <v>1.1896853674738864E-2</v>
      </c>
    </row>
    <row r="6155" spans="2:9" x14ac:dyDescent="0.25">
      <c r="B6155" s="1">
        <v>44202</v>
      </c>
      <c r="C6155" s="2">
        <v>14146.25</v>
      </c>
      <c r="D6155" s="2">
        <v>14240.95</v>
      </c>
      <c r="E6155" s="2">
        <v>14244.15</v>
      </c>
      <c r="F6155" s="2">
        <v>14039.9</v>
      </c>
      <c r="G6155" s="3">
        <f t="shared" si="290"/>
        <v>-3.7501320469031096E-3</v>
      </c>
      <c r="H6155" s="2">
        <f t="shared" si="288"/>
        <v>204.25</v>
      </c>
      <c r="I6155" s="3">
        <f t="shared" si="289"/>
        <v>1.4342442042139043E-2</v>
      </c>
    </row>
    <row r="6156" spans="2:9" x14ac:dyDescent="0.25">
      <c r="B6156" s="1">
        <v>44203</v>
      </c>
      <c r="C6156" s="2">
        <v>14137.35</v>
      </c>
      <c r="D6156" s="2">
        <v>14253.75</v>
      </c>
      <c r="E6156" s="2">
        <v>14256.25</v>
      </c>
      <c r="F6156" s="2">
        <v>14123.1</v>
      </c>
      <c r="G6156" s="3">
        <f t="shared" si="290"/>
        <v>-6.2914199876284993E-4</v>
      </c>
      <c r="H6156" s="2">
        <f t="shared" si="288"/>
        <v>133.14999999999964</v>
      </c>
      <c r="I6156" s="3">
        <f t="shared" si="289"/>
        <v>9.3414013856002558E-3</v>
      </c>
    </row>
    <row r="6157" spans="2:9" x14ac:dyDescent="0.25">
      <c r="B6157" s="1">
        <v>44204</v>
      </c>
      <c r="C6157" s="2">
        <v>14347.25</v>
      </c>
      <c r="D6157" s="2">
        <v>14258.4</v>
      </c>
      <c r="E6157" s="2">
        <v>14367.3</v>
      </c>
      <c r="F6157" s="2">
        <v>14221.65</v>
      </c>
      <c r="G6157" s="3">
        <f t="shared" si="290"/>
        <v>1.4847195549378078E-2</v>
      </c>
      <c r="H6157" s="2">
        <f t="shared" si="288"/>
        <v>145.64999999999964</v>
      </c>
      <c r="I6157" s="3">
        <f t="shared" si="289"/>
        <v>1.0215031139538772E-2</v>
      </c>
    </row>
    <row r="6158" spans="2:9" x14ac:dyDescent="0.25">
      <c r="B6158" s="1">
        <v>44207</v>
      </c>
      <c r="C6158" s="2">
        <v>14484.75</v>
      </c>
      <c r="D6158" s="2">
        <v>14474.05</v>
      </c>
      <c r="E6158" s="2">
        <v>14498.2</v>
      </c>
      <c r="F6158" s="2">
        <v>14383.1</v>
      </c>
      <c r="G6158" s="3">
        <f t="shared" si="290"/>
        <v>9.5837181341371647E-3</v>
      </c>
      <c r="H6158" s="2">
        <f t="shared" si="288"/>
        <v>115.10000000000036</v>
      </c>
      <c r="I6158" s="3">
        <f t="shared" si="289"/>
        <v>7.9521626635254382E-3</v>
      </c>
    </row>
    <row r="6159" spans="2:9" x14ac:dyDescent="0.25">
      <c r="B6159" s="1">
        <v>44208</v>
      </c>
      <c r="C6159" s="2">
        <v>14563.45</v>
      </c>
      <c r="D6159" s="2">
        <v>14473.8</v>
      </c>
      <c r="E6159" s="2">
        <v>14590.65</v>
      </c>
      <c r="F6159" s="2">
        <v>14432.85</v>
      </c>
      <c r="G6159" s="3">
        <f t="shared" si="290"/>
        <v>5.4333005402233958E-3</v>
      </c>
      <c r="H6159" s="2">
        <f t="shared" si="288"/>
        <v>157.79999999999927</v>
      </c>
      <c r="I6159" s="3">
        <f t="shared" si="289"/>
        <v>1.0902458234879526E-2</v>
      </c>
    </row>
    <row r="6160" spans="2:9" x14ac:dyDescent="0.25">
      <c r="B6160" s="1">
        <v>44209</v>
      </c>
      <c r="C6160" s="2">
        <v>14564.85</v>
      </c>
      <c r="D6160" s="2">
        <v>14639.8</v>
      </c>
      <c r="E6160" s="2">
        <v>14653.35</v>
      </c>
      <c r="F6160" s="2">
        <v>14435.7</v>
      </c>
      <c r="G6160" s="3">
        <f t="shared" si="290"/>
        <v>9.6131067844451579E-5</v>
      </c>
      <c r="H6160" s="2">
        <f t="shared" si="288"/>
        <v>217.64999999999964</v>
      </c>
      <c r="I6160" s="3">
        <f t="shared" si="289"/>
        <v>1.4867006379868554E-2</v>
      </c>
    </row>
    <row r="6161" spans="2:9" x14ac:dyDescent="0.25">
      <c r="B6161" s="1">
        <v>44210</v>
      </c>
      <c r="C6161" s="2">
        <v>14595.6</v>
      </c>
      <c r="D6161" s="2">
        <v>14550.05</v>
      </c>
      <c r="E6161" s="2">
        <v>14617.8</v>
      </c>
      <c r="F6161" s="2">
        <v>14471.5</v>
      </c>
      <c r="G6161" s="3">
        <f t="shared" si="290"/>
        <v>2.1112472837001572E-3</v>
      </c>
      <c r="H6161" s="2">
        <f t="shared" si="288"/>
        <v>146.29999999999927</v>
      </c>
      <c r="I6161" s="3">
        <f t="shared" si="289"/>
        <v>1.0054948264782546E-2</v>
      </c>
    </row>
    <row r="6162" spans="2:9" x14ac:dyDescent="0.25">
      <c r="B6162" s="1">
        <v>44211</v>
      </c>
      <c r="C6162" s="2">
        <v>14433.7</v>
      </c>
      <c r="D6162" s="2">
        <v>14594.35</v>
      </c>
      <c r="E6162" s="2">
        <v>14617.45</v>
      </c>
      <c r="F6162" s="2">
        <v>14357.85</v>
      </c>
      <c r="G6162" s="3">
        <f t="shared" si="290"/>
        <v>-1.1092384006138767E-2</v>
      </c>
      <c r="H6162" s="2">
        <f t="shared" si="288"/>
        <v>259.60000000000036</v>
      </c>
      <c r="I6162" s="3">
        <f t="shared" si="289"/>
        <v>1.7787705516175804E-2</v>
      </c>
    </row>
    <row r="6163" spans="2:9" x14ac:dyDescent="0.25">
      <c r="B6163" s="1">
        <v>44214</v>
      </c>
      <c r="C6163" s="2">
        <v>14281.3</v>
      </c>
      <c r="D6163" s="2">
        <v>14453.3</v>
      </c>
      <c r="E6163" s="2">
        <v>14459.15</v>
      </c>
      <c r="F6163" s="2">
        <v>14222.8</v>
      </c>
      <c r="G6163" s="3">
        <f t="shared" si="290"/>
        <v>-1.0558623222042929E-2</v>
      </c>
      <c r="H6163" s="2">
        <f t="shared" si="288"/>
        <v>236.35000000000036</v>
      </c>
      <c r="I6163" s="3">
        <f t="shared" si="289"/>
        <v>1.6352666865006634E-2</v>
      </c>
    </row>
    <row r="6164" spans="2:9" x14ac:dyDescent="0.25">
      <c r="B6164" s="1">
        <v>44215</v>
      </c>
      <c r="C6164" s="2">
        <v>14521.15</v>
      </c>
      <c r="D6164" s="2">
        <v>14371.65</v>
      </c>
      <c r="E6164" s="2">
        <v>14546.05</v>
      </c>
      <c r="F6164" s="2">
        <v>14350.85</v>
      </c>
      <c r="G6164" s="3">
        <f t="shared" si="290"/>
        <v>1.6794689559073817E-2</v>
      </c>
      <c r="H6164" s="2">
        <f t="shared" si="288"/>
        <v>195.19999999999891</v>
      </c>
      <c r="I6164" s="3">
        <f t="shared" si="289"/>
        <v>1.3582295700215279E-2</v>
      </c>
    </row>
    <row r="6165" spans="2:9" x14ac:dyDescent="0.25">
      <c r="B6165" s="1">
        <v>44216</v>
      </c>
      <c r="C6165" s="2">
        <v>14644.7</v>
      </c>
      <c r="D6165" s="2">
        <v>14538.3</v>
      </c>
      <c r="E6165" s="2">
        <v>14666.45</v>
      </c>
      <c r="F6165" s="2">
        <v>14517.55</v>
      </c>
      <c r="G6165" s="3">
        <f t="shared" si="290"/>
        <v>8.508279302947841E-3</v>
      </c>
      <c r="H6165" s="2">
        <f t="shared" si="288"/>
        <v>148.90000000000146</v>
      </c>
      <c r="I6165" s="3">
        <f t="shared" si="289"/>
        <v>1.0241912740829496E-2</v>
      </c>
    </row>
    <row r="6166" spans="2:9" x14ac:dyDescent="0.25">
      <c r="B6166" s="1">
        <v>44217</v>
      </c>
      <c r="C6166" s="2">
        <v>14590.35</v>
      </c>
      <c r="D6166" s="2">
        <v>14730.95</v>
      </c>
      <c r="E6166" s="2">
        <v>14753.55</v>
      </c>
      <c r="F6166" s="2">
        <v>14517.25</v>
      </c>
      <c r="G6166" s="3">
        <f t="shared" si="290"/>
        <v>-3.711240243910785E-3</v>
      </c>
      <c r="H6166" s="2">
        <f t="shared" si="288"/>
        <v>236.29999999999927</v>
      </c>
      <c r="I6166" s="3">
        <f t="shared" si="289"/>
        <v>1.6041056415234543E-2</v>
      </c>
    </row>
    <row r="6167" spans="2:9" x14ac:dyDescent="0.25">
      <c r="B6167" s="1">
        <v>44218</v>
      </c>
      <c r="C6167" s="2">
        <v>14371.9</v>
      </c>
      <c r="D6167" s="2">
        <v>14583.4</v>
      </c>
      <c r="E6167" s="2">
        <v>14619.9</v>
      </c>
      <c r="F6167" s="2">
        <v>14357.75</v>
      </c>
      <c r="G6167" s="3">
        <f t="shared" si="290"/>
        <v>-1.4972224792414224E-2</v>
      </c>
      <c r="H6167" s="2">
        <f t="shared" si="288"/>
        <v>262.14999999999964</v>
      </c>
      <c r="I6167" s="3">
        <f t="shared" si="289"/>
        <v>1.7975917824375635E-2</v>
      </c>
    </row>
    <row r="6168" spans="2:9" x14ac:dyDescent="0.25">
      <c r="B6168" s="1">
        <v>44221</v>
      </c>
      <c r="C6168" s="2">
        <v>14238.9</v>
      </c>
      <c r="D6168" s="2">
        <v>14477.8</v>
      </c>
      <c r="E6168" s="2">
        <v>14491.1</v>
      </c>
      <c r="F6168" s="2">
        <v>14218.6</v>
      </c>
      <c r="G6168" s="3">
        <f t="shared" si="290"/>
        <v>-9.2541695948343827E-3</v>
      </c>
      <c r="H6168" s="2">
        <f t="shared" si="288"/>
        <v>272.5</v>
      </c>
      <c r="I6168" s="3">
        <f t="shared" si="289"/>
        <v>1.8821920457528077E-2</v>
      </c>
    </row>
    <row r="6169" spans="2:9" x14ac:dyDescent="0.25">
      <c r="B6169" s="1">
        <v>44223</v>
      </c>
      <c r="C6169" s="2">
        <v>13967.5</v>
      </c>
      <c r="D6169" s="2">
        <v>14237.95</v>
      </c>
      <c r="E6169" s="2">
        <v>14237.95</v>
      </c>
      <c r="F6169" s="2">
        <v>13929.3</v>
      </c>
      <c r="G6169" s="3">
        <f t="shared" si="290"/>
        <v>-1.9060461131126694E-2</v>
      </c>
      <c r="H6169" s="2">
        <f t="shared" si="288"/>
        <v>308.65000000000146</v>
      </c>
      <c r="I6169" s="3">
        <f t="shared" si="289"/>
        <v>2.1677980327224174E-2</v>
      </c>
    </row>
    <row r="6170" spans="2:9" x14ac:dyDescent="0.25">
      <c r="B6170" s="1">
        <v>44224</v>
      </c>
      <c r="C6170" s="2">
        <v>13817.55</v>
      </c>
      <c r="D6170" s="2">
        <v>13810.4</v>
      </c>
      <c r="E6170" s="2">
        <v>13898.25</v>
      </c>
      <c r="F6170" s="2">
        <v>13713.25</v>
      </c>
      <c r="G6170" s="3">
        <f t="shared" si="290"/>
        <v>-1.0735636298550233E-2</v>
      </c>
      <c r="H6170" s="2">
        <f t="shared" si="288"/>
        <v>185</v>
      </c>
      <c r="I6170" s="3">
        <f t="shared" si="289"/>
        <v>1.3395701789955396E-2</v>
      </c>
    </row>
    <row r="6171" spans="2:9" x14ac:dyDescent="0.25">
      <c r="B6171" s="1">
        <v>44225</v>
      </c>
      <c r="C6171" s="2">
        <v>13634.6</v>
      </c>
      <c r="D6171" s="2">
        <v>13946.6</v>
      </c>
      <c r="E6171" s="2">
        <v>13966.85</v>
      </c>
      <c r="F6171" s="2">
        <v>13596.75</v>
      </c>
      <c r="G6171" s="3">
        <f t="shared" si="290"/>
        <v>-1.3240408031814588E-2</v>
      </c>
      <c r="H6171" s="2">
        <f t="shared" si="288"/>
        <v>370.10000000000036</v>
      </c>
      <c r="I6171" s="3">
        <f t="shared" si="289"/>
        <v>2.653693373295286E-2</v>
      </c>
    </row>
    <row r="6172" spans="2:9" x14ac:dyDescent="0.25">
      <c r="B6172" s="1">
        <v>44228</v>
      </c>
      <c r="C6172" s="2">
        <v>14281.2</v>
      </c>
      <c r="D6172" s="2">
        <v>13758.6</v>
      </c>
      <c r="E6172" s="2">
        <v>14336.35</v>
      </c>
      <c r="F6172" s="2">
        <v>13661.75</v>
      </c>
      <c r="G6172" s="3">
        <f t="shared" si="290"/>
        <v>4.7423466768368838E-2</v>
      </c>
      <c r="H6172" s="2">
        <f t="shared" si="288"/>
        <v>674.60000000000036</v>
      </c>
      <c r="I6172" s="3">
        <f t="shared" si="289"/>
        <v>4.9031151425290388E-2</v>
      </c>
    </row>
    <row r="6173" spans="2:9" x14ac:dyDescent="0.25">
      <c r="B6173" s="1">
        <v>44229</v>
      </c>
      <c r="C6173" s="2">
        <v>14647.85</v>
      </c>
      <c r="D6173" s="2">
        <v>14481.1</v>
      </c>
      <c r="E6173" s="2">
        <v>14731.7</v>
      </c>
      <c r="F6173" s="2">
        <v>14469.15</v>
      </c>
      <c r="G6173" s="3">
        <f t="shared" si="290"/>
        <v>2.5673612861664363E-2</v>
      </c>
      <c r="H6173" s="2">
        <f t="shared" si="288"/>
        <v>262.55000000000109</v>
      </c>
      <c r="I6173" s="3">
        <f t="shared" si="289"/>
        <v>1.8130528758174523E-2</v>
      </c>
    </row>
    <row r="6174" spans="2:9" x14ac:dyDescent="0.25">
      <c r="B6174" s="1">
        <v>44230</v>
      </c>
      <c r="C6174" s="2">
        <v>14789.95</v>
      </c>
      <c r="D6174" s="2">
        <v>14754.9</v>
      </c>
      <c r="E6174" s="2">
        <v>14868.85</v>
      </c>
      <c r="F6174" s="2">
        <v>14574.15</v>
      </c>
      <c r="G6174" s="3">
        <f t="shared" si="290"/>
        <v>9.7010824114118765E-3</v>
      </c>
      <c r="H6174" s="2">
        <f t="shared" si="288"/>
        <v>294.70000000000073</v>
      </c>
      <c r="I6174" s="3">
        <f t="shared" si="289"/>
        <v>1.9973025910036715E-2</v>
      </c>
    </row>
    <row r="6175" spans="2:9" x14ac:dyDescent="0.25">
      <c r="B6175" s="1">
        <v>44231</v>
      </c>
      <c r="C6175" s="2">
        <v>14895.65</v>
      </c>
      <c r="D6175" s="2">
        <v>14789.05</v>
      </c>
      <c r="E6175" s="2">
        <v>14913.7</v>
      </c>
      <c r="F6175" s="2">
        <v>14714.75</v>
      </c>
      <c r="G6175" s="3">
        <f t="shared" si="290"/>
        <v>7.1467449180016018E-3</v>
      </c>
      <c r="H6175" s="2">
        <f t="shared" si="288"/>
        <v>198.95000000000073</v>
      </c>
      <c r="I6175" s="3">
        <f t="shared" si="289"/>
        <v>1.3452520614914462E-2</v>
      </c>
    </row>
    <row r="6176" spans="2:9" x14ac:dyDescent="0.25">
      <c r="B6176" s="1">
        <v>44232</v>
      </c>
      <c r="C6176" s="2">
        <v>14924.25</v>
      </c>
      <c r="D6176" s="2">
        <v>14952.6</v>
      </c>
      <c r="E6176" s="2">
        <v>15014.65</v>
      </c>
      <c r="F6176" s="2">
        <v>14864.75</v>
      </c>
      <c r="G6176" s="3">
        <f t="shared" si="290"/>
        <v>1.9200236310601415E-3</v>
      </c>
      <c r="H6176" s="2">
        <f t="shared" si="288"/>
        <v>149.89999999999964</v>
      </c>
      <c r="I6176" s="3">
        <f t="shared" si="289"/>
        <v>1.0025012372430189E-2</v>
      </c>
    </row>
    <row r="6177" spans="2:9" x14ac:dyDescent="0.25">
      <c r="B6177" s="1">
        <v>44235</v>
      </c>
      <c r="C6177" s="2">
        <v>15115.8</v>
      </c>
      <c r="D6177" s="2">
        <v>15064.3</v>
      </c>
      <c r="E6177" s="2">
        <v>15159.9</v>
      </c>
      <c r="F6177" s="2">
        <v>15041.05</v>
      </c>
      <c r="G6177" s="3">
        <f t="shared" si="290"/>
        <v>1.2834815819890322E-2</v>
      </c>
      <c r="H6177" s="2">
        <f t="shared" si="288"/>
        <v>118.85000000000036</v>
      </c>
      <c r="I6177" s="3">
        <f t="shared" si="289"/>
        <v>7.8895136182896234E-3</v>
      </c>
    </row>
    <row r="6178" spans="2:9" x14ac:dyDescent="0.25">
      <c r="B6178" s="1">
        <v>44236</v>
      </c>
      <c r="C6178" s="2">
        <v>15109.3</v>
      </c>
      <c r="D6178" s="2">
        <v>15164.15</v>
      </c>
      <c r="E6178" s="2">
        <v>15257.1</v>
      </c>
      <c r="F6178" s="2">
        <v>15064.3</v>
      </c>
      <c r="G6178" s="3">
        <f t="shared" si="290"/>
        <v>-4.3001362812422617E-4</v>
      </c>
      <c r="H6178" s="2">
        <f t="shared" si="288"/>
        <v>192.80000000000109</v>
      </c>
      <c r="I6178" s="3">
        <f t="shared" si="289"/>
        <v>1.2714197630595919E-2</v>
      </c>
    </row>
    <row r="6179" spans="2:9" x14ac:dyDescent="0.25">
      <c r="B6179" s="1">
        <v>44237</v>
      </c>
      <c r="C6179" s="2">
        <v>15106.5</v>
      </c>
      <c r="D6179" s="2">
        <v>15119.05</v>
      </c>
      <c r="E6179" s="2">
        <v>15168.25</v>
      </c>
      <c r="F6179" s="2">
        <v>14977.2</v>
      </c>
      <c r="G6179" s="3">
        <f t="shared" si="290"/>
        <v>-1.8531632835405709E-4</v>
      </c>
      <c r="H6179" s="2">
        <f t="shared" si="288"/>
        <v>191.04999999999927</v>
      </c>
      <c r="I6179" s="3">
        <f t="shared" si="289"/>
        <v>1.2636375962775391E-2</v>
      </c>
    </row>
    <row r="6180" spans="2:9" x14ac:dyDescent="0.25">
      <c r="B6180" s="1">
        <v>44238</v>
      </c>
      <c r="C6180" s="2">
        <v>15173.3</v>
      </c>
      <c r="D6180" s="2">
        <v>15073.25</v>
      </c>
      <c r="E6180" s="2">
        <v>15188.5</v>
      </c>
      <c r="F6180" s="2">
        <v>15065.4</v>
      </c>
      <c r="G6180" s="3">
        <f t="shared" si="290"/>
        <v>4.4219375765397473E-3</v>
      </c>
      <c r="H6180" s="2">
        <f t="shared" si="288"/>
        <v>123.10000000000036</v>
      </c>
      <c r="I6180" s="3">
        <f t="shared" si="289"/>
        <v>8.1667855306586414E-3</v>
      </c>
    </row>
    <row r="6181" spans="2:9" x14ac:dyDescent="0.25">
      <c r="B6181" s="1">
        <v>44239</v>
      </c>
      <c r="C6181" s="2">
        <v>15163.3</v>
      </c>
      <c r="D6181" s="2">
        <v>15186.2</v>
      </c>
      <c r="E6181" s="2">
        <v>15243.5</v>
      </c>
      <c r="F6181" s="2">
        <v>15081</v>
      </c>
      <c r="G6181" s="3">
        <f t="shared" si="290"/>
        <v>-6.5905241443853235E-4</v>
      </c>
      <c r="H6181" s="2">
        <f t="shared" si="288"/>
        <v>162.5</v>
      </c>
      <c r="I6181" s="3">
        <f t="shared" si="289"/>
        <v>1.0700504405315352E-2</v>
      </c>
    </row>
    <row r="6182" spans="2:9" x14ac:dyDescent="0.25">
      <c r="B6182" s="1">
        <v>44242</v>
      </c>
      <c r="C6182" s="2">
        <v>15314.7</v>
      </c>
      <c r="D6182" s="2">
        <v>15270.3</v>
      </c>
      <c r="E6182" s="2">
        <v>15340.15</v>
      </c>
      <c r="F6182" s="2">
        <v>15243.4</v>
      </c>
      <c r="G6182" s="3">
        <f t="shared" si="290"/>
        <v>9.9846339517124516E-3</v>
      </c>
      <c r="H6182" s="2">
        <f t="shared" si="288"/>
        <v>96.75</v>
      </c>
      <c r="I6182" s="3">
        <f t="shared" si="289"/>
        <v>6.3358283727235221E-3</v>
      </c>
    </row>
    <row r="6183" spans="2:9" x14ac:dyDescent="0.25">
      <c r="B6183" s="1">
        <v>44243</v>
      </c>
      <c r="C6183" s="2">
        <v>15313.45</v>
      </c>
      <c r="D6183" s="2">
        <v>15371.45</v>
      </c>
      <c r="E6183" s="2">
        <v>15431.75</v>
      </c>
      <c r="F6183" s="2">
        <v>15242.2</v>
      </c>
      <c r="G6183" s="3">
        <f t="shared" si="290"/>
        <v>-8.1620926299597052E-5</v>
      </c>
      <c r="H6183" s="2">
        <f t="shared" si="288"/>
        <v>189.54999999999927</v>
      </c>
      <c r="I6183" s="3">
        <f t="shared" si="289"/>
        <v>1.2331302512124703E-2</v>
      </c>
    </row>
    <row r="6184" spans="2:9" x14ac:dyDescent="0.25">
      <c r="B6184" s="1">
        <v>44244</v>
      </c>
      <c r="C6184" s="2">
        <v>15208.9</v>
      </c>
      <c r="D6184" s="2">
        <v>15279.9</v>
      </c>
      <c r="E6184" s="2">
        <v>15314.3</v>
      </c>
      <c r="F6184" s="2">
        <v>15170.75</v>
      </c>
      <c r="G6184" s="3">
        <f t="shared" si="290"/>
        <v>-6.8273315288195358E-3</v>
      </c>
      <c r="H6184" s="2">
        <f t="shared" si="288"/>
        <v>143.54999999999927</v>
      </c>
      <c r="I6184" s="3">
        <f t="shared" si="289"/>
        <v>9.3946949914593212E-3</v>
      </c>
    </row>
    <row r="6185" spans="2:9" x14ac:dyDescent="0.25">
      <c r="B6185" s="1">
        <v>44245</v>
      </c>
      <c r="C6185" s="2">
        <v>15118.95</v>
      </c>
      <c r="D6185" s="2">
        <v>15238.7</v>
      </c>
      <c r="E6185" s="2">
        <v>15250.75</v>
      </c>
      <c r="F6185" s="2">
        <v>15078.05</v>
      </c>
      <c r="G6185" s="3">
        <f t="shared" si="290"/>
        <v>-5.9143001795001204E-3</v>
      </c>
      <c r="H6185" s="2">
        <f t="shared" si="288"/>
        <v>172.70000000000073</v>
      </c>
      <c r="I6185" s="3">
        <f t="shared" si="289"/>
        <v>1.1332987722049829E-2</v>
      </c>
    </row>
    <row r="6186" spans="2:9" x14ac:dyDescent="0.25">
      <c r="B6186" s="1">
        <v>44246</v>
      </c>
      <c r="C6186" s="2">
        <v>14981.75</v>
      </c>
      <c r="D6186" s="2">
        <v>15074.8</v>
      </c>
      <c r="E6186" s="2">
        <v>15144.05</v>
      </c>
      <c r="F6186" s="2">
        <v>14898.2</v>
      </c>
      <c r="G6186" s="3">
        <f t="shared" si="290"/>
        <v>-9.0747042618700702E-3</v>
      </c>
      <c r="H6186" s="2">
        <f t="shared" si="288"/>
        <v>245.84999999999854</v>
      </c>
      <c r="I6186" s="3">
        <f t="shared" si="289"/>
        <v>1.6308674078594647E-2</v>
      </c>
    </row>
    <row r="6187" spans="2:9" x14ac:dyDescent="0.25">
      <c r="B6187" s="1">
        <v>44249</v>
      </c>
      <c r="C6187" s="2">
        <v>14675.7</v>
      </c>
      <c r="D6187" s="2">
        <v>14999.05</v>
      </c>
      <c r="E6187" s="2">
        <v>15010.1</v>
      </c>
      <c r="F6187" s="2">
        <v>14635.05</v>
      </c>
      <c r="G6187" s="3">
        <f t="shared" si="290"/>
        <v>-2.0428187628281025E-2</v>
      </c>
      <c r="H6187" s="2">
        <f t="shared" si="288"/>
        <v>375.05000000000109</v>
      </c>
      <c r="I6187" s="3">
        <f t="shared" si="289"/>
        <v>2.5004916978075352E-2</v>
      </c>
    </row>
    <row r="6188" spans="2:9" x14ac:dyDescent="0.25">
      <c r="B6188" s="1">
        <v>44250</v>
      </c>
      <c r="C6188" s="2">
        <v>14707.8</v>
      </c>
      <c r="D6188" s="2">
        <v>14782.25</v>
      </c>
      <c r="E6188" s="2">
        <v>14854.5</v>
      </c>
      <c r="F6188" s="2">
        <v>14651.85</v>
      </c>
      <c r="G6188" s="3">
        <f t="shared" si="290"/>
        <v>2.1872891923382376E-3</v>
      </c>
      <c r="H6188" s="2">
        <f t="shared" si="288"/>
        <v>202.64999999999964</v>
      </c>
      <c r="I6188" s="3">
        <f t="shared" si="289"/>
        <v>1.370900911566234E-2</v>
      </c>
    </row>
    <row r="6189" spans="2:9" x14ac:dyDescent="0.25">
      <c r="B6189" s="1">
        <v>44251</v>
      </c>
      <c r="C6189" s="2">
        <v>14982</v>
      </c>
      <c r="D6189" s="2">
        <v>14729.15</v>
      </c>
      <c r="E6189" s="2">
        <v>15008.8</v>
      </c>
      <c r="F6189" s="2">
        <v>14723.05</v>
      </c>
      <c r="G6189" s="3">
        <f t="shared" si="290"/>
        <v>1.8643168930771559E-2</v>
      </c>
      <c r="H6189" s="2">
        <f t="shared" si="288"/>
        <v>285.75</v>
      </c>
      <c r="I6189" s="3">
        <f t="shared" si="289"/>
        <v>1.9400304837685813E-2</v>
      </c>
    </row>
    <row r="6190" spans="2:9" x14ac:dyDescent="0.25">
      <c r="B6190" s="1">
        <v>44252</v>
      </c>
      <c r="C6190" s="2">
        <v>15097.35</v>
      </c>
      <c r="D6190" s="2">
        <v>15079.85</v>
      </c>
      <c r="E6190" s="2">
        <v>15176.5</v>
      </c>
      <c r="F6190" s="2">
        <v>15065.35</v>
      </c>
      <c r="G6190" s="3">
        <f t="shared" si="290"/>
        <v>7.699239086904397E-3</v>
      </c>
      <c r="H6190" s="2">
        <f t="shared" si="288"/>
        <v>111.14999999999964</v>
      </c>
      <c r="I6190" s="3">
        <f t="shared" si="289"/>
        <v>7.3707629717801992E-3</v>
      </c>
    </row>
    <row r="6191" spans="2:9" x14ac:dyDescent="0.25">
      <c r="B6191" s="1">
        <v>44253</v>
      </c>
      <c r="C6191" s="2">
        <v>14529.15</v>
      </c>
      <c r="D6191" s="2">
        <v>14888.6</v>
      </c>
      <c r="E6191" s="2">
        <v>14919.45</v>
      </c>
      <c r="F6191" s="2">
        <v>14467.75</v>
      </c>
      <c r="G6191" s="3">
        <f t="shared" si="290"/>
        <v>-3.7635744021301765E-2</v>
      </c>
      <c r="H6191" s="2">
        <f t="shared" si="288"/>
        <v>451.70000000000073</v>
      </c>
      <c r="I6191" s="3">
        <f t="shared" si="289"/>
        <v>3.0338648361833934E-2</v>
      </c>
    </row>
    <row r="6192" spans="2:9" x14ac:dyDescent="0.25">
      <c r="B6192" s="1">
        <v>44256</v>
      </c>
      <c r="C6192" s="2">
        <v>14761.55</v>
      </c>
      <c r="D6192" s="2">
        <v>14702.5</v>
      </c>
      <c r="E6192" s="2">
        <v>14806.8</v>
      </c>
      <c r="F6192" s="2">
        <v>14638.55</v>
      </c>
      <c r="G6192" s="3">
        <f t="shared" si="290"/>
        <v>1.5995429877177836E-2</v>
      </c>
      <c r="H6192" s="2">
        <f t="shared" si="288"/>
        <v>168.25</v>
      </c>
      <c r="I6192" s="3">
        <f t="shared" si="289"/>
        <v>1.1443632035368134E-2</v>
      </c>
    </row>
    <row r="6193" spans="2:9" x14ac:dyDescent="0.25">
      <c r="B6193" s="1">
        <v>44257</v>
      </c>
      <c r="C6193" s="2">
        <v>14919.1</v>
      </c>
      <c r="D6193" s="2">
        <v>14865.3</v>
      </c>
      <c r="E6193" s="2">
        <v>14959.1</v>
      </c>
      <c r="F6193" s="2">
        <v>14760.8</v>
      </c>
      <c r="G6193" s="3">
        <f t="shared" si="290"/>
        <v>1.0672998431736636E-2</v>
      </c>
      <c r="H6193" s="2">
        <f t="shared" si="288"/>
        <v>198.30000000000109</v>
      </c>
      <c r="I6193" s="3">
        <f t="shared" si="289"/>
        <v>1.3339791326108527E-2</v>
      </c>
    </row>
    <row r="6194" spans="2:9" x14ac:dyDescent="0.25">
      <c r="B6194" s="1">
        <v>44258</v>
      </c>
      <c r="C6194" s="2">
        <v>15245.6</v>
      </c>
      <c r="D6194" s="2">
        <v>15064.4</v>
      </c>
      <c r="E6194" s="2">
        <v>15273.15</v>
      </c>
      <c r="F6194" s="2">
        <v>14995.8</v>
      </c>
      <c r="G6194" s="3">
        <f t="shared" si="290"/>
        <v>2.188469813862759E-2</v>
      </c>
      <c r="H6194" s="2">
        <f t="shared" si="288"/>
        <v>277.35000000000036</v>
      </c>
      <c r="I6194" s="3">
        <f t="shared" si="289"/>
        <v>1.8410955630493109E-2</v>
      </c>
    </row>
    <row r="6195" spans="2:9" x14ac:dyDescent="0.25">
      <c r="B6195" s="1">
        <v>44259</v>
      </c>
      <c r="C6195" s="2">
        <v>15080.75</v>
      </c>
      <c r="D6195" s="2">
        <v>15026.75</v>
      </c>
      <c r="E6195" s="2">
        <v>15202.35</v>
      </c>
      <c r="F6195" s="2">
        <v>14980.2</v>
      </c>
      <c r="G6195" s="3">
        <f t="shared" si="290"/>
        <v>-1.0812955869234475E-2</v>
      </c>
      <c r="H6195" s="2">
        <f t="shared" si="288"/>
        <v>222.14999999999964</v>
      </c>
      <c r="I6195" s="3">
        <f t="shared" si="289"/>
        <v>1.4783635849401875E-2</v>
      </c>
    </row>
    <row r="6196" spans="2:9" x14ac:dyDescent="0.25">
      <c r="B6196" s="1">
        <v>44260</v>
      </c>
      <c r="C6196" s="2">
        <v>14938.1</v>
      </c>
      <c r="D6196" s="2">
        <v>14977.95</v>
      </c>
      <c r="E6196" s="2">
        <v>15092.35</v>
      </c>
      <c r="F6196" s="2">
        <v>14862.1</v>
      </c>
      <c r="G6196" s="3">
        <f t="shared" si="290"/>
        <v>-9.4590786267261251E-3</v>
      </c>
      <c r="H6196" s="2">
        <f t="shared" si="288"/>
        <v>230.25</v>
      </c>
      <c r="I6196" s="3">
        <f t="shared" si="289"/>
        <v>1.537259771864641E-2</v>
      </c>
    </row>
    <row r="6197" spans="2:9" x14ac:dyDescent="0.25">
      <c r="B6197" s="1">
        <v>44263</v>
      </c>
      <c r="C6197" s="2">
        <v>14956.2</v>
      </c>
      <c r="D6197" s="2">
        <v>15002.45</v>
      </c>
      <c r="E6197" s="2">
        <v>15111.15</v>
      </c>
      <c r="F6197" s="2">
        <v>14919.9</v>
      </c>
      <c r="G6197" s="3">
        <f t="shared" si="290"/>
        <v>1.2116668117096996E-3</v>
      </c>
      <c r="H6197" s="2">
        <f t="shared" si="288"/>
        <v>191.25</v>
      </c>
      <c r="I6197" s="3">
        <f t="shared" si="289"/>
        <v>1.2747917840086118E-2</v>
      </c>
    </row>
    <row r="6198" spans="2:9" x14ac:dyDescent="0.25">
      <c r="B6198" s="1">
        <v>44264</v>
      </c>
      <c r="C6198" s="2">
        <v>15098.4</v>
      </c>
      <c r="D6198" s="2">
        <v>15049.9</v>
      </c>
      <c r="E6198" s="2">
        <v>15126.85</v>
      </c>
      <c r="F6198" s="2">
        <v>14925.45</v>
      </c>
      <c r="G6198" s="3">
        <f t="shared" si="290"/>
        <v>9.5077626669874959E-3</v>
      </c>
      <c r="H6198" s="2">
        <f t="shared" si="288"/>
        <v>201.39999999999964</v>
      </c>
      <c r="I6198" s="3">
        <f t="shared" si="289"/>
        <v>1.3382148718596113E-2</v>
      </c>
    </row>
    <row r="6199" spans="2:9" x14ac:dyDescent="0.25">
      <c r="B6199" s="1">
        <v>44265</v>
      </c>
      <c r="C6199" s="2">
        <v>15174.8</v>
      </c>
      <c r="D6199" s="2">
        <v>15202.15</v>
      </c>
      <c r="E6199" s="2">
        <v>15218.45</v>
      </c>
      <c r="F6199" s="2">
        <v>15100.85</v>
      </c>
      <c r="G6199" s="3">
        <f t="shared" si="290"/>
        <v>5.0601388226567678E-3</v>
      </c>
      <c r="H6199" s="2">
        <f t="shared" si="288"/>
        <v>117.60000000000036</v>
      </c>
      <c r="I6199" s="3">
        <f t="shared" si="289"/>
        <v>7.7357479040793811E-3</v>
      </c>
    </row>
    <row r="6200" spans="2:9" x14ac:dyDescent="0.25">
      <c r="B6200" s="1">
        <v>44267</v>
      </c>
      <c r="C6200" s="2">
        <v>15030.95</v>
      </c>
      <c r="D6200" s="2">
        <v>15321.15</v>
      </c>
      <c r="E6200" s="2">
        <v>15336.3</v>
      </c>
      <c r="F6200" s="2">
        <v>14953.6</v>
      </c>
      <c r="G6200" s="3">
        <f t="shared" si="290"/>
        <v>-9.4795318554444785E-3</v>
      </c>
      <c r="H6200" s="2">
        <f t="shared" si="288"/>
        <v>382.69999999999891</v>
      </c>
      <c r="I6200" s="3">
        <f t="shared" si="289"/>
        <v>2.4978542733410932E-2</v>
      </c>
    </row>
    <row r="6201" spans="2:9" x14ac:dyDescent="0.25">
      <c r="B6201" s="1">
        <v>44270</v>
      </c>
      <c r="C6201" s="2">
        <v>14929.5</v>
      </c>
      <c r="D6201" s="2">
        <v>15048.4</v>
      </c>
      <c r="E6201" s="2">
        <v>15048.4</v>
      </c>
      <c r="F6201" s="2">
        <v>14745.85</v>
      </c>
      <c r="G6201" s="3">
        <f t="shared" si="290"/>
        <v>-6.7494070567729603E-3</v>
      </c>
      <c r="H6201" s="2">
        <f t="shared" si="288"/>
        <v>302.54999999999927</v>
      </c>
      <c r="I6201" s="3">
        <f t="shared" si="289"/>
        <v>2.0105127455410494E-2</v>
      </c>
    </row>
    <row r="6202" spans="2:9" x14ac:dyDescent="0.25">
      <c r="B6202" s="1">
        <v>44271</v>
      </c>
      <c r="C6202" s="2">
        <v>14910.45</v>
      </c>
      <c r="D6202" s="2">
        <v>14996.1</v>
      </c>
      <c r="E6202" s="2">
        <v>15051.6</v>
      </c>
      <c r="F6202" s="2">
        <v>14890.65</v>
      </c>
      <c r="G6202" s="3">
        <f t="shared" si="290"/>
        <v>-1.2759971867778441E-3</v>
      </c>
      <c r="H6202" s="2">
        <f t="shared" si="288"/>
        <v>160.95000000000073</v>
      </c>
      <c r="I6202" s="3">
        <f t="shared" si="289"/>
        <v>1.0732790525536688E-2</v>
      </c>
    </row>
    <row r="6203" spans="2:9" x14ac:dyDescent="0.25">
      <c r="B6203" s="1">
        <v>44272</v>
      </c>
      <c r="C6203" s="2">
        <v>14721.3</v>
      </c>
      <c r="D6203" s="2">
        <v>14946.55</v>
      </c>
      <c r="E6203" s="2">
        <v>14956.55</v>
      </c>
      <c r="F6203" s="2">
        <v>14696.05</v>
      </c>
      <c r="G6203" s="3">
        <f t="shared" si="290"/>
        <v>-1.2685733830971047E-2</v>
      </c>
      <c r="H6203" s="2">
        <f t="shared" si="288"/>
        <v>260.5</v>
      </c>
      <c r="I6203" s="3">
        <f t="shared" si="289"/>
        <v>1.7428771187999906E-2</v>
      </c>
    </row>
    <row r="6204" spans="2:9" x14ac:dyDescent="0.25">
      <c r="B6204" s="1">
        <v>44273</v>
      </c>
      <c r="C6204" s="2">
        <v>14557.85</v>
      </c>
      <c r="D6204" s="2">
        <v>14855.5</v>
      </c>
      <c r="E6204" s="2">
        <v>14875.2</v>
      </c>
      <c r="F6204" s="2">
        <v>14478.6</v>
      </c>
      <c r="G6204" s="3">
        <f t="shared" si="290"/>
        <v>-1.1102959657095401E-2</v>
      </c>
      <c r="H6204" s="2">
        <f t="shared" si="288"/>
        <v>396.60000000000036</v>
      </c>
      <c r="I6204" s="3">
        <f t="shared" si="289"/>
        <v>2.6697182861566447E-2</v>
      </c>
    </row>
    <row r="6205" spans="2:9" x14ac:dyDescent="0.25">
      <c r="B6205" s="1">
        <v>44274</v>
      </c>
      <c r="C6205" s="2">
        <v>14744</v>
      </c>
      <c r="D6205" s="2">
        <v>14471.15</v>
      </c>
      <c r="E6205" s="2">
        <v>14788.25</v>
      </c>
      <c r="F6205" s="2">
        <v>14350.1</v>
      </c>
      <c r="G6205" s="3">
        <f t="shared" si="290"/>
        <v>1.2786915650319308E-2</v>
      </c>
      <c r="H6205" s="2">
        <f t="shared" si="288"/>
        <v>438.14999999999964</v>
      </c>
      <c r="I6205" s="3">
        <f t="shared" si="289"/>
        <v>3.0277483130228051E-2</v>
      </c>
    </row>
    <row r="6206" spans="2:9" x14ac:dyDescent="0.25">
      <c r="B6206" s="1">
        <v>44277</v>
      </c>
      <c r="C6206" s="2">
        <v>14736.4</v>
      </c>
      <c r="D6206" s="2">
        <v>14736.3</v>
      </c>
      <c r="E6206" s="2">
        <v>14763.9</v>
      </c>
      <c r="F6206" s="2">
        <v>14597.85</v>
      </c>
      <c r="G6206" s="3">
        <f t="shared" si="290"/>
        <v>-5.1546391752577136E-4</v>
      </c>
      <c r="H6206" s="2">
        <f t="shared" si="288"/>
        <v>166.04999999999927</v>
      </c>
      <c r="I6206" s="3">
        <f t="shared" si="289"/>
        <v>1.1268093076280971E-2</v>
      </c>
    </row>
    <row r="6207" spans="2:9" x14ac:dyDescent="0.25">
      <c r="B6207" s="1">
        <v>44278</v>
      </c>
      <c r="C6207" s="2">
        <v>14814.75</v>
      </c>
      <c r="D6207" s="2">
        <v>14768.55</v>
      </c>
      <c r="E6207" s="2">
        <v>14878.6</v>
      </c>
      <c r="F6207" s="2">
        <v>14707</v>
      </c>
      <c r="G6207" s="3">
        <f t="shared" si="290"/>
        <v>5.3167666458564522E-3</v>
      </c>
      <c r="H6207" s="2">
        <f t="shared" si="288"/>
        <v>171.60000000000036</v>
      </c>
      <c r="I6207" s="3">
        <f t="shared" si="289"/>
        <v>1.1619285576444564E-2</v>
      </c>
    </row>
    <row r="6208" spans="2:9" x14ac:dyDescent="0.25">
      <c r="B6208" s="1">
        <v>44279</v>
      </c>
      <c r="C6208" s="2">
        <v>14549.4</v>
      </c>
      <c r="D6208" s="2">
        <v>14712.45</v>
      </c>
      <c r="E6208" s="2">
        <v>14752.35</v>
      </c>
      <c r="F6208" s="2">
        <v>14535</v>
      </c>
      <c r="G6208" s="3">
        <f t="shared" si="290"/>
        <v>-1.7911203361514749E-2</v>
      </c>
      <c r="H6208" s="2">
        <f t="shared" si="288"/>
        <v>217.35000000000036</v>
      </c>
      <c r="I6208" s="3">
        <f t="shared" si="289"/>
        <v>1.4773202287858266E-2</v>
      </c>
    </row>
    <row r="6209" spans="2:9" x14ac:dyDescent="0.25">
      <c r="B6209" s="1">
        <v>44280</v>
      </c>
      <c r="C6209" s="2">
        <v>14324.9</v>
      </c>
      <c r="D6209" s="2">
        <v>14570.9</v>
      </c>
      <c r="E6209" s="2">
        <v>14575.6</v>
      </c>
      <c r="F6209" s="2">
        <v>14264.4</v>
      </c>
      <c r="G6209" s="3">
        <f t="shared" si="290"/>
        <v>-1.5430189561081553E-2</v>
      </c>
      <c r="H6209" s="2">
        <f t="shared" si="288"/>
        <v>311.20000000000073</v>
      </c>
      <c r="I6209" s="3">
        <f t="shared" si="289"/>
        <v>2.1357637482928352E-2</v>
      </c>
    </row>
    <row r="6210" spans="2:9" x14ac:dyDescent="0.25">
      <c r="B6210" s="1">
        <v>44281</v>
      </c>
      <c r="C6210" s="2">
        <v>14507.3</v>
      </c>
      <c r="D6210" s="2">
        <v>14506.3</v>
      </c>
      <c r="E6210" s="2">
        <v>14572.9</v>
      </c>
      <c r="F6210" s="2">
        <v>14414.25</v>
      </c>
      <c r="G6210" s="3">
        <f t="shared" si="290"/>
        <v>1.2733073180266397E-2</v>
      </c>
      <c r="H6210" s="2">
        <f t="shared" si="288"/>
        <v>158.64999999999964</v>
      </c>
      <c r="I6210" s="3">
        <f t="shared" si="289"/>
        <v>1.0936627534243718E-2</v>
      </c>
    </row>
    <row r="6211" spans="2:9" x14ac:dyDescent="0.25">
      <c r="B6211" s="1">
        <v>44285</v>
      </c>
      <c r="C6211" s="2">
        <v>14845.1</v>
      </c>
      <c r="D6211" s="2">
        <v>14628.5</v>
      </c>
      <c r="E6211" s="2">
        <v>14876.3</v>
      </c>
      <c r="F6211" s="2">
        <v>14617.6</v>
      </c>
      <c r="G6211" s="3">
        <f t="shared" si="290"/>
        <v>2.3284829017115705E-2</v>
      </c>
      <c r="H6211" s="2">
        <f t="shared" si="288"/>
        <v>258.69999999999891</v>
      </c>
      <c r="I6211" s="3">
        <f t="shared" si="289"/>
        <v>1.7684656663362538E-2</v>
      </c>
    </row>
    <row r="6212" spans="2:9" x14ac:dyDescent="0.25">
      <c r="B6212" s="1">
        <v>44286</v>
      </c>
      <c r="C6212" s="2">
        <v>14690.7</v>
      </c>
      <c r="D6212" s="2">
        <v>14811.85</v>
      </c>
      <c r="E6212" s="2">
        <v>14813.75</v>
      </c>
      <c r="F6212" s="2">
        <v>14670.25</v>
      </c>
      <c r="G6212" s="3">
        <f t="shared" si="290"/>
        <v>-1.0400738290749056E-2</v>
      </c>
      <c r="H6212" s="2">
        <f t="shared" si="288"/>
        <v>143.5</v>
      </c>
      <c r="I6212" s="3">
        <f t="shared" si="289"/>
        <v>9.6881888487933641E-3</v>
      </c>
    </row>
    <row r="6213" spans="2:9" x14ac:dyDescent="0.25">
      <c r="B6213" s="1">
        <v>44287</v>
      </c>
      <c r="C6213" s="2">
        <v>14867.35</v>
      </c>
      <c r="D6213" s="2">
        <v>14798.4</v>
      </c>
      <c r="E6213" s="2">
        <v>14883.2</v>
      </c>
      <c r="F6213" s="2">
        <v>14692.45</v>
      </c>
      <c r="G6213" s="3">
        <f t="shared" si="290"/>
        <v>1.2024614211712192E-2</v>
      </c>
      <c r="H6213" s="2">
        <f t="shared" ref="H6213:H6276" si="291">E6213-F6213</f>
        <v>190.75</v>
      </c>
      <c r="I6213" s="3">
        <f t="shared" si="289"/>
        <v>1.2889907016974808E-2</v>
      </c>
    </row>
    <row r="6214" spans="2:9" x14ac:dyDescent="0.25">
      <c r="B6214" s="1">
        <v>44291</v>
      </c>
      <c r="C6214" s="2">
        <v>14637.8</v>
      </c>
      <c r="D6214" s="2">
        <v>14837.7</v>
      </c>
      <c r="E6214" s="2">
        <v>14849.85</v>
      </c>
      <c r="F6214" s="2">
        <v>14459.5</v>
      </c>
      <c r="G6214" s="3">
        <f t="shared" si="290"/>
        <v>-1.5439873279367244E-2</v>
      </c>
      <c r="H6214" s="2">
        <f t="shared" si="291"/>
        <v>390.35000000000036</v>
      </c>
      <c r="I6214" s="3">
        <f t="shared" ref="I6214:I6277" si="292">H6214/D6214</f>
        <v>2.6307985739029656E-2</v>
      </c>
    </row>
    <row r="6215" spans="2:9" x14ac:dyDescent="0.25">
      <c r="B6215" s="1">
        <v>44292</v>
      </c>
      <c r="C6215" s="2">
        <v>14683.5</v>
      </c>
      <c r="D6215" s="2">
        <v>14737</v>
      </c>
      <c r="E6215" s="2">
        <v>14779.1</v>
      </c>
      <c r="F6215" s="2">
        <v>14573.9</v>
      </c>
      <c r="G6215" s="3">
        <f t="shared" ref="G6215:G6278" si="293">C6215/C6214-1</f>
        <v>3.1220538605529757E-3</v>
      </c>
      <c r="H6215" s="2">
        <f t="shared" si="291"/>
        <v>205.20000000000073</v>
      </c>
      <c r="I6215" s="3">
        <f t="shared" si="292"/>
        <v>1.3924136527108687E-2</v>
      </c>
    </row>
    <row r="6216" spans="2:9" x14ac:dyDescent="0.25">
      <c r="B6216" s="1">
        <v>44293</v>
      </c>
      <c r="C6216" s="2">
        <v>14819.05</v>
      </c>
      <c r="D6216" s="2">
        <v>14716.45</v>
      </c>
      <c r="E6216" s="2">
        <v>14879.8</v>
      </c>
      <c r="F6216" s="2">
        <v>14649.85</v>
      </c>
      <c r="G6216" s="3">
        <f t="shared" si="293"/>
        <v>9.2314502673067622E-3</v>
      </c>
      <c r="H6216" s="2">
        <f t="shared" si="291"/>
        <v>229.94999999999891</v>
      </c>
      <c r="I6216" s="3">
        <f t="shared" si="292"/>
        <v>1.5625371607962443E-2</v>
      </c>
    </row>
    <row r="6217" spans="2:9" x14ac:dyDescent="0.25">
      <c r="B6217" s="1">
        <v>44294</v>
      </c>
      <c r="C6217" s="2">
        <v>14873.8</v>
      </c>
      <c r="D6217" s="2">
        <v>14875.65</v>
      </c>
      <c r="E6217" s="2">
        <v>14984.15</v>
      </c>
      <c r="F6217" s="2">
        <v>14821.1</v>
      </c>
      <c r="G6217" s="3">
        <f t="shared" si="293"/>
        <v>3.6945688151399647E-3</v>
      </c>
      <c r="H6217" s="2">
        <f t="shared" si="291"/>
        <v>163.04999999999927</v>
      </c>
      <c r="I6217" s="3">
        <f t="shared" si="292"/>
        <v>1.0960865575621858E-2</v>
      </c>
    </row>
    <row r="6218" spans="2:9" x14ac:dyDescent="0.25">
      <c r="B6218" s="1">
        <v>44295</v>
      </c>
      <c r="C6218" s="2">
        <v>14834.85</v>
      </c>
      <c r="D6218" s="2">
        <v>14882.65</v>
      </c>
      <c r="E6218" s="2">
        <v>14918.45</v>
      </c>
      <c r="F6218" s="2">
        <v>14785.65</v>
      </c>
      <c r="G6218" s="3">
        <f t="shared" si="293"/>
        <v>-2.6186986513196953E-3</v>
      </c>
      <c r="H6218" s="2">
        <f t="shared" si="291"/>
        <v>132.80000000000109</v>
      </c>
      <c r="I6218" s="3">
        <f t="shared" si="292"/>
        <v>8.9231420479552424E-3</v>
      </c>
    </row>
    <row r="6219" spans="2:9" x14ac:dyDescent="0.25">
      <c r="B6219" s="1">
        <v>44298</v>
      </c>
      <c r="C6219" s="2">
        <v>14310.8</v>
      </c>
      <c r="D6219" s="2">
        <v>14644.65</v>
      </c>
      <c r="E6219" s="2">
        <v>14652.5</v>
      </c>
      <c r="F6219" s="2">
        <v>14248.7</v>
      </c>
      <c r="G6219" s="3">
        <f t="shared" si="293"/>
        <v>-3.5325601539617946E-2</v>
      </c>
      <c r="H6219" s="2">
        <f t="shared" si="291"/>
        <v>403.79999999999927</v>
      </c>
      <c r="I6219" s="3">
        <f t="shared" si="292"/>
        <v>2.7573209329004058E-2</v>
      </c>
    </row>
    <row r="6220" spans="2:9" x14ac:dyDescent="0.25">
      <c r="B6220" s="1">
        <v>44299</v>
      </c>
      <c r="C6220" s="2">
        <v>14504.8</v>
      </c>
      <c r="D6220" s="2">
        <v>14364.9</v>
      </c>
      <c r="E6220" s="2">
        <v>14528.9</v>
      </c>
      <c r="F6220" s="2">
        <v>14274.9</v>
      </c>
      <c r="G6220" s="3">
        <f t="shared" si="293"/>
        <v>1.3556195321016373E-2</v>
      </c>
      <c r="H6220" s="2">
        <f t="shared" si="291"/>
        <v>254</v>
      </c>
      <c r="I6220" s="3">
        <f t="shared" si="292"/>
        <v>1.7681988736433948E-2</v>
      </c>
    </row>
    <row r="6221" spans="2:9" x14ac:dyDescent="0.25">
      <c r="B6221" s="1">
        <v>44301</v>
      </c>
      <c r="C6221" s="2">
        <v>14581.45</v>
      </c>
      <c r="D6221" s="2">
        <v>14522.4</v>
      </c>
      <c r="E6221" s="2">
        <v>14597.55</v>
      </c>
      <c r="F6221" s="2">
        <v>14353.2</v>
      </c>
      <c r="G6221" s="3">
        <f t="shared" si="293"/>
        <v>5.2844575588770759E-3</v>
      </c>
      <c r="H6221" s="2">
        <f t="shared" si="291"/>
        <v>244.34999999999854</v>
      </c>
      <c r="I6221" s="3">
        <f t="shared" si="292"/>
        <v>1.6825731284085176E-2</v>
      </c>
    </row>
    <row r="6222" spans="2:9" x14ac:dyDescent="0.25">
      <c r="B6222" s="1">
        <v>44302</v>
      </c>
      <c r="C6222" s="2">
        <v>14617.85</v>
      </c>
      <c r="D6222" s="2">
        <v>14599.6</v>
      </c>
      <c r="E6222" s="2">
        <v>14697.7</v>
      </c>
      <c r="F6222" s="2">
        <v>14559</v>
      </c>
      <c r="G6222" s="3">
        <f t="shared" si="293"/>
        <v>2.4963223822047631E-3</v>
      </c>
      <c r="H6222" s="2">
        <f t="shared" si="291"/>
        <v>138.70000000000073</v>
      </c>
      <c r="I6222" s="3">
        <f t="shared" si="292"/>
        <v>9.5002602811036421E-3</v>
      </c>
    </row>
    <row r="6223" spans="2:9" x14ac:dyDescent="0.25">
      <c r="B6223" s="1">
        <v>44305</v>
      </c>
      <c r="C6223" s="2">
        <v>14359.45</v>
      </c>
      <c r="D6223" s="2">
        <v>14306.6</v>
      </c>
      <c r="E6223" s="2">
        <v>14382.3</v>
      </c>
      <c r="F6223" s="2">
        <v>14191.4</v>
      </c>
      <c r="G6223" s="3">
        <f t="shared" si="293"/>
        <v>-1.7677018166146197E-2</v>
      </c>
      <c r="H6223" s="2">
        <f t="shared" si="291"/>
        <v>190.89999999999964</v>
      </c>
      <c r="I6223" s="3">
        <f t="shared" si="292"/>
        <v>1.3343491814966493E-2</v>
      </c>
    </row>
    <row r="6224" spans="2:9" x14ac:dyDescent="0.25">
      <c r="B6224" s="1">
        <v>44306</v>
      </c>
      <c r="C6224" s="2">
        <v>14296.4</v>
      </c>
      <c r="D6224" s="2">
        <v>14526.7</v>
      </c>
      <c r="E6224" s="2">
        <v>14526.95</v>
      </c>
      <c r="F6224" s="2">
        <v>14207.3</v>
      </c>
      <c r="G6224" s="3">
        <f t="shared" si="293"/>
        <v>-4.3908366963916201E-3</v>
      </c>
      <c r="H6224" s="2">
        <f t="shared" si="291"/>
        <v>319.65000000000146</v>
      </c>
      <c r="I6224" s="3">
        <f t="shared" si="292"/>
        <v>2.2004309306311923E-2</v>
      </c>
    </row>
    <row r="6225" spans="2:9" x14ac:dyDescent="0.25">
      <c r="B6225" s="1">
        <v>44308</v>
      </c>
      <c r="C6225" s="2">
        <v>14406.15</v>
      </c>
      <c r="D6225" s="2">
        <v>14219.15</v>
      </c>
      <c r="E6225" s="2">
        <v>14424.75</v>
      </c>
      <c r="F6225" s="2">
        <v>14151.4</v>
      </c>
      <c r="G6225" s="3">
        <f t="shared" si="293"/>
        <v>7.6767577851766244E-3</v>
      </c>
      <c r="H6225" s="2">
        <f t="shared" si="291"/>
        <v>273.35000000000036</v>
      </c>
      <c r="I6225" s="3">
        <f t="shared" si="292"/>
        <v>1.9224074575484498E-2</v>
      </c>
    </row>
    <row r="6226" spans="2:9" x14ac:dyDescent="0.25">
      <c r="B6226" s="1">
        <v>44309</v>
      </c>
      <c r="C6226" s="2">
        <v>14341.35</v>
      </c>
      <c r="D6226" s="2">
        <v>14326.35</v>
      </c>
      <c r="E6226" s="2">
        <v>14461.15</v>
      </c>
      <c r="F6226" s="2">
        <v>14273.3</v>
      </c>
      <c r="G6226" s="3">
        <f t="shared" si="293"/>
        <v>-4.4980789454502901E-3</v>
      </c>
      <c r="H6226" s="2">
        <f t="shared" si="291"/>
        <v>187.85000000000036</v>
      </c>
      <c r="I6226" s="3">
        <f t="shared" si="292"/>
        <v>1.3112202340442636E-2</v>
      </c>
    </row>
    <row r="6227" spans="2:9" x14ac:dyDescent="0.25">
      <c r="B6227" s="1">
        <v>44312</v>
      </c>
      <c r="C6227" s="2">
        <v>14485</v>
      </c>
      <c r="D6227" s="2">
        <v>14449.45</v>
      </c>
      <c r="E6227" s="2">
        <v>14557.5</v>
      </c>
      <c r="F6227" s="2">
        <v>14421.3</v>
      </c>
      <c r="G6227" s="3">
        <f t="shared" si="293"/>
        <v>1.0016490776670217E-2</v>
      </c>
      <c r="H6227" s="2">
        <f t="shared" si="291"/>
        <v>136.20000000000073</v>
      </c>
      <c r="I6227" s="3">
        <f t="shared" si="292"/>
        <v>9.4259643100602936E-3</v>
      </c>
    </row>
    <row r="6228" spans="2:9" x14ac:dyDescent="0.25">
      <c r="B6228" s="1">
        <v>44313</v>
      </c>
      <c r="C6228" s="2">
        <v>14653.05</v>
      </c>
      <c r="D6228" s="2">
        <v>14493.8</v>
      </c>
      <c r="E6228" s="2">
        <v>14667.55</v>
      </c>
      <c r="F6228" s="2">
        <v>14484.85</v>
      </c>
      <c r="G6228" s="3">
        <f t="shared" si="293"/>
        <v>1.1601656886434109E-2</v>
      </c>
      <c r="H6228" s="2">
        <f t="shared" si="291"/>
        <v>182.69999999999891</v>
      </c>
      <c r="I6228" s="3">
        <f t="shared" si="292"/>
        <v>1.2605389890849805E-2</v>
      </c>
    </row>
    <row r="6229" spans="2:9" x14ac:dyDescent="0.25">
      <c r="B6229" s="1">
        <v>44314</v>
      </c>
      <c r="C6229" s="2">
        <v>14864.55</v>
      </c>
      <c r="D6229" s="2">
        <v>14710.5</v>
      </c>
      <c r="E6229" s="2">
        <v>14890.25</v>
      </c>
      <c r="F6229" s="2">
        <v>14694.95</v>
      </c>
      <c r="G6229" s="3">
        <f t="shared" si="293"/>
        <v>1.4433855067716328E-2</v>
      </c>
      <c r="H6229" s="2">
        <f t="shared" si="291"/>
        <v>195.29999999999927</v>
      </c>
      <c r="I6229" s="3">
        <f t="shared" si="292"/>
        <v>1.3276231263383249E-2</v>
      </c>
    </row>
    <row r="6230" spans="2:9" x14ac:dyDescent="0.25">
      <c r="B6230" s="1">
        <v>44315</v>
      </c>
      <c r="C6230" s="2">
        <v>14894.9</v>
      </c>
      <c r="D6230" s="2">
        <v>14979</v>
      </c>
      <c r="E6230" s="2">
        <v>15044.35</v>
      </c>
      <c r="F6230" s="2">
        <v>14814.45</v>
      </c>
      <c r="G6230" s="3">
        <f t="shared" si="293"/>
        <v>2.0417705211392967E-3</v>
      </c>
      <c r="H6230" s="2">
        <f t="shared" si="291"/>
        <v>229.89999999999964</v>
      </c>
      <c r="I6230" s="3">
        <f t="shared" si="292"/>
        <v>1.5348154082381977E-2</v>
      </c>
    </row>
    <row r="6231" spans="2:9" x14ac:dyDescent="0.25">
      <c r="B6231" s="1">
        <v>44316</v>
      </c>
      <c r="C6231" s="2">
        <v>14631.1</v>
      </c>
      <c r="D6231" s="2">
        <v>14747.35</v>
      </c>
      <c r="E6231" s="2">
        <v>14855.45</v>
      </c>
      <c r="F6231" s="2">
        <v>14601.7</v>
      </c>
      <c r="G6231" s="3">
        <f t="shared" si="293"/>
        <v>-1.7710760058812003E-2</v>
      </c>
      <c r="H6231" s="2">
        <f t="shared" si="291"/>
        <v>253.75</v>
      </c>
      <c r="I6231" s="3">
        <f t="shared" si="292"/>
        <v>1.720648116441259E-2</v>
      </c>
    </row>
    <row r="6232" spans="2:9" x14ac:dyDescent="0.25">
      <c r="B6232" s="1">
        <v>44319</v>
      </c>
      <c r="C6232" s="2">
        <v>14634.15</v>
      </c>
      <c r="D6232" s="2">
        <v>14481.05</v>
      </c>
      <c r="E6232" s="2">
        <v>14673.85</v>
      </c>
      <c r="F6232" s="2">
        <v>14416.25</v>
      </c>
      <c r="G6232" s="3">
        <f t="shared" si="293"/>
        <v>2.0846006110275539E-4</v>
      </c>
      <c r="H6232" s="2">
        <f t="shared" si="291"/>
        <v>257.60000000000036</v>
      </c>
      <c r="I6232" s="3">
        <f t="shared" si="292"/>
        <v>1.7788765317432117E-2</v>
      </c>
    </row>
    <row r="6233" spans="2:9" x14ac:dyDescent="0.25">
      <c r="B6233" s="1">
        <v>44320</v>
      </c>
      <c r="C6233" s="2">
        <v>14496.5</v>
      </c>
      <c r="D6233" s="2">
        <v>14687.25</v>
      </c>
      <c r="E6233" s="2">
        <v>14723.4</v>
      </c>
      <c r="F6233" s="2">
        <v>14461.5</v>
      </c>
      <c r="G6233" s="3">
        <f t="shared" si="293"/>
        <v>-9.4060809818130586E-3</v>
      </c>
      <c r="H6233" s="2">
        <f t="shared" si="291"/>
        <v>261.89999999999964</v>
      </c>
      <c r="I6233" s="3">
        <f t="shared" si="292"/>
        <v>1.7831792881580939E-2</v>
      </c>
    </row>
    <row r="6234" spans="2:9" x14ac:dyDescent="0.25">
      <c r="B6234" s="1">
        <v>44321</v>
      </c>
      <c r="C6234" s="2">
        <v>14617.85</v>
      </c>
      <c r="D6234" s="2">
        <v>14604.15</v>
      </c>
      <c r="E6234" s="2">
        <v>14637.9</v>
      </c>
      <c r="F6234" s="2">
        <v>14506.6</v>
      </c>
      <c r="G6234" s="3">
        <f t="shared" si="293"/>
        <v>8.3709861000931252E-3</v>
      </c>
      <c r="H6234" s="2">
        <f t="shared" si="291"/>
        <v>131.29999999999927</v>
      </c>
      <c r="I6234" s="3">
        <f t="shared" si="292"/>
        <v>8.9905951390528913E-3</v>
      </c>
    </row>
    <row r="6235" spans="2:9" x14ac:dyDescent="0.25">
      <c r="B6235" s="1">
        <v>44322</v>
      </c>
      <c r="C6235" s="2">
        <v>14724.8</v>
      </c>
      <c r="D6235" s="2">
        <v>14668.35</v>
      </c>
      <c r="E6235" s="2">
        <v>14743.9</v>
      </c>
      <c r="F6235" s="2">
        <v>14611.5</v>
      </c>
      <c r="G6235" s="3">
        <f t="shared" si="293"/>
        <v>7.3163974182248737E-3</v>
      </c>
      <c r="H6235" s="2">
        <f t="shared" si="291"/>
        <v>132.39999999999964</v>
      </c>
      <c r="I6235" s="3">
        <f t="shared" si="292"/>
        <v>9.0262367614625805E-3</v>
      </c>
    </row>
    <row r="6236" spans="2:9" x14ac:dyDescent="0.25">
      <c r="B6236" s="1">
        <v>44323</v>
      </c>
      <c r="C6236" s="2">
        <v>14823.15</v>
      </c>
      <c r="D6236" s="2">
        <v>14816.85</v>
      </c>
      <c r="E6236" s="2">
        <v>14863.05</v>
      </c>
      <c r="F6236" s="2">
        <v>14765.5</v>
      </c>
      <c r="G6236" s="3">
        <f t="shared" si="293"/>
        <v>6.6792078669999366E-3</v>
      </c>
      <c r="H6236" s="2">
        <f t="shared" si="291"/>
        <v>97.549999999999272</v>
      </c>
      <c r="I6236" s="3">
        <f t="shared" si="292"/>
        <v>6.5837205613878298E-3</v>
      </c>
    </row>
    <row r="6237" spans="2:9" x14ac:dyDescent="0.25">
      <c r="B6237" s="1">
        <v>44326</v>
      </c>
      <c r="C6237" s="2">
        <v>14942.35</v>
      </c>
      <c r="D6237" s="2">
        <v>14928.25</v>
      </c>
      <c r="E6237" s="2">
        <v>14966.9</v>
      </c>
      <c r="F6237" s="2">
        <v>14892.5</v>
      </c>
      <c r="G6237" s="3">
        <f t="shared" si="293"/>
        <v>8.0414756647542163E-3</v>
      </c>
      <c r="H6237" s="2">
        <f t="shared" si="291"/>
        <v>74.399999999999636</v>
      </c>
      <c r="I6237" s="3">
        <f t="shared" si="292"/>
        <v>4.9838393649623792E-3</v>
      </c>
    </row>
    <row r="6238" spans="2:9" x14ac:dyDescent="0.25">
      <c r="B6238" s="1">
        <v>44327</v>
      </c>
      <c r="C6238" s="2">
        <v>14850.75</v>
      </c>
      <c r="D6238" s="2">
        <v>14789.7</v>
      </c>
      <c r="E6238" s="2">
        <v>14900</v>
      </c>
      <c r="F6238" s="2">
        <v>14771.4</v>
      </c>
      <c r="G6238" s="3">
        <f t="shared" si="293"/>
        <v>-6.1302271731019653E-3</v>
      </c>
      <c r="H6238" s="2">
        <f t="shared" si="291"/>
        <v>128.60000000000036</v>
      </c>
      <c r="I6238" s="3">
        <f t="shared" si="292"/>
        <v>8.6952406066384286E-3</v>
      </c>
    </row>
    <row r="6239" spans="2:9" x14ac:dyDescent="0.25">
      <c r="B6239" s="1">
        <v>44328</v>
      </c>
      <c r="C6239" s="2">
        <v>14696.5</v>
      </c>
      <c r="D6239" s="2">
        <v>14823.55</v>
      </c>
      <c r="E6239" s="2">
        <v>14824.05</v>
      </c>
      <c r="F6239" s="2">
        <v>14649.7</v>
      </c>
      <c r="G6239" s="3">
        <f t="shared" si="293"/>
        <v>-1.0386680807366599E-2</v>
      </c>
      <c r="H6239" s="2">
        <f t="shared" si="291"/>
        <v>174.34999999999854</v>
      </c>
      <c r="I6239" s="3">
        <f t="shared" si="292"/>
        <v>1.1761690013525677E-2</v>
      </c>
    </row>
    <row r="6240" spans="2:9" x14ac:dyDescent="0.25">
      <c r="B6240" s="1">
        <v>44330</v>
      </c>
      <c r="C6240" s="2">
        <v>14677.8</v>
      </c>
      <c r="D6240" s="2">
        <v>14749.4</v>
      </c>
      <c r="E6240" s="2">
        <v>14749.65</v>
      </c>
      <c r="F6240" s="2">
        <v>14591.9</v>
      </c>
      <c r="G6240" s="3">
        <f t="shared" si="293"/>
        <v>-1.2724117987276129E-3</v>
      </c>
      <c r="H6240" s="2">
        <f t="shared" si="291"/>
        <v>157.75</v>
      </c>
      <c r="I6240" s="3">
        <f t="shared" si="292"/>
        <v>1.0695350319335025E-2</v>
      </c>
    </row>
    <row r="6241" spans="2:9" x14ac:dyDescent="0.25">
      <c r="B6241" s="1">
        <v>44333</v>
      </c>
      <c r="C6241" s="2">
        <v>14923.15</v>
      </c>
      <c r="D6241" s="2">
        <v>14756.25</v>
      </c>
      <c r="E6241" s="2">
        <v>14938</v>
      </c>
      <c r="F6241" s="2">
        <v>14725.35</v>
      </c>
      <c r="G6241" s="3">
        <f t="shared" si="293"/>
        <v>1.671572033956048E-2</v>
      </c>
      <c r="H6241" s="2">
        <f t="shared" si="291"/>
        <v>212.64999999999964</v>
      </c>
      <c r="I6241" s="3">
        <f t="shared" si="292"/>
        <v>1.4410842863193538E-2</v>
      </c>
    </row>
    <row r="6242" spans="2:9" x14ac:dyDescent="0.25">
      <c r="B6242" s="1">
        <v>44334</v>
      </c>
      <c r="C6242" s="2">
        <v>15108.1</v>
      </c>
      <c r="D6242" s="2">
        <v>15067.2</v>
      </c>
      <c r="E6242" s="2">
        <v>15137.25</v>
      </c>
      <c r="F6242" s="2">
        <v>15043.7</v>
      </c>
      <c r="G6242" s="3">
        <f t="shared" si="293"/>
        <v>1.2393496011230853E-2</v>
      </c>
      <c r="H6242" s="2">
        <f t="shared" si="291"/>
        <v>93.549999999999272</v>
      </c>
      <c r="I6242" s="3">
        <f t="shared" si="292"/>
        <v>6.2088510141233453E-3</v>
      </c>
    </row>
    <row r="6243" spans="2:9" x14ac:dyDescent="0.25">
      <c r="B6243" s="1">
        <v>44335</v>
      </c>
      <c r="C6243" s="2">
        <v>15030.15</v>
      </c>
      <c r="D6243" s="2">
        <v>15058.6</v>
      </c>
      <c r="E6243" s="2">
        <v>15133.4</v>
      </c>
      <c r="F6243" s="2">
        <v>15008.85</v>
      </c>
      <c r="G6243" s="3">
        <f t="shared" si="293"/>
        <v>-5.1594839854118835E-3</v>
      </c>
      <c r="H6243" s="2">
        <f t="shared" si="291"/>
        <v>124.54999999999927</v>
      </c>
      <c r="I6243" s="3">
        <f t="shared" si="292"/>
        <v>8.271021210471045E-3</v>
      </c>
    </row>
    <row r="6244" spans="2:9" x14ac:dyDescent="0.25">
      <c r="B6244" s="1">
        <v>44336</v>
      </c>
      <c r="C6244" s="2">
        <v>14906.05</v>
      </c>
      <c r="D6244" s="2">
        <v>15042.6</v>
      </c>
      <c r="E6244" s="2">
        <v>15069.8</v>
      </c>
      <c r="F6244" s="2">
        <v>14884.9</v>
      </c>
      <c r="G6244" s="3">
        <f t="shared" si="293"/>
        <v>-8.2567372913776582E-3</v>
      </c>
      <c r="H6244" s="2">
        <f t="shared" si="291"/>
        <v>184.89999999999964</v>
      </c>
      <c r="I6244" s="3">
        <f t="shared" si="292"/>
        <v>1.2291758073737228E-2</v>
      </c>
    </row>
    <row r="6245" spans="2:9" x14ac:dyDescent="0.25">
      <c r="B6245" s="1">
        <v>44337</v>
      </c>
      <c r="C6245" s="2">
        <v>15175.3</v>
      </c>
      <c r="D6245" s="2">
        <v>14987.8</v>
      </c>
      <c r="E6245" s="2">
        <v>15190</v>
      </c>
      <c r="F6245" s="2">
        <v>14985.85</v>
      </c>
      <c r="G6245" s="3">
        <f t="shared" si="293"/>
        <v>1.8063135438295186E-2</v>
      </c>
      <c r="H6245" s="2">
        <f t="shared" si="291"/>
        <v>204.14999999999964</v>
      </c>
      <c r="I6245" s="3">
        <f t="shared" si="292"/>
        <v>1.3621078477161401E-2</v>
      </c>
    </row>
    <row r="6246" spans="2:9" x14ac:dyDescent="0.25">
      <c r="B6246" s="1">
        <v>44340</v>
      </c>
      <c r="C6246" s="2">
        <v>15197.7</v>
      </c>
      <c r="D6246" s="2">
        <v>15211.35</v>
      </c>
      <c r="E6246" s="2">
        <v>15256.25</v>
      </c>
      <c r="F6246" s="2">
        <v>15145.45</v>
      </c>
      <c r="G6246" s="3">
        <f t="shared" si="293"/>
        <v>1.4760828451498842E-3</v>
      </c>
      <c r="H6246" s="2">
        <f t="shared" si="291"/>
        <v>110.79999999999927</v>
      </c>
      <c r="I6246" s="3">
        <f t="shared" si="292"/>
        <v>7.2840346188865071E-3</v>
      </c>
    </row>
    <row r="6247" spans="2:9" x14ac:dyDescent="0.25">
      <c r="B6247" s="1">
        <v>44341</v>
      </c>
      <c r="C6247" s="2">
        <v>15208.45</v>
      </c>
      <c r="D6247" s="2">
        <v>15291.75</v>
      </c>
      <c r="E6247" s="2">
        <v>15293.85</v>
      </c>
      <c r="F6247" s="2">
        <v>15163.4</v>
      </c>
      <c r="G6247" s="3">
        <f t="shared" si="293"/>
        <v>7.0734387440207769E-4</v>
      </c>
      <c r="H6247" s="2">
        <f t="shared" si="291"/>
        <v>130.45000000000073</v>
      </c>
      <c r="I6247" s="3">
        <f t="shared" si="292"/>
        <v>8.5307437016692491E-3</v>
      </c>
    </row>
    <row r="6248" spans="2:9" x14ac:dyDescent="0.25">
      <c r="B6248" s="1">
        <v>44342</v>
      </c>
      <c r="C6248" s="2">
        <v>15301.45</v>
      </c>
      <c r="D6248" s="2">
        <v>15257.05</v>
      </c>
      <c r="E6248" s="2">
        <v>15319.9</v>
      </c>
      <c r="F6248" s="2">
        <v>15194.95</v>
      </c>
      <c r="G6248" s="3">
        <f t="shared" si="293"/>
        <v>6.115021583396052E-3</v>
      </c>
      <c r="H6248" s="2">
        <f t="shared" si="291"/>
        <v>124.94999999999891</v>
      </c>
      <c r="I6248" s="3">
        <f t="shared" si="292"/>
        <v>8.1896565849885073E-3</v>
      </c>
    </row>
    <row r="6249" spans="2:9" x14ac:dyDescent="0.25">
      <c r="B6249" s="1">
        <v>44343</v>
      </c>
      <c r="C6249" s="2">
        <v>15337.85</v>
      </c>
      <c r="D6249" s="2">
        <v>15323.95</v>
      </c>
      <c r="E6249" s="2">
        <v>15384.55</v>
      </c>
      <c r="F6249" s="2">
        <v>15272.5</v>
      </c>
      <c r="G6249" s="3">
        <f t="shared" si="293"/>
        <v>2.3788595198495077E-3</v>
      </c>
      <c r="H6249" s="2">
        <f t="shared" si="291"/>
        <v>112.04999999999927</v>
      </c>
      <c r="I6249" s="3">
        <f t="shared" si="292"/>
        <v>7.3120833727595867E-3</v>
      </c>
    </row>
    <row r="6250" spans="2:9" x14ac:dyDescent="0.25">
      <c r="B6250" s="1">
        <v>44344</v>
      </c>
      <c r="C6250" s="2">
        <v>15435.65</v>
      </c>
      <c r="D6250" s="2">
        <v>15421.2</v>
      </c>
      <c r="E6250" s="2">
        <v>15469.65</v>
      </c>
      <c r="F6250" s="2">
        <v>15394.75</v>
      </c>
      <c r="G6250" s="3">
        <f t="shared" si="293"/>
        <v>6.3763826090357245E-3</v>
      </c>
      <c r="H6250" s="2">
        <f t="shared" si="291"/>
        <v>74.899999999999636</v>
      </c>
      <c r="I6250" s="3">
        <f t="shared" si="292"/>
        <v>4.8569501724897955E-3</v>
      </c>
    </row>
    <row r="6251" spans="2:9" x14ac:dyDescent="0.25">
      <c r="B6251" s="1">
        <v>44347</v>
      </c>
      <c r="C6251" s="2">
        <v>15582.8</v>
      </c>
      <c r="D6251" s="2">
        <v>15437.75</v>
      </c>
      <c r="E6251" s="2">
        <v>15606.35</v>
      </c>
      <c r="F6251" s="2">
        <v>15374</v>
      </c>
      <c r="G6251" s="3">
        <f t="shared" si="293"/>
        <v>9.5331262369904302E-3</v>
      </c>
      <c r="H6251" s="2">
        <f t="shared" si="291"/>
        <v>232.35000000000036</v>
      </c>
      <c r="I6251" s="3">
        <f t="shared" si="292"/>
        <v>1.5050768408608792E-2</v>
      </c>
    </row>
    <row r="6252" spans="2:9" x14ac:dyDescent="0.25">
      <c r="B6252" s="1">
        <v>44348</v>
      </c>
      <c r="C6252" s="2">
        <v>15574.85</v>
      </c>
      <c r="D6252" s="2">
        <v>15629.65</v>
      </c>
      <c r="E6252" s="2">
        <v>15660.75</v>
      </c>
      <c r="F6252" s="2">
        <v>15528.3</v>
      </c>
      <c r="G6252" s="3">
        <f t="shared" si="293"/>
        <v>-5.1017788844098799E-4</v>
      </c>
      <c r="H6252" s="2">
        <f t="shared" si="291"/>
        <v>132.45000000000073</v>
      </c>
      <c r="I6252" s="3">
        <f t="shared" si="292"/>
        <v>8.4742780548509224E-3</v>
      </c>
    </row>
    <row r="6253" spans="2:9" x14ac:dyDescent="0.25">
      <c r="B6253" s="1">
        <v>44349</v>
      </c>
      <c r="C6253" s="2">
        <v>15576.2</v>
      </c>
      <c r="D6253" s="2">
        <v>15520.35</v>
      </c>
      <c r="E6253" s="2">
        <v>15597.45</v>
      </c>
      <c r="F6253" s="2">
        <v>15459.85</v>
      </c>
      <c r="G6253" s="3">
        <f t="shared" si="293"/>
        <v>8.667820235830348E-5</v>
      </c>
      <c r="H6253" s="2">
        <f t="shared" si="291"/>
        <v>137.60000000000036</v>
      </c>
      <c r="I6253" s="3">
        <f t="shared" si="292"/>
        <v>8.8657794444068818E-3</v>
      </c>
    </row>
    <row r="6254" spans="2:9" x14ac:dyDescent="0.25">
      <c r="B6254" s="1">
        <v>44350</v>
      </c>
      <c r="C6254" s="2">
        <v>15690.35</v>
      </c>
      <c r="D6254" s="2">
        <v>15655.55</v>
      </c>
      <c r="E6254" s="2">
        <v>15705.1</v>
      </c>
      <c r="F6254" s="2">
        <v>15611</v>
      </c>
      <c r="G6254" s="3">
        <f t="shared" si="293"/>
        <v>7.3284883347670693E-3</v>
      </c>
      <c r="H6254" s="2">
        <f t="shared" si="291"/>
        <v>94.100000000000364</v>
      </c>
      <c r="I6254" s="3">
        <f t="shared" si="292"/>
        <v>6.0106479810674409E-3</v>
      </c>
    </row>
    <row r="6255" spans="2:9" x14ac:dyDescent="0.25">
      <c r="B6255" s="1">
        <v>44351</v>
      </c>
      <c r="C6255" s="2">
        <v>15670.25</v>
      </c>
      <c r="D6255" s="2">
        <v>15712.5</v>
      </c>
      <c r="E6255" s="2">
        <v>15733.6</v>
      </c>
      <c r="F6255" s="2">
        <v>15622.35</v>
      </c>
      <c r="G6255" s="3">
        <f t="shared" si="293"/>
        <v>-1.2810421692314167E-3</v>
      </c>
      <c r="H6255" s="2">
        <f t="shared" si="291"/>
        <v>111.25</v>
      </c>
      <c r="I6255" s="3">
        <f t="shared" si="292"/>
        <v>7.0803500397772475E-3</v>
      </c>
    </row>
    <row r="6256" spans="2:9" x14ac:dyDescent="0.25">
      <c r="B6256" s="1">
        <v>44354</v>
      </c>
      <c r="C6256" s="2">
        <v>15751.65</v>
      </c>
      <c r="D6256" s="2">
        <v>15725.1</v>
      </c>
      <c r="E6256" s="2">
        <v>15773.45</v>
      </c>
      <c r="F6256" s="2">
        <v>15678.1</v>
      </c>
      <c r="G6256" s="3">
        <f t="shared" si="293"/>
        <v>5.1945565641899893E-3</v>
      </c>
      <c r="H6256" s="2">
        <f t="shared" si="291"/>
        <v>95.350000000000364</v>
      </c>
      <c r="I6256" s="3">
        <f t="shared" si="292"/>
        <v>6.0635544448048254E-3</v>
      </c>
    </row>
    <row r="6257" spans="2:9" x14ac:dyDescent="0.25">
      <c r="B6257" s="1">
        <v>44355</v>
      </c>
      <c r="C6257" s="2">
        <v>15740.1</v>
      </c>
      <c r="D6257" s="2">
        <v>15773.9</v>
      </c>
      <c r="E6257" s="2">
        <v>15778.8</v>
      </c>
      <c r="F6257" s="2">
        <v>15680</v>
      </c>
      <c r="G6257" s="3">
        <f t="shared" si="293"/>
        <v>-7.3325651598399322E-4</v>
      </c>
      <c r="H6257" s="2">
        <f t="shared" si="291"/>
        <v>98.799999999999272</v>
      </c>
      <c r="I6257" s="3">
        <f t="shared" si="292"/>
        <v>6.2635112432562192E-3</v>
      </c>
    </row>
    <row r="6258" spans="2:9" x14ac:dyDescent="0.25">
      <c r="B6258" s="1">
        <v>44356</v>
      </c>
      <c r="C6258" s="2">
        <v>15635.35</v>
      </c>
      <c r="D6258" s="2">
        <v>15766.3</v>
      </c>
      <c r="E6258" s="2">
        <v>15800.45</v>
      </c>
      <c r="F6258" s="2">
        <v>15566.9</v>
      </c>
      <c r="G6258" s="3">
        <f t="shared" si="293"/>
        <v>-6.6549767790547998E-3</v>
      </c>
      <c r="H6258" s="2">
        <f t="shared" si="291"/>
        <v>233.55000000000109</v>
      </c>
      <c r="I6258" s="3">
        <f t="shared" si="292"/>
        <v>1.4813240899894147E-2</v>
      </c>
    </row>
    <row r="6259" spans="2:9" x14ac:dyDescent="0.25">
      <c r="B6259" s="1">
        <v>44357</v>
      </c>
      <c r="C6259" s="2">
        <v>15737.75</v>
      </c>
      <c r="D6259" s="2">
        <v>15692.1</v>
      </c>
      <c r="E6259" s="2">
        <v>15751.25</v>
      </c>
      <c r="F6259" s="2">
        <v>15648.5</v>
      </c>
      <c r="G6259" s="3">
        <f t="shared" si="293"/>
        <v>6.5492617690041666E-3</v>
      </c>
      <c r="H6259" s="2">
        <f t="shared" si="291"/>
        <v>102.75</v>
      </c>
      <c r="I6259" s="3">
        <f t="shared" si="292"/>
        <v>6.5478807807750391E-3</v>
      </c>
    </row>
    <row r="6260" spans="2:9" x14ac:dyDescent="0.25">
      <c r="B6260" s="1">
        <v>44358</v>
      </c>
      <c r="C6260" s="2">
        <v>15799.35</v>
      </c>
      <c r="D6260" s="2">
        <v>15796.45</v>
      </c>
      <c r="E6260" s="2">
        <v>15835.55</v>
      </c>
      <c r="F6260" s="2">
        <v>15749.8</v>
      </c>
      <c r="G6260" s="3">
        <f t="shared" si="293"/>
        <v>3.9141554542421186E-3</v>
      </c>
      <c r="H6260" s="2">
        <f t="shared" si="291"/>
        <v>85.75</v>
      </c>
      <c r="I6260" s="3">
        <f t="shared" si="292"/>
        <v>5.4284348698600002E-3</v>
      </c>
    </row>
    <row r="6261" spans="2:9" x14ac:dyDescent="0.25">
      <c r="B6261" s="1">
        <v>44361</v>
      </c>
      <c r="C6261" s="2">
        <v>15811.85</v>
      </c>
      <c r="D6261" s="2">
        <v>15791.4</v>
      </c>
      <c r="E6261" s="2">
        <v>15823.05</v>
      </c>
      <c r="F6261" s="2">
        <v>15606.5</v>
      </c>
      <c r="G6261" s="3">
        <f t="shared" si="293"/>
        <v>7.911717887127967E-4</v>
      </c>
      <c r="H6261" s="2">
        <f t="shared" si="291"/>
        <v>216.54999999999927</v>
      </c>
      <c r="I6261" s="3">
        <f t="shared" si="292"/>
        <v>1.3713160327773298E-2</v>
      </c>
    </row>
    <row r="6262" spans="2:9" x14ac:dyDescent="0.25">
      <c r="B6262" s="1">
        <v>44362</v>
      </c>
      <c r="C6262" s="2">
        <v>15869.25</v>
      </c>
      <c r="D6262" s="2">
        <v>15866.95</v>
      </c>
      <c r="E6262" s="2">
        <v>15901.6</v>
      </c>
      <c r="F6262" s="2">
        <v>15842.4</v>
      </c>
      <c r="G6262" s="3">
        <f t="shared" si="293"/>
        <v>3.6301887508418673E-3</v>
      </c>
      <c r="H6262" s="2">
        <f t="shared" si="291"/>
        <v>59.200000000000728</v>
      </c>
      <c r="I6262" s="3">
        <f t="shared" si="292"/>
        <v>3.7310258115139158E-3</v>
      </c>
    </row>
    <row r="6263" spans="2:9" x14ac:dyDescent="0.25">
      <c r="B6263" s="1">
        <v>44363</v>
      </c>
      <c r="C6263" s="2">
        <v>15767.55</v>
      </c>
      <c r="D6263" s="2">
        <v>15847.5</v>
      </c>
      <c r="E6263" s="2">
        <v>15880.85</v>
      </c>
      <c r="F6263" s="2">
        <v>15742.6</v>
      </c>
      <c r="G6263" s="3">
        <f t="shared" si="293"/>
        <v>-6.4086204452006301E-3</v>
      </c>
      <c r="H6263" s="2">
        <f t="shared" si="291"/>
        <v>138.25</v>
      </c>
      <c r="I6263" s="3">
        <f t="shared" si="292"/>
        <v>8.7237734658463482E-3</v>
      </c>
    </row>
    <row r="6264" spans="2:9" x14ac:dyDescent="0.25">
      <c r="B6264" s="1">
        <v>44364</v>
      </c>
      <c r="C6264" s="2">
        <v>15691.4</v>
      </c>
      <c r="D6264" s="2">
        <v>15648.3</v>
      </c>
      <c r="E6264" s="2">
        <v>15769.35</v>
      </c>
      <c r="F6264" s="2">
        <v>15616.75</v>
      </c>
      <c r="G6264" s="3">
        <f t="shared" si="293"/>
        <v>-4.8295391484409755E-3</v>
      </c>
      <c r="H6264" s="2">
        <f t="shared" si="291"/>
        <v>152.60000000000036</v>
      </c>
      <c r="I6264" s="3">
        <f t="shared" si="292"/>
        <v>9.7518580293067224E-3</v>
      </c>
    </row>
    <row r="6265" spans="2:9" x14ac:dyDescent="0.25">
      <c r="B6265" s="1">
        <v>44365</v>
      </c>
      <c r="C6265" s="2">
        <v>15683.35</v>
      </c>
      <c r="D6265" s="2">
        <v>15756.5</v>
      </c>
      <c r="E6265" s="2">
        <v>15761.5</v>
      </c>
      <c r="F6265" s="2">
        <v>15450.9</v>
      </c>
      <c r="G6265" s="3">
        <f t="shared" si="293"/>
        <v>-5.1301987075713651E-4</v>
      </c>
      <c r="H6265" s="2">
        <f t="shared" si="291"/>
        <v>310.60000000000036</v>
      </c>
      <c r="I6265" s="3">
        <f t="shared" si="292"/>
        <v>1.9712499603338329E-2</v>
      </c>
    </row>
    <row r="6266" spans="2:9" x14ac:dyDescent="0.25">
      <c r="B6266" s="1">
        <v>44368</v>
      </c>
      <c r="C6266" s="2">
        <v>15746.5</v>
      </c>
      <c r="D6266" s="2">
        <v>15525.85</v>
      </c>
      <c r="E6266" s="2">
        <v>15765.15</v>
      </c>
      <c r="F6266" s="2">
        <v>15505.65</v>
      </c>
      <c r="G6266" s="3">
        <f t="shared" si="293"/>
        <v>4.0265632023770426E-3</v>
      </c>
      <c r="H6266" s="2">
        <f t="shared" si="291"/>
        <v>259.5</v>
      </c>
      <c r="I6266" s="3">
        <f t="shared" si="292"/>
        <v>1.6714060743856212E-2</v>
      </c>
    </row>
    <row r="6267" spans="2:9" x14ac:dyDescent="0.25">
      <c r="B6267" s="1">
        <v>44369</v>
      </c>
      <c r="C6267" s="2">
        <v>15772.75</v>
      </c>
      <c r="D6267" s="2">
        <v>15840.5</v>
      </c>
      <c r="E6267" s="2">
        <v>15895.75</v>
      </c>
      <c r="F6267" s="2">
        <v>15752.1</v>
      </c>
      <c r="G6267" s="3">
        <f t="shared" si="293"/>
        <v>1.6670371193598932E-3</v>
      </c>
      <c r="H6267" s="2">
        <f t="shared" si="291"/>
        <v>143.64999999999964</v>
      </c>
      <c r="I6267" s="3">
        <f t="shared" si="292"/>
        <v>9.0685268773081432E-3</v>
      </c>
    </row>
    <row r="6268" spans="2:9" x14ac:dyDescent="0.25">
      <c r="B6268" s="1">
        <v>44370</v>
      </c>
      <c r="C6268" s="2">
        <v>15686.95</v>
      </c>
      <c r="D6268" s="2">
        <v>15862.8</v>
      </c>
      <c r="E6268" s="2">
        <v>15862.95</v>
      </c>
      <c r="F6268" s="2">
        <v>15673.95</v>
      </c>
      <c r="G6268" s="3">
        <f t="shared" si="293"/>
        <v>-5.4397616141762528E-3</v>
      </c>
      <c r="H6268" s="2">
        <f t="shared" si="291"/>
        <v>189</v>
      </c>
      <c r="I6268" s="3">
        <f t="shared" si="292"/>
        <v>1.1914668280505334E-2</v>
      </c>
    </row>
    <row r="6269" spans="2:9" x14ac:dyDescent="0.25">
      <c r="B6269" s="1">
        <v>44371</v>
      </c>
      <c r="C6269" s="2">
        <v>15790.45</v>
      </c>
      <c r="D6269" s="2">
        <v>15737.3</v>
      </c>
      <c r="E6269" s="2">
        <v>15821.4</v>
      </c>
      <c r="F6269" s="2">
        <v>15702.7</v>
      </c>
      <c r="G6269" s="3">
        <f t="shared" si="293"/>
        <v>6.5978408804769906E-3</v>
      </c>
      <c r="H6269" s="2">
        <f t="shared" si="291"/>
        <v>118.69999999999891</v>
      </c>
      <c r="I6269" s="3">
        <f t="shared" si="292"/>
        <v>7.5425898978858453E-3</v>
      </c>
    </row>
    <row r="6270" spans="2:9" x14ac:dyDescent="0.25">
      <c r="B6270" s="1">
        <v>44372</v>
      </c>
      <c r="C6270" s="2">
        <v>15860.35</v>
      </c>
      <c r="D6270" s="2">
        <v>15839.35</v>
      </c>
      <c r="E6270" s="2">
        <v>15870.8</v>
      </c>
      <c r="F6270" s="2">
        <v>15772.3</v>
      </c>
      <c r="G6270" s="3">
        <f t="shared" si="293"/>
        <v>4.4267262807582419E-3</v>
      </c>
      <c r="H6270" s="2">
        <f t="shared" si="291"/>
        <v>98.5</v>
      </c>
      <c r="I6270" s="3">
        <f t="shared" si="292"/>
        <v>6.2186895295577157E-3</v>
      </c>
    </row>
    <row r="6271" spans="2:9" x14ac:dyDescent="0.25">
      <c r="B6271" s="1">
        <v>44375</v>
      </c>
      <c r="C6271" s="2">
        <v>15814.7</v>
      </c>
      <c r="D6271" s="2">
        <v>15915.35</v>
      </c>
      <c r="E6271" s="2">
        <v>15915.65</v>
      </c>
      <c r="F6271" s="2">
        <v>15792.15</v>
      </c>
      <c r="G6271" s="3">
        <f t="shared" si="293"/>
        <v>-2.8782466969518028E-3</v>
      </c>
      <c r="H6271" s="2">
        <f t="shared" si="291"/>
        <v>123.5</v>
      </c>
      <c r="I6271" s="3">
        <f t="shared" si="292"/>
        <v>7.7598042141705965E-3</v>
      </c>
    </row>
    <row r="6272" spans="2:9" x14ac:dyDescent="0.25">
      <c r="B6272" s="1">
        <v>44376</v>
      </c>
      <c r="C6272" s="2">
        <v>15748.45</v>
      </c>
      <c r="D6272" s="2">
        <v>15807.5</v>
      </c>
      <c r="E6272" s="2">
        <v>15835.9</v>
      </c>
      <c r="F6272" s="2">
        <v>15724.05</v>
      </c>
      <c r="G6272" s="3">
        <f t="shared" si="293"/>
        <v>-4.1891404832212764E-3</v>
      </c>
      <c r="H6272" s="2">
        <f t="shared" si="291"/>
        <v>111.85000000000036</v>
      </c>
      <c r="I6272" s="3">
        <f t="shared" si="292"/>
        <v>7.075755179503423E-3</v>
      </c>
    </row>
    <row r="6273" spans="2:9" x14ac:dyDescent="0.25">
      <c r="B6273" s="1">
        <v>44377</v>
      </c>
      <c r="C6273" s="2">
        <v>15721.5</v>
      </c>
      <c r="D6273" s="2">
        <v>15776.9</v>
      </c>
      <c r="E6273" s="2">
        <v>15839.1</v>
      </c>
      <c r="F6273" s="2">
        <v>15708.75</v>
      </c>
      <c r="G6273" s="3">
        <f t="shared" si="293"/>
        <v>-1.7112795227467448E-3</v>
      </c>
      <c r="H6273" s="2">
        <f t="shared" si="291"/>
        <v>130.35000000000036</v>
      </c>
      <c r="I6273" s="3">
        <f t="shared" si="292"/>
        <v>8.262079369204367E-3</v>
      </c>
    </row>
    <row r="6274" spans="2:9" x14ac:dyDescent="0.25">
      <c r="B6274" s="1">
        <v>44378</v>
      </c>
      <c r="C6274" s="2">
        <v>15680</v>
      </c>
      <c r="D6274" s="2">
        <v>15755.05</v>
      </c>
      <c r="E6274" s="2">
        <v>15755.55</v>
      </c>
      <c r="F6274" s="2">
        <v>15667.05</v>
      </c>
      <c r="G6274" s="3">
        <f t="shared" si="293"/>
        <v>-2.639697229908089E-3</v>
      </c>
      <c r="H6274" s="2">
        <f t="shared" si="291"/>
        <v>88.5</v>
      </c>
      <c r="I6274" s="3">
        <f t="shared" si="292"/>
        <v>5.6172465336511157E-3</v>
      </c>
    </row>
    <row r="6275" spans="2:9" x14ac:dyDescent="0.25">
      <c r="B6275" s="1">
        <v>44379</v>
      </c>
      <c r="C6275" s="2">
        <v>15722.2</v>
      </c>
      <c r="D6275" s="2">
        <v>15705.85</v>
      </c>
      <c r="E6275" s="2">
        <v>15738.35</v>
      </c>
      <c r="F6275" s="2">
        <v>15635.95</v>
      </c>
      <c r="G6275" s="3">
        <f t="shared" si="293"/>
        <v>2.6913265306123257E-3</v>
      </c>
      <c r="H6275" s="2">
        <f t="shared" si="291"/>
        <v>102.39999999999964</v>
      </c>
      <c r="I6275" s="3">
        <f t="shared" si="292"/>
        <v>6.5198636176965674E-3</v>
      </c>
    </row>
    <row r="6276" spans="2:9" x14ac:dyDescent="0.25">
      <c r="B6276" s="1">
        <v>44382</v>
      </c>
      <c r="C6276" s="2">
        <v>15834.35</v>
      </c>
      <c r="D6276" s="2">
        <v>15793.4</v>
      </c>
      <c r="E6276" s="2">
        <v>15845.95</v>
      </c>
      <c r="F6276" s="2">
        <v>15762.05</v>
      </c>
      <c r="G6276" s="3">
        <f t="shared" si="293"/>
        <v>7.1332256300009611E-3</v>
      </c>
      <c r="H6276" s="2">
        <f t="shared" si="291"/>
        <v>83.900000000001455</v>
      </c>
      <c r="I6276" s="3">
        <f t="shared" si="292"/>
        <v>5.3123456633784654E-3</v>
      </c>
    </row>
    <row r="6277" spans="2:9" x14ac:dyDescent="0.25">
      <c r="B6277" s="1">
        <v>44383</v>
      </c>
      <c r="C6277" s="2">
        <v>15818.25</v>
      </c>
      <c r="D6277" s="2">
        <v>15813.75</v>
      </c>
      <c r="E6277" s="2">
        <v>15914.2</v>
      </c>
      <c r="F6277" s="2">
        <v>15801</v>
      </c>
      <c r="G6277" s="3">
        <f t="shared" si="293"/>
        <v>-1.0167768174885738E-3</v>
      </c>
      <c r="H6277" s="2">
        <f t="shared" ref="H6277:H6340" si="294">E6277-F6277</f>
        <v>113.20000000000073</v>
      </c>
      <c r="I6277" s="3">
        <f t="shared" si="292"/>
        <v>7.158327404948271E-3</v>
      </c>
    </row>
    <row r="6278" spans="2:9" x14ac:dyDescent="0.25">
      <c r="B6278" s="1">
        <v>44384</v>
      </c>
      <c r="C6278" s="2">
        <v>15879.65</v>
      </c>
      <c r="D6278" s="2">
        <v>15819.6</v>
      </c>
      <c r="E6278" s="2">
        <v>15893.55</v>
      </c>
      <c r="F6278" s="2">
        <v>15779.7</v>
      </c>
      <c r="G6278" s="3">
        <f t="shared" si="293"/>
        <v>3.8815924644002298E-3</v>
      </c>
      <c r="H6278" s="2">
        <f t="shared" si="294"/>
        <v>113.84999999999854</v>
      </c>
      <c r="I6278" s="3">
        <f t="shared" ref="I6278:I6341" si="295">H6278/D6278</f>
        <v>7.1967685655767869E-3</v>
      </c>
    </row>
    <row r="6279" spans="2:9" x14ac:dyDescent="0.25">
      <c r="B6279" s="1">
        <v>44385</v>
      </c>
      <c r="C6279" s="2">
        <v>15727.9</v>
      </c>
      <c r="D6279" s="2">
        <v>15855.4</v>
      </c>
      <c r="E6279" s="2">
        <v>15885.75</v>
      </c>
      <c r="F6279" s="2">
        <v>15682.9</v>
      </c>
      <c r="G6279" s="3">
        <f t="shared" ref="G6279:G6342" si="296">C6279/C6278-1</f>
        <v>-9.5562559628203925E-3</v>
      </c>
      <c r="H6279" s="2">
        <f t="shared" si="294"/>
        <v>202.85000000000036</v>
      </c>
      <c r="I6279" s="3">
        <f t="shared" si="295"/>
        <v>1.2793748502087639E-2</v>
      </c>
    </row>
    <row r="6280" spans="2:9" x14ac:dyDescent="0.25">
      <c r="B6280" s="1">
        <v>44386</v>
      </c>
      <c r="C6280" s="2">
        <v>15689.8</v>
      </c>
      <c r="D6280" s="2">
        <v>15688.25</v>
      </c>
      <c r="E6280" s="2">
        <v>15730.85</v>
      </c>
      <c r="F6280" s="2">
        <v>15632.75</v>
      </c>
      <c r="G6280" s="3">
        <f t="shared" si="296"/>
        <v>-2.4224467347834233E-3</v>
      </c>
      <c r="H6280" s="2">
        <f t="shared" si="294"/>
        <v>98.100000000000364</v>
      </c>
      <c r="I6280" s="3">
        <f t="shared" si="295"/>
        <v>6.2530875017927662E-3</v>
      </c>
    </row>
    <row r="6281" spans="2:9" x14ac:dyDescent="0.25">
      <c r="B6281" s="1">
        <v>44389</v>
      </c>
      <c r="C6281" s="2">
        <v>15692.6</v>
      </c>
      <c r="D6281" s="2">
        <v>15766.8</v>
      </c>
      <c r="E6281" s="2">
        <v>15789.2</v>
      </c>
      <c r="F6281" s="2">
        <v>15644.75</v>
      </c>
      <c r="G6281" s="3">
        <f t="shared" si="296"/>
        <v>1.7845989113962624E-4</v>
      </c>
      <c r="H6281" s="2">
        <f t="shared" si="294"/>
        <v>144.45000000000073</v>
      </c>
      <c r="I6281" s="3">
        <f t="shared" si="295"/>
        <v>9.1616561382145221E-3</v>
      </c>
    </row>
    <row r="6282" spans="2:9" x14ac:dyDescent="0.25">
      <c r="B6282" s="1">
        <v>44390</v>
      </c>
      <c r="C6282" s="2">
        <v>15812.35</v>
      </c>
      <c r="D6282" s="2">
        <v>15794</v>
      </c>
      <c r="E6282" s="2">
        <v>15820.8</v>
      </c>
      <c r="F6282" s="2">
        <v>15744.6</v>
      </c>
      <c r="G6282" s="3">
        <f t="shared" si="296"/>
        <v>7.6309853051756971E-3</v>
      </c>
      <c r="H6282" s="2">
        <f t="shared" si="294"/>
        <v>76.199999999998909</v>
      </c>
      <c r="I6282" s="3">
        <f t="shared" si="295"/>
        <v>4.8246169431428966E-3</v>
      </c>
    </row>
    <row r="6283" spans="2:9" x14ac:dyDescent="0.25">
      <c r="B6283" s="1">
        <v>44391</v>
      </c>
      <c r="C6283" s="2">
        <v>15853.95</v>
      </c>
      <c r="D6283" s="2">
        <v>15808.7</v>
      </c>
      <c r="E6283" s="2">
        <v>15877.35</v>
      </c>
      <c r="F6283" s="2">
        <v>15764.2</v>
      </c>
      <c r="G6283" s="3">
        <f t="shared" si="296"/>
        <v>2.6308549962530403E-3</v>
      </c>
      <c r="H6283" s="2">
        <f t="shared" si="294"/>
        <v>113.14999999999964</v>
      </c>
      <c r="I6283" s="3">
        <f t="shared" si="295"/>
        <v>7.1574512768285588E-3</v>
      </c>
    </row>
    <row r="6284" spans="2:9" x14ac:dyDescent="0.25">
      <c r="B6284" s="1">
        <v>44392</v>
      </c>
      <c r="C6284" s="2">
        <v>15924.2</v>
      </c>
      <c r="D6284" s="2">
        <v>15872.15</v>
      </c>
      <c r="E6284" s="2">
        <v>15952.35</v>
      </c>
      <c r="F6284" s="2">
        <v>15855</v>
      </c>
      <c r="G6284" s="3">
        <f t="shared" si="296"/>
        <v>4.4310723825924381E-3</v>
      </c>
      <c r="H6284" s="2">
        <f t="shared" si="294"/>
        <v>97.350000000000364</v>
      </c>
      <c r="I6284" s="3">
        <f t="shared" si="295"/>
        <v>6.1333845761286513E-3</v>
      </c>
    </row>
    <row r="6285" spans="2:9" x14ac:dyDescent="0.25">
      <c r="B6285" s="1">
        <v>44393</v>
      </c>
      <c r="C6285" s="2">
        <v>15923.4</v>
      </c>
      <c r="D6285" s="2">
        <v>15958.35</v>
      </c>
      <c r="E6285" s="2">
        <v>15962.25</v>
      </c>
      <c r="F6285" s="2">
        <v>15882.6</v>
      </c>
      <c r="G6285" s="3">
        <f t="shared" si="296"/>
        <v>-5.023800253711741E-5</v>
      </c>
      <c r="H6285" s="2">
        <f t="shared" si="294"/>
        <v>79.649999999999636</v>
      </c>
      <c r="I6285" s="3">
        <f t="shared" si="295"/>
        <v>4.9911175027493211E-3</v>
      </c>
    </row>
    <row r="6286" spans="2:9" x14ac:dyDescent="0.25">
      <c r="B6286" s="1">
        <v>44396</v>
      </c>
      <c r="C6286" s="2">
        <v>15752.4</v>
      </c>
      <c r="D6286" s="2">
        <v>15754.5</v>
      </c>
      <c r="E6286" s="2">
        <v>15836.9</v>
      </c>
      <c r="F6286" s="2">
        <v>15707.5</v>
      </c>
      <c r="G6286" s="3">
        <f t="shared" si="296"/>
        <v>-1.0738912543803436E-2</v>
      </c>
      <c r="H6286" s="2">
        <f t="shared" si="294"/>
        <v>129.39999999999964</v>
      </c>
      <c r="I6286" s="3">
        <f t="shared" si="295"/>
        <v>8.2135262940746852E-3</v>
      </c>
    </row>
    <row r="6287" spans="2:9" x14ac:dyDescent="0.25">
      <c r="B6287" s="1">
        <v>44397</v>
      </c>
      <c r="C6287" s="2">
        <v>15632.1</v>
      </c>
      <c r="D6287" s="2">
        <v>15703.95</v>
      </c>
      <c r="E6287" s="2">
        <v>15728.45</v>
      </c>
      <c r="F6287" s="2">
        <v>15578.55</v>
      </c>
      <c r="G6287" s="3">
        <f t="shared" si="296"/>
        <v>-7.6369315151976203E-3</v>
      </c>
      <c r="H6287" s="2">
        <f t="shared" si="294"/>
        <v>149.90000000000146</v>
      </c>
      <c r="I6287" s="3">
        <f t="shared" si="295"/>
        <v>9.5453691587149385E-3</v>
      </c>
    </row>
    <row r="6288" spans="2:9" x14ac:dyDescent="0.25">
      <c r="B6288" s="1">
        <v>44399</v>
      </c>
      <c r="C6288" s="2">
        <v>15824.05</v>
      </c>
      <c r="D6288" s="2">
        <v>15736.6</v>
      </c>
      <c r="E6288" s="2">
        <v>15834.8</v>
      </c>
      <c r="F6288" s="2">
        <v>15726.4</v>
      </c>
      <c r="G6288" s="3">
        <f t="shared" si="296"/>
        <v>1.2279220322285456E-2</v>
      </c>
      <c r="H6288" s="2">
        <f t="shared" si="294"/>
        <v>108.39999999999964</v>
      </c>
      <c r="I6288" s="3">
        <f t="shared" si="295"/>
        <v>6.8884002897703208E-3</v>
      </c>
    </row>
    <row r="6289" spans="2:9" x14ac:dyDescent="0.25">
      <c r="B6289" s="1">
        <v>44400</v>
      </c>
      <c r="C6289" s="2">
        <v>15856.05</v>
      </c>
      <c r="D6289" s="2">
        <v>15856.8</v>
      </c>
      <c r="E6289" s="2">
        <v>15899.8</v>
      </c>
      <c r="F6289" s="2">
        <v>15768.4</v>
      </c>
      <c r="G6289" s="3">
        <f t="shared" si="296"/>
        <v>2.022238301825352E-3</v>
      </c>
      <c r="H6289" s="2">
        <f t="shared" si="294"/>
        <v>131.39999999999964</v>
      </c>
      <c r="I6289" s="3">
        <f t="shared" si="295"/>
        <v>8.2866656576358177E-3</v>
      </c>
    </row>
    <row r="6290" spans="2:9" x14ac:dyDescent="0.25">
      <c r="B6290" s="1">
        <v>44403</v>
      </c>
      <c r="C6290" s="2">
        <v>15824.45</v>
      </c>
      <c r="D6290" s="2">
        <v>15849.3</v>
      </c>
      <c r="E6290" s="2">
        <v>15893.35</v>
      </c>
      <c r="F6290" s="2">
        <v>15797</v>
      </c>
      <c r="G6290" s="3">
        <f t="shared" si="296"/>
        <v>-1.9929301433836422E-3</v>
      </c>
      <c r="H6290" s="2">
        <f t="shared" si="294"/>
        <v>96.350000000000364</v>
      </c>
      <c r="I6290" s="3">
        <f t="shared" si="295"/>
        <v>6.0791328323648594E-3</v>
      </c>
    </row>
    <row r="6291" spans="2:9" x14ac:dyDescent="0.25">
      <c r="B6291" s="1">
        <v>44404</v>
      </c>
      <c r="C6291" s="2">
        <v>15746.45</v>
      </c>
      <c r="D6291" s="2">
        <v>15860.5</v>
      </c>
      <c r="E6291" s="2">
        <v>15881.55</v>
      </c>
      <c r="F6291" s="2">
        <v>15701</v>
      </c>
      <c r="G6291" s="3">
        <f t="shared" si="296"/>
        <v>-4.929081263487789E-3</v>
      </c>
      <c r="H6291" s="2">
        <f t="shared" si="294"/>
        <v>180.54999999999927</v>
      </c>
      <c r="I6291" s="3">
        <f t="shared" si="295"/>
        <v>1.1383625989092353E-2</v>
      </c>
    </row>
    <row r="6292" spans="2:9" x14ac:dyDescent="0.25">
      <c r="B6292" s="1">
        <v>44405</v>
      </c>
      <c r="C6292" s="2">
        <v>15709.4</v>
      </c>
      <c r="D6292" s="2">
        <v>15761.55</v>
      </c>
      <c r="E6292" s="2">
        <v>15767.5</v>
      </c>
      <c r="F6292" s="2">
        <v>15513.45</v>
      </c>
      <c r="G6292" s="3">
        <f t="shared" si="296"/>
        <v>-2.3529112911164773E-3</v>
      </c>
      <c r="H6292" s="2">
        <f t="shared" si="294"/>
        <v>254.04999999999927</v>
      </c>
      <c r="I6292" s="3">
        <f t="shared" si="295"/>
        <v>1.6118338615174223E-2</v>
      </c>
    </row>
    <row r="6293" spans="2:9" x14ac:dyDescent="0.25">
      <c r="B6293" s="1">
        <v>44406</v>
      </c>
      <c r="C6293" s="2">
        <v>15778.45</v>
      </c>
      <c r="D6293" s="2">
        <v>15762.7</v>
      </c>
      <c r="E6293" s="2">
        <v>15817.35</v>
      </c>
      <c r="F6293" s="2">
        <v>15737.8</v>
      </c>
      <c r="G6293" s="3">
        <f t="shared" si="296"/>
        <v>4.3954574967854931E-3</v>
      </c>
      <c r="H6293" s="2">
        <f t="shared" si="294"/>
        <v>79.550000000001091</v>
      </c>
      <c r="I6293" s="3">
        <f t="shared" si="295"/>
        <v>5.0467242287172307E-3</v>
      </c>
    </row>
    <row r="6294" spans="2:9" x14ac:dyDescent="0.25">
      <c r="B6294" s="1">
        <v>44407</v>
      </c>
      <c r="C6294" s="2">
        <v>15763.05</v>
      </c>
      <c r="D6294" s="2">
        <v>15800.6</v>
      </c>
      <c r="E6294" s="2">
        <v>15862.8</v>
      </c>
      <c r="F6294" s="2">
        <v>15744.85</v>
      </c>
      <c r="G6294" s="3">
        <f t="shared" si="296"/>
        <v>-9.7601475430109108E-4</v>
      </c>
      <c r="H6294" s="2">
        <f t="shared" si="294"/>
        <v>117.94999999999891</v>
      </c>
      <c r="I6294" s="3">
        <f t="shared" si="295"/>
        <v>7.4649063959595779E-3</v>
      </c>
    </row>
    <row r="6295" spans="2:9" x14ac:dyDescent="0.25">
      <c r="B6295" s="1">
        <v>44410</v>
      </c>
      <c r="C6295" s="2">
        <v>15885.15</v>
      </c>
      <c r="D6295" s="2">
        <v>15874.9</v>
      </c>
      <c r="E6295" s="2">
        <v>15892.9</v>
      </c>
      <c r="F6295" s="2">
        <v>15834.65</v>
      </c>
      <c r="G6295" s="3">
        <f t="shared" si="296"/>
        <v>7.7459628688609783E-3</v>
      </c>
      <c r="H6295" s="2">
        <f t="shared" si="294"/>
        <v>58.25</v>
      </c>
      <c r="I6295" s="3">
        <f t="shared" si="295"/>
        <v>3.6693144523745032E-3</v>
      </c>
    </row>
    <row r="6296" spans="2:9" x14ac:dyDescent="0.25">
      <c r="B6296" s="1">
        <v>44411</v>
      </c>
      <c r="C6296" s="2">
        <v>16130.75</v>
      </c>
      <c r="D6296" s="2">
        <v>15951.55</v>
      </c>
      <c r="E6296" s="2">
        <v>16146.9</v>
      </c>
      <c r="F6296" s="2">
        <v>15914.35</v>
      </c>
      <c r="G6296" s="3">
        <f t="shared" si="296"/>
        <v>1.5460980853186701E-2</v>
      </c>
      <c r="H6296" s="2">
        <f t="shared" si="294"/>
        <v>232.54999999999927</v>
      </c>
      <c r="I6296" s="3">
        <f t="shared" si="295"/>
        <v>1.4578520582639259E-2</v>
      </c>
    </row>
    <row r="6297" spans="2:9" x14ac:dyDescent="0.25">
      <c r="B6297" s="1">
        <v>44412</v>
      </c>
      <c r="C6297" s="2">
        <v>16258.8</v>
      </c>
      <c r="D6297" s="2">
        <v>16195.25</v>
      </c>
      <c r="E6297" s="2">
        <v>16290.2</v>
      </c>
      <c r="F6297" s="2">
        <v>16176.15</v>
      </c>
      <c r="G6297" s="3">
        <f t="shared" si="296"/>
        <v>7.9382545758877043E-3</v>
      </c>
      <c r="H6297" s="2">
        <f t="shared" si="294"/>
        <v>114.05000000000109</v>
      </c>
      <c r="I6297" s="3">
        <f t="shared" si="295"/>
        <v>7.042188295951041E-3</v>
      </c>
    </row>
    <row r="6298" spans="2:9" x14ac:dyDescent="0.25">
      <c r="B6298" s="1">
        <v>44413</v>
      </c>
      <c r="C6298" s="2">
        <v>16294.6</v>
      </c>
      <c r="D6298" s="2">
        <v>16288.95</v>
      </c>
      <c r="E6298" s="2">
        <v>16349.45</v>
      </c>
      <c r="F6298" s="2">
        <v>16210.3</v>
      </c>
      <c r="G6298" s="3">
        <f t="shared" si="296"/>
        <v>2.201884517922581E-3</v>
      </c>
      <c r="H6298" s="2">
        <f t="shared" si="294"/>
        <v>139.15000000000146</v>
      </c>
      <c r="I6298" s="3">
        <f t="shared" si="295"/>
        <v>8.5426009656854162E-3</v>
      </c>
    </row>
    <row r="6299" spans="2:9" x14ac:dyDescent="0.25">
      <c r="B6299" s="1">
        <v>44414</v>
      </c>
      <c r="C6299" s="2">
        <v>16238.2</v>
      </c>
      <c r="D6299" s="2">
        <v>16304.4</v>
      </c>
      <c r="E6299" s="2">
        <v>16336.75</v>
      </c>
      <c r="F6299" s="2">
        <v>16223.3</v>
      </c>
      <c r="G6299" s="3">
        <f t="shared" si="296"/>
        <v>-3.4612693775851744E-3</v>
      </c>
      <c r="H6299" s="2">
        <f t="shared" si="294"/>
        <v>113.45000000000073</v>
      </c>
      <c r="I6299" s="3">
        <f t="shared" si="295"/>
        <v>6.9582444002846307E-3</v>
      </c>
    </row>
    <row r="6300" spans="2:9" x14ac:dyDescent="0.25">
      <c r="B6300" s="1">
        <v>44417</v>
      </c>
      <c r="C6300" s="2">
        <v>16258.25</v>
      </c>
      <c r="D6300" s="2">
        <v>16281.35</v>
      </c>
      <c r="E6300" s="2">
        <v>16320.75</v>
      </c>
      <c r="F6300" s="2">
        <v>16179.05</v>
      </c>
      <c r="G6300" s="3">
        <f t="shared" si="296"/>
        <v>1.2347427670553746E-3</v>
      </c>
      <c r="H6300" s="2">
        <f t="shared" si="294"/>
        <v>141.70000000000073</v>
      </c>
      <c r="I6300" s="3">
        <f t="shared" si="295"/>
        <v>8.7032095004407322E-3</v>
      </c>
    </row>
    <row r="6301" spans="2:9" x14ac:dyDescent="0.25">
      <c r="B6301" s="1">
        <v>44418</v>
      </c>
      <c r="C6301" s="2">
        <v>16280.1</v>
      </c>
      <c r="D6301" s="2">
        <v>16274.8</v>
      </c>
      <c r="E6301" s="2">
        <v>16359.25</v>
      </c>
      <c r="F6301" s="2">
        <v>16202.25</v>
      </c>
      <c r="G6301" s="3">
        <f t="shared" si="296"/>
        <v>1.3439330801285898E-3</v>
      </c>
      <c r="H6301" s="2">
        <f t="shared" si="294"/>
        <v>157</v>
      </c>
      <c r="I6301" s="3">
        <f t="shared" si="295"/>
        <v>9.6468159362941477E-3</v>
      </c>
    </row>
    <row r="6302" spans="2:9" x14ac:dyDescent="0.25">
      <c r="B6302" s="1">
        <v>44419</v>
      </c>
      <c r="C6302" s="2">
        <v>16282.25</v>
      </c>
      <c r="D6302" s="2">
        <v>16327.3</v>
      </c>
      <c r="E6302" s="2">
        <v>16338.75</v>
      </c>
      <c r="F6302" s="2">
        <v>16162.55</v>
      </c>
      <c r="G6302" s="3">
        <f t="shared" si="296"/>
        <v>1.3206307086566227E-4</v>
      </c>
      <c r="H6302" s="2">
        <f t="shared" si="294"/>
        <v>176.20000000000073</v>
      </c>
      <c r="I6302" s="3">
        <f t="shared" si="295"/>
        <v>1.0791741439184724E-2</v>
      </c>
    </row>
    <row r="6303" spans="2:9" x14ac:dyDescent="0.25">
      <c r="B6303" s="1">
        <v>44420</v>
      </c>
      <c r="C6303" s="2">
        <v>16364.4</v>
      </c>
      <c r="D6303" s="2">
        <v>16303.65</v>
      </c>
      <c r="E6303" s="2">
        <v>16375.5</v>
      </c>
      <c r="F6303" s="2">
        <v>16286.9</v>
      </c>
      <c r="G6303" s="3">
        <f t="shared" si="296"/>
        <v>5.0453714934974858E-3</v>
      </c>
      <c r="H6303" s="2">
        <f t="shared" si="294"/>
        <v>88.600000000000364</v>
      </c>
      <c r="I6303" s="3">
        <f t="shared" si="295"/>
        <v>5.4343659241949116E-3</v>
      </c>
    </row>
    <row r="6304" spans="2:9" x14ac:dyDescent="0.25">
      <c r="B6304" s="1">
        <v>44421</v>
      </c>
      <c r="C6304" s="2">
        <v>16529.099999999999</v>
      </c>
      <c r="D6304" s="2">
        <v>16385.7</v>
      </c>
      <c r="E6304" s="2">
        <v>16543.599999999999</v>
      </c>
      <c r="F6304" s="2">
        <v>16376.3</v>
      </c>
      <c r="G6304" s="3">
        <f t="shared" si="296"/>
        <v>1.006453032191823E-2</v>
      </c>
      <c r="H6304" s="2">
        <f t="shared" si="294"/>
        <v>167.29999999999927</v>
      </c>
      <c r="I6304" s="3">
        <f t="shared" si="295"/>
        <v>1.0210122240734254E-2</v>
      </c>
    </row>
    <row r="6305" spans="2:9" x14ac:dyDescent="0.25">
      <c r="B6305" s="1">
        <v>44424</v>
      </c>
      <c r="C6305" s="2">
        <v>16563.05</v>
      </c>
      <c r="D6305" s="2">
        <v>16518.400000000001</v>
      </c>
      <c r="E6305" s="2">
        <v>16589.400000000001</v>
      </c>
      <c r="F6305" s="2">
        <v>16480.75</v>
      </c>
      <c r="G6305" s="3">
        <f t="shared" si="296"/>
        <v>2.0539533307923907E-3</v>
      </c>
      <c r="H6305" s="2">
        <f t="shared" si="294"/>
        <v>108.65000000000146</v>
      </c>
      <c r="I6305" s="3">
        <f t="shared" si="295"/>
        <v>6.5775135606354999E-3</v>
      </c>
    </row>
    <row r="6306" spans="2:9" x14ac:dyDescent="0.25">
      <c r="B6306" s="1">
        <v>44425</v>
      </c>
      <c r="C6306" s="2">
        <v>16614.599999999999</v>
      </c>
      <c r="D6306" s="2">
        <v>16545.25</v>
      </c>
      <c r="E6306" s="2">
        <v>16628.55</v>
      </c>
      <c r="F6306" s="2">
        <v>16495.400000000001</v>
      </c>
      <c r="G6306" s="3">
        <f t="shared" si="296"/>
        <v>3.1123494766964743E-3</v>
      </c>
      <c r="H6306" s="2">
        <f t="shared" si="294"/>
        <v>133.14999999999782</v>
      </c>
      <c r="I6306" s="3">
        <f t="shared" si="295"/>
        <v>8.0476269624211068E-3</v>
      </c>
    </row>
    <row r="6307" spans="2:9" x14ac:dyDescent="0.25">
      <c r="B6307" s="1">
        <v>44426</v>
      </c>
      <c r="C6307" s="2">
        <v>16568.849999999999</v>
      </c>
      <c r="D6307" s="2">
        <v>16691.95</v>
      </c>
      <c r="E6307" s="2">
        <v>16701.849999999999</v>
      </c>
      <c r="F6307" s="2">
        <v>16535.849999999999</v>
      </c>
      <c r="G6307" s="3">
        <f t="shared" si="296"/>
        <v>-2.7536022534397908E-3</v>
      </c>
      <c r="H6307" s="2">
        <f t="shared" si="294"/>
        <v>166</v>
      </c>
      <c r="I6307" s="3">
        <f t="shared" si="295"/>
        <v>9.9449135661201955E-3</v>
      </c>
    </row>
    <row r="6308" spans="2:9" x14ac:dyDescent="0.25">
      <c r="B6308" s="1">
        <v>44428</v>
      </c>
      <c r="C6308" s="2">
        <v>16450.5</v>
      </c>
      <c r="D6308" s="2">
        <v>16382.5</v>
      </c>
      <c r="E6308" s="2">
        <v>16509.55</v>
      </c>
      <c r="F6308" s="2">
        <v>16376.05</v>
      </c>
      <c r="G6308" s="3">
        <f t="shared" si="296"/>
        <v>-7.1429218080916179E-3</v>
      </c>
      <c r="H6308" s="2">
        <f t="shared" si="294"/>
        <v>133.5</v>
      </c>
      <c r="I6308" s="3">
        <f t="shared" si="295"/>
        <v>8.1489394170608884E-3</v>
      </c>
    </row>
    <row r="6309" spans="2:9" x14ac:dyDescent="0.25">
      <c r="B6309" s="1">
        <v>44431</v>
      </c>
      <c r="C6309" s="2">
        <v>16496.45</v>
      </c>
      <c r="D6309" s="2">
        <v>16592.25</v>
      </c>
      <c r="E6309" s="2">
        <v>16592.5</v>
      </c>
      <c r="F6309" s="2">
        <v>16395.7</v>
      </c>
      <c r="G6309" s="3">
        <f t="shared" si="296"/>
        <v>2.7932281693565653E-3</v>
      </c>
      <c r="H6309" s="2">
        <f t="shared" si="294"/>
        <v>196.79999999999927</v>
      </c>
      <c r="I6309" s="3">
        <f t="shared" si="295"/>
        <v>1.1860959182750938E-2</v>
      </c>
    </row>
    <row r="6310" spans="2:9" x14ac:dyDescent="0.25">
      <c r="B6310" s="1">
        <v>44432</v>
      </c>
      <c r="C6310" s="2">
        <v>16624.599999999999</v>
      </c>
      <c r="D6310" s="2">
        <v>16561.400000000001</v>
      </c>
      <c r="E6310" s="2">
        <v>16647.099999999999</v>
      </c>
      <c r="F6310" s="2">
        <v>16495.3</v>
      </c>
      <c r="G6310" s="3">
        <f t="shared" si="296"/>
        <v>7.7683380363653409E-3</v>
      </c>
      <c r="H6310" s="2">
        <f t="shared" si="294"/>
        <v>151.79999999999927</v>
      </c>
      <c r="I6310" s="3">
        <f t="shared" si="295"/>
        <v>9.1658917724346534E-3</v>
      </c>
    </row>
    <row r="6311" spans="2:9" x14ac:dyDescent="0.25">
      <c r="B6311" s="1">
        <v>44433</v>
      </c>
      <c r="C6311" s="2">
        <v>16634.650000000001</v>
      </c>
      <c r="D6311" s="2">
        <v>16654</v>
      </c>
      <c r="E6311" s="2">
        <v>16712.45</v>
      </c>
      <c r="F6311" s="2">
        <v>16617.5</v>
      </c>
      <c r="G6311" s="3">
        <f t="shared" si="296"/>
        <v>6.0452582317793713E-4</v>
      </c>
      <c r="H6311" s="2">
        <f t="shared" si="294"/>
        <v>94.950000000000728</v>
      </c>
      <c r="I6311" s="3">
        <f t="shared" si="295"/>
        <v>5.701333013089992E-3</v>
      </c>
    </row>
    <row r="6312" spans="2:9" x14ac:dyDescent="0.25">
      <c r="B6312" s="1">
        <v>44434</v>
      </c>
      <c r="C6312" s="2">
        <v>16636.900000000001</v>
      </c>
      <c r="D6312" s="2">
        <v>16627.95</v>
      </c>
      <c r="E6312" s="2">
        <v>16683.7</v>
      </c>
      <c r="F6312" s="2">
        <v>16603.400000000001</v>
      </c>
      <c r="G6312" s="3">
        <f t="shared" si="296"/>
        <v>1.3525983414131026E-4</v>
      </c>
      <c r="H6312" s="2">
        <f t="shared" si="294"/>
        <v>80.299999999999272</v>
      </c>
      <c r="I6312" s="3">
        <f t="shared" si="295"/>
        <v>4.8292182740505753E-3</v>
      </c>
    </row>
    <row r="6313" spans="2:9" x14ac:dyDescent="0.25">
      <c r="B6313" s="1">
        <v>44435</v>
      </c>
      <c r="C6313" s="2">
        <v>16705.2</v>
      </c>
      <c r="D6313" s="2">
        <v>16642.55</v>
      </c>
      <c r="E6313" s="2">
        <v>16722.05</v>
      </c>
      <c r="F6313" s="2">
        <v>16565.599999999999</v>
      </c>
      <c r="G6313" s="3">
        <f t="shared" si="296"/>
        <v>4.1053321231718787E-3</v>
      </c>
      <c r="H6313" s="2">
        <f t="shared" si="294"/>
        <v>156.45000000000073</v>
      </c>
      <c r="I6313" s="3">
        <f t="shared" si="295"/>
        <v>9.4006026720665249E-3</v>
      </c>
    </row>
    <row r="6314" spans="2:9" x14ac:dyDescent="0.25">
      <c r="B6314" s="1">
        <v>44438</v>
      </c>
      <c r="C6314" s="2">
        <v>16931.05</v>
      </c>
      <c r="D6314" s="2">
        <v>16775.849999999999</v>
      </c>
      <c r="E6314" s="2">
        <v>16951.5</v>
      </c>
      <c r="F6314" s="2">
        <v>16764.849999999999</v>
      </c>
      <c r="G6314" s="3">
        <f t="shared" si="296"/>
        <v>1.3519742355673658E-2</v>
      </c>
      <c r="H6314" s="2">
        <f t="shared" si="294"/>
        <v>186.65000000000146</v>
      </c>
      <c r="I6314" s="3">
        <f t="shared" si="295"/>
        <v>1.1126112834819188E-2</v>
      </c>
    </row>
    <row r="6315" spans="2:9" x14ac:dyDescent="0.25">
      <c r="B6315" s="1">
        <v>44439</v>
      </c>
      <c r="C6315" s="2">
        <v>17132.2</v>
      </c>
      <c r="D6315" s="2">
        <v>16947.5</v>
      </c>
      <c r="E6315" s="2">
        <v>17153.5</v>
      </c>
      <c r="F6315" s="2">
        <v>16915.849999999999</v>
      </c>
      <c r="G6315" s="3">
        <f t="shared" si="296"/>
        <v>1.1880539009689439E-2</v>
      </c>
      <c r="H6315" s="2">
        <f t="shared" si="294"/>
        <v>237.65000000000146</v>
      </c>
      <c r="I6315" s="3">
        <f t="shared" si="295"/>
        <v>1.4022717214928541E-2</v>
      </c>
    </row>
    <row r="6316" spans="2:9" x14ac:dyDescent="0.25">
      <c r="B6316" s="1">
        <v>44440</v>
      </c>
      <c r="C6316" s="2">
        <v>17076.25</v>
      </c>
      <c r="D6316" s="2">
        <v>17185.599999999999</v>
      </c>
      <c r="E6316" s="2">
        <v>17225.75</v>
      </c>
      <c r="F6316" s="2">
        <v>17055.05</v>
      </c>
      <c r="G6316" s="3">
        <f t="shared" si="296"/>
        <v>-3.2657802267076486E-3</v>
      </c>
      <c r="H6316" s="2">
        <f t="shared" si="294"/>
        <v>170.70000000000073</v>
      </c>
      <c r="I6316" s="3">
        <f t="shared" si="295"/>
        <v>9.9327343822735743E-3</v>
      </c>
    </row>
    <row r="6317" spans="2:9" x14ac:dyDescent="0.25">
      <c r="B6317" s="1">
        <v>44441</v>
      </c>
      <c r="C6317" s="2">
        <v>17234.150000000001</v>
      </c>
      <c r="D6317" s="2">
        <v>17095.400000000001</v>
      </c>
      <c r="E6317" s="2">
        <v>17245.5</v>
      </c>
      <c r="F6317" s="2">
        <v>17059.7</v>
      </c>
      <c r="G6317" s="3">
        <f t="shared" si="296"/>
        <v>9.2467608520607758E-3</v>
      </c>
      <c r="H6317" s="2">
        <f t="shared" si="294"/>
        <v>185.79999999999927</v>
      </c>
      <c r="I6317" s="3">
        <f t="shared" si="295"/>
        <v>1.0868420744761706E-2</v>
      </c>
    </row>
    <row r="6318" spans="2:9" x14ac:dyDescent="0.25">
      <c r="B6318" s="1">
        <v>44442</v>
      </c>
      <c r="C6318" s="2">
        <v>17323.599999999999</v>
      </c>
      <c r="D6318" s="2">
        <v>17262.45</v>
      </c>
      <c r="E6318" s="2">
        <v>17340.099999999999</v>
      </c>
      <c r="F6318" s="2">
        <v>17212.2</v>
      </c>
      <c r="G6318" s="3">
        <f t="shared" si="296"/>
        <v>5.1902762828452964E-3</v>
      </c>
      <c r="H6318" s="2">
        <f t="shared" si="294"/>
        <v>127.89999999999782</v>
      </c>
      <c r="I6318" s="3">
        <f t="shared" si="295"/>
        <v>7.4091452835488483E-3</v>
      </c>
    </row>
    <row r="6319" spans="2:9" x14ac:dyDescent="0.25">
      <c r="B6319" s="1">
        <v>44445</v>
      </c>
      <c r="C6319" s="2">
        <v>17377.8</v>
      </c>
      <c r="D6319" s="2">
        <v>17399.349999999999</v>
      </c>
      <c r="E6319" s="2">
        <v>17429.55</v>
      </c>
      <c r="F6319" s="2">
        <v>17345.55</v>
      </c>
      <c r="G6319" s="3">
        <f t="shared" si="296"/>
        <v>3.1286799510494845E-3</v>
      </c>
      <c r="H6319" s="2">
        <f t="shared" si="294"/>
        <v>84</v>
      </c>
      <c r="I6319" s="3">
        <f t="shared" si="295"/>
        <v>4.8277665544977262E-3</v>
      </c>
    </row>
    <row r="6320" spans="2:9" x14ac:dyDescent="0.25">
      <c r="B6320" s="1">
        <v>44446</v>
      </c>
      <c r="C6320" s="2">
        <v>17362.099999999999</v>
      </c>
      <c r="D6320" s="2">
        <v>17401.55</v>
      </c>
      <c r="E6320" s="2">
        <v>17436.5</v>
      </c>
      <c r="F6320" s="2">
        <v>17287</v>
      </c>
      <c r="G6320" s="3">
        <f t="shared" si="296"/>
        <v>-9.0345153011317514E-4</v>
      </c>
      <c r="H6320" s="2">
        <f t="shared" si="294"/>
        <v>149.5</v>
      </c>
      <c r="I6320" s="3">
        <f t="shared" si="295"/>
        <v>8.5911887159477174E-3</v>
      </c>
    </row>
    <row r="6321" spans="2:9" x14ac:dyDescent="0.25">
      <c r="B6321" s="1">
        <v>44447</v>
      </c>
      <c r="C6321" s="2">
        <v>17353.5</v>
      </c>
      <c r="D6321" s="2">
        <v>17375.75</v>
      </c>
      <c r="E6321" s="2">
        <v>17383.400000000001</v>
      </c>
      <c r="F6321" s="2">
        <v>17254.2</v>
      </c>
      <c r="G6321" s="3">
        <f t="shared" si="296"/>
        <v>-4.9533178590144278E-4</v>
      </c>
      <c r="H6321" s="2">
        <f t="shared" si="294"/>
        <v>129.20000000000073</v>
      </c>
      <c r="I6321" s="3">
        <f t="shared" si="295"/>
        <v>7.4356502597010621E-3</v>
      </c>
    </row>
    <row r="6322" spans="2:9" x14ac:dyDescent="0.25">
      <c r="B6322" s="1">
        <v>44448</v>
      </c>
      <c r="C6322" s="2">
        <v>17369.25</v>
      </c>
      <c r="D6322" s="2">
        <v>17312.849999999999</v>
      </c>
      <c r="E6322" s="2">
        <v>17379.650000000001</v>
      </c>
      <c r="F6322" s="2">
        <v>17302.7</v>
      </c>
      <c r="G6322" s="3">
        <f t="shared" si="296"/>
        <v>9.0759789091543475E-4</v>
      </c>
      <c r="H6322" s="2">
        <f t="shared" si="294"/>
        <v>76.950000000000728</v>
      </c>
      <c r="I6322" s="3">
        <f t="shared" si="295"/>
        <v>4.4446754867050039E-3</v>
      </c>
    </row>
    <row r="6323" spans="2:9" x14ac:dyDescent="0.25">
      <c r="B6323" s="1">
        <v>44452</v>
      </c>
      <c r="C6323" s="2">
        <v>17355.3</v>
      </c>
      <c r="D6323" s="2">
        <v>17363.55</v>
      </c>
      <c r="E6323" s="2">
        <v>17378.349999999999</v>
      </c>
      <c r="F6323" s="2">
        <v>17269.150000000001</v>
      </c>
      <c r="G6323" s="3">
        <f t="shared" si="296"/>
        <v>-8.0314348633370169E-4</v>
      </c>
      <c r="H6323" s="2">
        <f t="shared" si="294"/>
        <v>109.19999999999709</v>
      </c>
      <c r="I6323" s="3">
        <f t="shared" si="295"/>
        <v>6.2890365161500442E-3</v>
      </c>
    </row>
    <row r="6324" spans="2:9" x14ac:dyDescent="0.25">
      <c r="B6324" s="1">
        <v>44453</v>
      </c>
      <c r="C6324" s="2">
        <v>17380</v>
      </c>
      <c r="D6324" s="2">
        <v>17420.349999999999</v>
      </c>
      <c r="E6324" s="2">
        <v>17438.55</v>
      </c>
      <c r="F6324" s="2">
        <v>17367.05</v>
      </c>
      <c r="G6324" s="3">
        <f t="shared" si="296"/>
        <v>1.4231963722897145E-3</v>
      </c>
      <c r="H6324" s="2">
        <f t="shared" si="294"/>
        <v>71.5</v>
      </c>
      <c r="I6324" s="3">
        <f t="shared" si="295"/>
        <v>4.1043951470550247E-3</v>
      </c>
    </row>
    <row r="6325" spans="2:9" x14ac:dyDescent="0.25">
      <c r="B6325" s="1">
        <v>44454</v>
      </c>
      <c r="C6325" s="2">
        <v>17519.45</v>
      </c>
      <c r="D6325" s="2">
        <v>17387.650000000001</v>
      </c>
      <c r="E6325" s="2">
        <v>17532.7</v>
      </c>
      <c r="F6325" s="2">
        <v>17386.900000000001</v>
      </c>
      <c r="G6325" s="3">
        <f t="shared" si="296"/>
        <v>8.0235903337169123E-3</v>
      </c>
      <c r="H6325" s="2">
        <f t="shared" si="294"/>
        <v>145.79999999999927</v>
      </c>
      <c r="I6325" s="3">
        <f t="shared" si="295"/>
        <v>8.3852619531678673E-3</v>
      </c>
    </row>
    <row r="6326" spans="2:9" x14ac:dyDescent="0.25">
      <c r="B6326" s="1">
        <v>44455</v>
      </c>
      <c r="C6326" s="2">
        <v>17629.5</v>
      </c>
      <c r="D6326" s="2">
        <v>17539.2</v>
      </c>
      <c r="E6326" s="2">
        <v>17644.599999999999</v>
      </c>
      <c r="F6326" s="2">
        <v>17510.45</v>
      </c>
      <c r="G6326" s="3">
        <f t="shared" si="296"/>
        <v>6.2815898900936418E-3</v>
      </c>
      <c r="H6326" s="2">
        <f t="shared" si="294"/>
        <v>134.14999999999782</v>
      </c>
      <c r="I6326" s="3">
        <f t="shared" si="295"/>
        <v>7.6485814632365106E-3</v>
      </c>
    </row>
    <row r="6327" spans="2:9" x14ac:dyDescent="0.25">
      <c r="B6327" s="1">
        <v>44456</v>
      </c>
      <c r="C6327" s="2">
        <v>17585.150000000001</v>
      </c>
      <c r="D6327" s="2">
        <v>17709.650000000001</v>
      </c>
      <c r="E6327" s="2">
        <v>17792.95</v>
      </c>
      <c r="F6327" s="2">
        <v>17537.650000000001</v>
      </c>
      <c r="G6327" s="3">
        <f t="shared" si="296"/>
        <v>-2.5156697580758225E-3</v>
      </c>
      <c r="H6327" s="2">
        <f t="shared" si="294"/>
        <v>255.29999999999927</v>
      </c>
      <c r="I6327" s="3">
        <f t="shared" si="295"/>
        <v>1.441586931418742E-2</v>
      </c>
    </row>
    <row r="6328" spans="2:9" x14ac:dyDescent="0.25">
      <c r="B6328" s="1">
        <v>44459</v>
      </c>
      <c r="C6328" s="2">
        <v>17396.900000000001</v>
      </c>
      <c r="D6328" s="2">
        <v>17443.849999999999</v>
      </c>
      <c r="E6328" s="2">
        <v>17622.75</v>
      </c>
      <c r="F6328" s="2">
        <v>17361.8</v>
      </c>
      <c r="G6328" s="3">
        <f t="shared" si="296"/>
        <v>-1.0705055117528173E-2</v>
      </c>
      <c r="H6328" s="2">
        <f t="shared" si="294"/>
        <v>260.95000000000073</v>
      </c>
      <c r="I6328" s="3">
        <f t="shared" si="295"/>
        <v>1.4959426961364651E-2</v>
      </c>
    </row>
    <row r="6329" spans="2:9" x14ac:dyDescent="0.25">
      <c r="B6329" s="1">
        <v>44460</v>
      </c>
      <c r="C6329" s="2">
        <v>17562</v>
      </c>
      <c r="D6329" s="2">
        <v>17450.5</v>
      </c>
      <c r="E6329" s="2">
        <v>17578.349999999999</v>
      </c>
      <c r="F6329" s="2">
        <v>17326.099999999999</v>
      </c>
      <c r="G6329" s="3">
        <f t="shared" si="296"/>
        <v>9.4901965292666368E-3</v>
      </c>
      <c r="H6329" s="2">
        <f t="shared" si="294"/>
        <v>252.25</v>
      </c>
      <c r="I6329" s="3">
        <f t="shared" si="295"/>
        <v>1.4455173204206183E-2</v>
      </c>
    </row>
    <row r="6330" spans="2:9" x14ac:dyDescent="0.25">
      <c r="B6330" s="1">
        <v>44461</v>
      </c>
      <c r="C6330" s="2">
        <v>17546.650000000001</v>
      </c>
      <c r="D6330" s="2">
        <v>17580.900000000001</v>
      </c>
      <c r="E6330" s="2">
        <v>17610.45</v>
      </c>
      <c r="F6330" s="2">
        <v>17524</v>
      </c>
      <c r="G6330" s="3">
        <f t="shared" si="296"/>
        <v>-8.7404623619169453E-4</v>
      </c>
      <c r="H6330" s="2">
        <f t="shared" si="294"/>
        <v>86.450000000000728</v>
      </c>
      <c r="I6330" s="3">
        <f t="shared" si="295"/>
        <v>4.917268171709112E-3</v>
      </c>
    </row>
    <row r="6331" spans="2:9" x14ac:dyDescent="0.25">
      <c r="B6331" s="1">
        <v>44462</v>
      </c>
      <c r="C6331" s="2">
        <v>17822.95</v>
      </c>
      <c r="D6331" s="2">
        <v>17670.849999999999</v>
      </c>
      <c r="E6331" s="2">
        <v>17843.900000000001</v>
      </c>
      <c r="F6331" s="2">
        <v>17646.55</v>
      </c>
      <c r="G6331" s="3">
        <f t="shared" si="296"/>
        <v>1.574659550398505E-2</v>
      </c>
      <c r="H6331" s="2">
        <f t="shared" si="294"/>
        <v>197.35000000000218</v>
      </c>
      <c r="I6331" s="3">
        <f t="shared" si="295"/>
        <v>1.1168110192775232E-2</v>
      </c>
    </row>
    <row r="6332" spans="2:9" x14ac:dyDescent="0.25">
      <c r="B6332" s="1">
        <v>44463</v>
      </c>
      <c r="C6332" s="2">
        <v>17853.2</v>
      </c>
      <c r="D6332" s="2">
        <v>17897.45</v>
      </c>
      <c r="E6332" s="2">
        <v>17947.650000000001</v>
      </c>
      <c r="F6332" s="2">
        <v>17819.400000000001</v>
      </c>
      <c r="G6332" s="3">
        <f t="shared" si="296"/>
        <v>1.6972498940972525E-3</v>
      </c>
      <c r="H6332" s="2">
        <f t="shared" si="294"/>
        <v>128.25</v>
      </c>
      <c r="I6332" s="3">
        <f t="shared" si="295"/>
        <v>7.1658252991347923E-3</v>
      </c>
    </row>
    <row r="6333" spans="2:9" x14ac:dyDescent="0.25">
      <c r="B6333" s="1">
        <v>44466</v>
      </c>
      <c r="C6333" s="2">
        <v>17855.099999999999</v>
      </c>
      <c r="D6333" s="2">
        <v>17932.2</v>
      </c>
      <c r="E6333" s="2">
        <v>17943.5</v>
      </c>
      <c r="F6333" s="2">
        <v>17802.900000000001</v>
      </c>
      <c r="G6333" s="3">
        <f t="shared" si="296"/>
        <v>1.0642349830836118E-4</v>
      </c>
      <c r="H6333" s="2">
        <f t="shared" si="294"/>
        <v>140.59999999999854</v>
      </c>
      <c r="I6333" s="3">
        <f t="shared" si="295"/>
        <v>7.8406442042804857E-3</v>
      </c>
    </row>
    <row r="6334" spans="2:9" x14ac:dyDescent="0.25">
      <c r="B6334" s="1">
        <v>44467</v>
      </c>
      <c r="C6334" s="2">
        <v>17748.599999999999</v>
      </c>
      <c r="D6334" s="2">
        <v>17906.45</v>
      </c>
      <c r="E6334" s="2">
        <v>17912.849999999999</v>
      </c>
      <c r="F6334" s="2">
        <v>17576.099999999999</v>
      </c>
      <c r="G6334" s="3">
        <f t="shared" si="296"/>
        <v>-5.9646823596619658E-3</v>
      </c>
      <c r="H6334" s="2">
        <f t="shared" si="294"/>
        <v>336.75</v>
      </c>
      <c r="I6334" s="3">
        <f t="shared" si="295"/>
        <v>1.8806072672137693E-2</v>
      </c>
    </row>
    <row r="6335" spans="2:9" x14ac:dyDescent="0.25">
      <c r="B6335" s="1">
        <v>44468</v>
      </c>
      <c r="C6335" s="2">
        <v>17711.3</v>
      </c>
      <c r="D6335" s="2">
        <v>17657.95</v>
      </c>
      <c r="E6335" s="2">
        <v>17781.75</v>
      </c>
      <c r="F6335" s="2">
        <v>17608.150000000001</v>
      </c>
      <c r="G6335" s="3">
        <f t="shared" si="296"/>
        <v>-2.1015742086699651E-3</v>
      </c>
      <c r="H6335" s="2">
        <f t="shared" si="294"/>
        <v>173.59999999999854</v>
      </c>
      <c r="I6335" s="3">
        <f t="shared" si="295"/>
        <v>9.8312658037880123E-3</v>
      </c>
    </row>
    <row r="6336" spans="2:9" x14ac:dyDescent="0.25">
      <c r="B6336" s="1">
        <v>44469</v>
      </c>
      <c r="C6336" s="2">
        <v>17618.150000000001</v>
      </c>
      <c r="D6336" s="2">
        <v>17718.900000000001</v>
      </c>
      <c r="E6336" s="2">
        <v>17742.150000000001</v>
      </c>
      <c r="F6336" s="2">
        <v>17585.349999999999</v>
      </c>
      <c r="G6336" s="3">
        <f t="shared" si="296"/>
        <v>-5.2593541976024838E-3</v>
      </c>
      <c r="H6336" s="2">
        <f t="shared" si="294"/>
        <v>156.80000000000291</v>
      </c>
      <c r="I6336" s="3">
        <f t="shared" si="295"/>
        <v>8.8493078012745092E-3</v>
      </c>
    </row>
    <row r="6337" spans="2:9" x14ac:dyDescent="0.25">
      <c r="B6337" s="1">
        <v>44470</v>
      </c>
      <c r="C6337" s="2">
        <v>17532.05</v>
      </c>
      <c r="D6337" s="2">
        <v>17531.900000000001</v>
      </c>
      <c r="E6337" s="2">
        <v>17557.150000000001</v>
      </c>
      <c r="F6337" s="2">
        <v>17452.900000000001</v>
      </c>
      <c r="G6337" s="3">
        <f t="shared" si="296"/>
        <v>-4.8870057298866509E-3</v>
      </c>
      <c r="H6337" s="2">
        <f t="shared" si="294"/>
        <v>104.25</v>
      </c>
      <c r="I6337" s="3">
        <f t="shared" si="295"/>
        <v>5.9463035951608208E-3</v>
      </c>
    </row>
    <row r="6338" spans="2:9" x14ac:dyDescent="0.25">
      <c r="B6338" s="1">
        <v>44473</v>
      </c>
      <c r="C6338" s="2">
        <v>17691.25</v>
      </c>
      <c r="D6338" s="2">
        <v>17615.55</v>
      </c>
      <c r="E6338" s="2">
        <v>17750.900000000001</v>
      </c>
      <c r="F6338" s="2">
        <v>17581.349999999999</v>
      </c>
      <c r="G6338" s="3">
        <f t="shared" si="296"/>
        <v>9.0805125470210246E-3</v>
      </c>
      <c r="H6338" s="2">
        <f t="shared" si="294"/>
        <v>169.55000000000291</v>
      </c>
      <c r="I6338" s="3">
        <f t="shared" si="295"/>
        <v>9.6250188044087713E-3</v>
      </c>
    </row>
    <row r="6339" spans="2:9" x14ac:dyDescent="0.25">
      <c r="B6339" s="1">
        <v>44474</v>
      </c>
      <c r="C6339" s="2">
        <v>17822.3</v>
      </c>
      <c r="D6339" s="2">
        <v>17661.349999999999</v>
      </c>
      <c r="E6339" s="2">
        <v>17833.45</v>
      </c>
      <c r="F6339" s="2">
        <v>17640.900000000001</v>
      </c>
      <c r="G6339" s="3">
        <f t="shared" si="296"/>
        <v>7.4076167596974773E-3</v>
      </c>
      <c r="H6339" s="2">
        <f t="shared" si="294"/>
        <v>192.54999999999927</v>
      </c>
      <c r="I6339" s="3">
        <f t="shared" si="295"/>
        <v>1.0902337590274768E-2</v>
      </c>
    </row>
    <row r="6340" spans="2:9" x14ac:dyDescent="0.25">
      <c r="B6340" s="1">
        <v>44475</v>
      </c>
      <c r="C6340" s="2">
        <v>17646</v>
      </c>
      <c r="D6340" s="2">
        <v>17861.5</v>
      </c>
      <c r="E6340" s="2">
        <v>17884.599999999999</v>
      </c>
      <c r="F6340" s="2">
        <v>17613.150000000001</v>
      </c>
      <c r="G6340" s="3">
        <f t="shared" si="296"/>
        <v>-9.8921014683850395E-3</v>
      </c>
      <c r="H6340" s="2">
        <f t="shared" si="294"/>
        <v>271.44999999999709</v>
      </c>
      <c r="I6340" s="3">
        <f t="shared" si="295"/>
        <v>1.5197491811997709E-2</v>
      </c>
    </row>
    <row r="6341" spans="2:9" x14ac:dyDescent="0.25">
      <c r="B6341" s="1">
        <v>44476</v>
      </c>
      <c r="C6341" s="2">
        <v>17790.349999999999</v>
      </c>
      <c r="D6341" s="2">
        <v>17810.55</v>
      </c>
      <c r="E6341" s="2">
        <v>17857.55</v>
      </c>
      <c r="F6341" s="2">
        <v>17763.8</v>
      </c>
      <c r="G6341" s="3">
        <f t="shared" si="296"/>
        <v>8.1803241527824699E-3</v>
      </c>
      <c r="H6341" s="2">
        <f t="shared" ref="H6341:H6404" si="297">E6341-F6341</f>
        <v>93.75</v>
      </c>
      <c r="I6341" s="3">
        <f t="shared" si="295"/>
        <v>5.2637341351053166E-3</v>
      </c>
    </row>
    <row r="6342" spans="2:9" x14ac:dyDescent="0.25">
      <c r="B6342" s="1">
        <v>44477</v>
      </c>
      <c r="C6342" s="2">
        <v>17895.2</v>
      </c>
      <c r="D6342" s="2">
        <v>17886.849999999999</v>
      </c>
      <c r="E6342" s="2">
        <v>17941.849999999999</v>
      </c>
      <c r="F6342" s="2">
        <v>17840.349999999999</v>
      </c>
      <c r="G6342" s="3">
        <f t="shared" si="296"/>
        <v>5.893644588217839E-3</v>
      </c>
      <c r="H6342" s="2">
        <f t="shared" si="297"/>
        <v>101.5</v>
      </c>
      <c r="I6342" s="3">
        <f t="shared" ref="I6342:I6405" si="298">H6342/D6342</f>
        <v>5.6745598023128724E-3</v>
      </c>
    </row>
    <row r="6343" spans="2:9" x14ac:dyDescent="0.25">
      <c r="B6343" s="1">
        <v>44480</v>
      </c>
      <c r="C6343" s="2">
        <v>17945.95</v>
      </c>
      <c r="D6343" s="2">
        <v>17867.55</v>
      </c>
      <c r="E6343" s="2">
        <v>18041.95</v>
      </c>
      <c r="F6343" s="2">
        <v>17839.099999999999</v>
      </c>
      <c r="G6343" s="3">
        <f t="shared" ref="G6343:G6406" si="299">C6343/C6342-1</f>
        <v>2.8359560105504222E-3</v>
      </c>
      <c r="H6343" s="2">
        <f t="shared" si="297"/>
        <v>202.85000000000218</v>
      </c>
      <c r="I6343" s="3">
        <f t="shared" si="298"/>
        <v>1.1352983481227263E-2</v>
      </c>
    </row>
    <row r="6344" spans="2:9" x14ac:dyDescent="0.25">
      <c r="B6344" s="1">
        <v>44481</v>
      </c>
      <c r="C6344" s="2">
        <v>17991.95</v>
      </c>
      <c r="D6344" s="2">
        <v>17915.8</v>
      </c>
      <c r="E6344" s="2">
        <v>18008.650000000001</v>
      </c>
      <c r="F6344" s="2">
        <v>17864.95</v>
      </c>
      <c r="G6344" s="3">
        <f t="shared" si="299"/>
        <v>2.5632524330001516E-3</v>
      </c>
      <c r="H6344" s="2">
        <f t="shared" si="297"/>
        <v>143.70000000000073</v>
      </c>
      <c r="I6344" s="3">
        <f t="shared" si="298"/>
        <v>8.0208531017314736E-3</v>
      </c>
    </row>
    <row r="6345" spans="2:9" x14ac:dyDescent="0.25">
      <c r="B6345" s="1">
        <v>44482</v>
      </c>
      <c r="C6345" s="2">
        <v>18161.75</v>
      </c>
      <c r="D6345" s="2">
        <v>18097.849999999999</v>
      </c>
      <c r="E6345" s="2">
        <v>18197.8</v>
      </c>
      <c r="F6345" s="2">
        <v>18050.75</v>
      </c>
      <c r="G6345" s="3">
        <f t="shared" si="299"/>
        <v>9.4375540172131345E-3</v>
      </c>
      <c r="H6345" s="2">
        <f t="shared" si="297"/>
        <v>147.04999999999927</v>
      </c>
      <c r="I6345" s="3">
        <f t="shared" si="298"/>
        <v>8.125274549186743E-3</v>
      </c>
    </row>
    <row r="6346" spans="2:9" x14ac:dyDescent="0.25">
      <c r="B6346" s="1">
        <v>44483</v>
      </c>
      <c r="C6346" s="2">
        <v>18338.55</v>
      </c>
      <c r="D6346" s="2">
        <v>18272.849999999999</v>
      </c>
      <c r="E6346" s="2">
        <v>18350.75</v>
      </c>
      <c r="F6346" s="2">
        <v>18248.7</v>
      </c>
      <c r="G6346" s="3">
        <f t="shared" si="299"/>
        <v>9.7347447244895413E-3</v>
      </c>
      <c r="H6346" s="2">
        <f t="shared" si="297"/>
        <v>102.04999999999927</v>
      </c>
      <c r="I6346" s="3">
        <f t="shared" si="298"/>
        <v>5.5847883608741537E-3</v>
      </c>
    </row>
    <row r="6347" spans="2:9" x14ac:dyDescent="0.25">
      <c r="B6347" s="1">
        <v>44487</v>
      </c>
      <c r="C6347" s="2">
        <v>18477.05</v>
      </c>
      <c r="D6347" s="2">
        <v>18500.099999999999</v>
      </c>
      <c r="E6347" s="2">
        <v>18543.150000000001</v>
      </c>
      <c r="F6347" s="2">
        <v>18445.3</v>
      </c>
      <c r="G6347" s="3">
        <f t="shared" si="299"/>
        <v>7.5523964544634836E-3</v>
      </c>
      <c r="H6347" s="2">
        <f t="shared" si="297"/>
        <v>97.850000000002183</v>
      </c>
      <c r="I6347" s="3">
        <f t="shared" si="298"/>
        <v>5.289160599132015E-3</v>
      </c>
    </row>
    <row r="6348" spans="2:9" x14ac:dyDescent="0.25">
      <c r="B6348" s="1">
        <v>44488</v>
      </c>
      <c r="C6348" s="2">
        <v>18418.75</v>
      </c>
      <c r="D6348" s="2">
        <v>18602.349999999999</v>
      </c>
      <c r="E6348" s="2">
        <v>18604.45</v>
      </c>
      <c r="F6348" s="2">
        <v>18377.7</v>
      </c>
      <c r="G6348" s="3">
        <f t="shared" si="299"/>
        <v>-3.1552655862272516E-3</v>
      </c>
      <c r="H6348" s="2">
        <f t="shared" si="297"/>
        <v>226.75</v>
      </c>
      <c r="I6348" s="3">
        <f t="shared" si="298"/>
        <v>1.2189320166538099E-2</v>
      </c>
    </row>
    <row r="6349" spans="2:9" x14ac:dyDescent="0.25">
      <c r="B6349" s="1">
        <v>44489</v>
      </c>
      <c r="C6349" s="2">
        <v>18266.599999999999</v>
      </c>
      <c r="D6349" s="2">
        <v>18439.900000000001</v>
      </c>
      <c r="E6349" s="2">
        <v>18458.3</v>
      </c>
      <c r="F6349" s="2">
        <v>18209.349999999999</v>
      </c>
      <c r="G6349" s="3">
        <f t="shared" si="299"/>
        <v>-8.2606040040720252E-3</v>
      </c>
      <c r="H6349" s="2">
        <f t="shared" si="297"/>
        <v>248.95000000000073</v>
      </c>
      <c r="I6349" s="3">
        <f t="shared" si="298"/>
        <v>1.350061551309935E-2</v>
      </c>
    </row>
    <row r="6350" spans="2:9" x14ac:dyDescent="0.25">
      <c r="B6350" s="1">
        <v>44490</v>
      </c>
      <c r="C6350" s="2">
        <v>18178.099999999999</v>
      </c>
      <c r="D6350" s="2">
        <v>18382.7</v>
      </c>
      <c r="E6350" s="2">
        <v>18384.2</v>
      </c>
      <c r="F6350" s="2">
        <v>18048</v>
      </c>
      <c r="G6350" s="3">
        <f t="shared" si="299"/>
        <v>-4.8449081930955762E-3</v>
      </c>
      <c r="H6350" s="2">
        <f t="shared" si="297"/>
        <v>336.20000000000073</v>
      </c>
      <c r="I6350" s="3">
        <f t="shared" si="298"/>
        <v>1.8288934704912808E-2</v>
      </c>
    </row>
    <row r="6351" spans="2:9" x14ac:dyDescent="0.25">
      <c r="B6351" s="1">
        <v>44491</v>
      </c>
      <c r="C6351" s="2">
        <v>18114.900000000001</v>
      </c>
      <c r="D6351" s="2">
        <v>18230.7</v>
      </c>
      <c r="E6351" s="2">
        <v>18314.25</v>
      </c>
      <c r="F6351" s="2">
        <v>18034.349999999999</v>
      </c>
      <c r="G6351" s="3">
        <f t="shared" si="299"/>
        <v>-3.4767109873967694E-3</v>
      </c>
      <c r="H6351" s="2">
        <f t="shared" si="297"/>
        <v>279.90000000000146</v>
      </c>
      <c r="I6351" s="3">
        <f t="shared" si="298"/>
        <v>1.5353222860340056E-2</v>
      </c>
    </row>
    <row r="6352" spans="2:9" x14ac:dyDescent="0.25">
      <c r="B6352" s="1">
        <v>44494</v>
      </c>
      <c r="C6352" s="2">
        <v>18125.400000000001</v>
      </c>
      <c r="D6352" s="2">
        <v>18229.5</v>
      </c>
      <c r="E6352" s="2">
        <v>18241.400000000001</v>
      </c>
      <c r="F6352" s="2">
        <v>17968.5</v>
      </c>
      <c r="G6352" s="3">
        <f t="shared" si="299"/>
        <v>5.7963334050969983E-4</v>
      </c>
      <c r="H6352" s="2">
        <f t="shared" si="297"/>
        <v>272.90000000000146</v>
      </c>
      <c r="I6352" s="3">
        <f t="shared" si="298"/>
        <v>1.4970240544172987E-2</v>
      </c>
    </row>
    <row r="6353" spans="2:9" x14ac:dyDescent="0.25">
      <c r="B6353" s="1">
        <v>44495</v>
      </c>
      <c r="C6353" s="2">
        <v>18268.400000000001</v>
      </c>
      <c r="D6353" s="2">
        <v>18154.5</v>
      </c>
      <c r="E6353" s="2">
        <v>18310.45</v>
      </c>
      <c r="F6353" s="2">
        <v>18099.3</v>
      </c>
      <c r="G6353" s="3">
        <f t="shared" si="299"/>
        <v>7.8894810597283094E-3</v>
      </c>
      <c r="H6353" s="2">
        <f t="shared" si="297"/>
        <v>211.15000000000146</v>
      </c>
      <c r="I6353" s="3">
        <f t="shared" si="298"/>
        <v>1.1630725164559831E-2</v>
      </c>
    </row>
    <row r="6354" spans="2:9" x14ac:dyDescent="0.25">
      <c r="B6354" s="1">
        <v>44496</v>
      </c>
      <c r="C6354" s="2">
        <v>18210.95</v>
      </c>
      <c r="D6354" s="2">
        <v>18295.849999999999</v>
      </c>
      <c r="E6354" s="2">
        <v>18342.05</v>
      </c>
      <c r="F6354" s="2">
        <v>18167.900000000001</v>
      </c>
      <c r="G6354" s="3">
        <f t="shared" si="299"/>
        <v>-3.1447745834337626E-3</v>
      </c>
      <c r="H6354" s="2">
        <f t="shared" si="297"/>
        <v>174.14999999999782</v>
      </c>
      <c r="I6354" s="3">
        <f t="shared" si="298"/>
        <v>9.5185520213599169E-3</v>
      </c>
    </row>
    <row r="6355" spans="2:9" x14ac:dyDescent="0.25">
      <c r="B6355" s="1">
        <v>44497</v>
      </c>
      <c r="C6355" s="2">
        <v>17857.25</v>
      </c>
      <c r="D6355" s="2">
        <v>18187.650000000001</v>
      </c>
      <c r="E6355" s="2">
        <v>18190.7</v>
      </c>
      <c r="F6355" s="2">
        <v>17799.45</v>
      </c>
      <c r="G6355" s="3">
        <f t="shared" si="299"/>
        <v>-1.9422380490858537E-2</v>
      </c>
      <c r="H6355" s="2">
        <f t="shared" si="297"/>
        <v>391.25</v>
      </c>
      <c r="I6355" s="3">
        <f t="shared" si="298"/>
        <v>2.1511850074088734E-2</v>
      </c>
    </row>
    <row r="6356" spans="2:9" x14ac:dyDescent="0.25">
      <c r="B6356" s="1">
        <v>44498</v>
      </c>
      <c r="C6356" s="2">
        <v>17671.650000000001</v>
      </c>
      <c r="D6356" s="2">
        <v>17833.05</v>
      </c>
      <c r="E6356" s="2">
        <v>17915.849999999999</v>
      </c>
      <c r="F6356" s="2">
        <v>17613.099999999999</v>
      </c>
      <c r="G6356" s="3">
        <f t="shared" si="299"/>
        <v>-1.0393537638774042E-2</v>
      </c>
      <c r="H6356" s="2">
        <f t="shared" si="297"/>
        <v>302.75</v>
      </c>
      <c r="I6356" s="3">
        <f t="shared" si="298"/>
        <v>1.6976905240550552E-2</v>
      </c>
    </row>
    <row r="6357" spans="2:9" x14ac:dyDescent="0.25">
      <c r="B6357" s="1">
        <v>44501</v>
      </c>
      <c r="C6357" s="2">
        <v>17929.650000000001</v>
      </c>
      <c r="D6357" s="2">
        <v>17783.150000000001</v>
      </c>
      <c r="E6357" s="2">
        <v>17954.099999999999</v>
      </c>
      <c r="F6357" s="2">
        <v>17697.099999999999</v>
      </c>
      <c r="G6357" s="3">
        <f t="shared" si="299"/>
        <v>1.4599655380227672E-2</v>
      </c>
      <c r="H6357" s="2">
        <f t="shared" si="297"/>
        <v>257</v>
      </c>
      <c r="I6357" s="3">
        <f t="shared" si="298"/>
        <v>1.4451882821659828E-2</v>
      </c>
    </row>
    <row r="6358" spans="2:9" x14ac:dyDescent="0.25">
      <c r="B6358" s="1">
        <v>44502</v>
      </c>
      <c r="C6358" s="2">
        <v>17888.95</v>
      </c>
      <c r="D6358" s="2">
        <v>17970.900000000001</v>
      </c>
      <c r="E6358" s="2">
        <v>18012.25</v>
      </c>
      <c r="F6358" s="2">
        <v>17847.599999999999</v>
      </c>
      <c r="G6358" s="3">
        <f t="shared" si="299"/>
        <v>-2.2699829611844136E-3</v>
      </c>
      <c r="H6358" s="2">
        <f t="shared" si="297"/>
        <v>164.65000000000146</v>
      </c>
      <c r="I6358" s="3">
        <f t="shared" si="298"/>
        <v>9.1620341774758876E-3</v>
      </c>
    </row>
    <row r="6359" spans="2:9" x14ac:dyDescent="0.25">
      <c r="B6359" s="1">
        <v>44503</v>
      </c>
      <c r="C6359" s="2">
        <v>17829.2</v>
      </c>
      <c r="D6359" s="2">
        <v>17947.95</v>
      </c>
      <c r="E6359" s="2">
        <v>17988.75</v>
      </c>
      <c r="F6359" s="2">
        <v>17757.95</v>
      </c>
      <c r="G6359" s="3">
        <f t="shared" si="299"/>
        <v>-3.3400507016901892E-3</v>
      </c>
      <c r="H6359" s="2">
        <f t="shared" si="297"/>
        <v>230.79999999999927</v>
      </c>
      <c r="I6359" s="3">
        <f t="shared" si="298"/>
        <v>1.2859407341785511E-2</v>
      </c>
    </row>
    <row r="6360" spans="2:9" x14ac:dyDescent="0.25">
      <c r="B6360" s="1">
        <v>44504</v>
      </c>
      <c r="C6360" s="2">
        <v>17916.8</v>
      </c>
      <c r="D6360" s="2">
        <v>17935.05</v>
      </c>
      <c r="E6360" s="2">
        <v>17947.55</v>
      </c>
      <c r="F6360" s="2">
        <v>17900.599999999999</v>
      </c>
      <c r="G6360" s="3">
        <f t="shared" si="299"/>
        <v>4.913288313552977E-3</v>
      </c>
      <c r="H6360" s="2">
        <f t="shared" si="297"/>
        <v>46.950000000000728</v>
      </c>
      <c r="I6360" s="3">
        <f t="shared" si="298"/>
        <v>2.6177791531108489E-3</v>
      </c>
    </row>
    <row r="6361" spans="2:9" x14ac:dyDescent="0.25">
      <c r="B6361" s="1">
        <v>44508</v>
      </c>
      <c r="C6361" s="2">
        <v>18068.55</v>
      </c>
      <c r="D6361" s="2">
        <v>18040.2</v>
      </c>
      <c r="E6361" s="2">
        <v>18087.8</v>
      </c>
      <c r="F6361" s="2">
        <v>17836.099999999999</v>
      </c>
      <c r="G6361" s="3">
        <f t="shared" si="299"/>
        <v>8.469704411502077E-3</v>
      </c>
      <c r="H6361" s="2">
        <f t="shared" si="297"/>
        <v>251.70000000000073</v>
      </c>
      <c r="I6361" s="3">
        <f t="shared" si="298"/>
        <v>1.395217347922976E-2</v>
      </c>
    </row>
    <row r="6362" spans="2:9" x14ac:dyDescent="0.25">
      <c r="B6362" s="1">
        <v>44509</v>
      </c>
      <c r="C6362" s="2">
        <v>18044.25</v>
      </c>
      <c r="D6362" s="2">
        <v>18084.349999999999</v>
      </c>
      <c r="E6362" s="2">
        <v>18112.599999999999</v>
      </c>
      <c r="F6362" s="2">
        <v>17983.05</v>
      </c>
      <c r="G6362" s="3">
        <f t="shared" si="299"/>
        <v>-1.3448782553109329E-3</v>
      </c>
      <c r="H6362" s="2">
        <f t="shared" si="297"/>
        <v>129.54999999999927</v>
      </c>
      <c r="I6362" s="3">
        <f t="shared" si="298"/>
        <v>7.163652550409569E-3</v>
      </c>
    </row>
    <row r="6363" spans="2:9" x14ac:dyDescent="0.25">
      <c r="B6363" s="1">
        <v>44510</v>
      </c>
      <c r="C6363" s="2">
        <v>18017.2</v>
      </c>
      <c r="D6363" s="2">
        <v>17973.45</v>
      </c>
      <c r="E6363" s="2">
        <v>18061.25</v>
      </c>
      <c r="F6363" s="2">
        <v>17915</v>
      </c>
      <c r="G6363" s="3">
        <f t="shared" si="299"/>
        <v>-1.4990925086938445E-3</v>
      </c>
      <c r="H6363" s="2">
        <f t="shared" si="297"/>
        <v>146.25</v>
      </c>
      <c r="I6363" s="3">
        <f t="shared" si="298"/>
        <v>8.1370020780651454E-3</v>
      </c>
    </row>
    <row r="6364" spans="2:9" x14ac:dyDescent="0.25">
      <c r="B6364" s="1">
        <v>44511</v>
      </c>
      <c r="C6364" s="2">
        <v>17873.599999999999</v>
      </c>
      <c r="D6364" s="2">
        <v>17967.45</v>
      </c>
      <c r="E6364" s="2">
        <v>17971.349999999999</v>
      </c>
      <c r="F6364" s="2">
        <v>17798.2</v>
      </c>
      <c r="G6364" s="3">
        <f t="shared" si="299"/>
        <v>-7.9701618453479339E-3</v>
      </c>
      <c r="H6364" s="2">
        <f t="shared" si="297"/>
        <v>173.14999999999782</v>
      </c>
      <c r="I6364" s="3">
        <f t="shared" si="298"/>
        <v>9.6368711197191478E-3</v>
      </c>
    </row>
    <row r="6365" spans="2:9" x14ac:dyDescent="0.25">
      <c r="B6365" s="1">
        <v>44512</v>
      </c>
      <c r="C6365" s="2">
        <v>18102.75</v>
      </c>
      <c r="D6365" s="2">
        <v>17977.599999999999</v>
      </c>
      <c r="E6365" s="2">
        <v>18123</v>
      </c>
      <c r="F6365" s="2">
        <v>17905.900000000001</v>
      </c>
      <c r="G6365" s="3">
        <f t="shared" si="299"/>
        <v>1.2820584549279479E-2</v>
      </c>
      <c r="H6365" s="2">
        <f t="shared" si="297"/>
        <v>217.09999999999854</v>
      </c>
      <c r="I6365" s="3">
        <f t="shared" si="298"/>
        <v>1.2076139195443139E-2</v>
      </c>
    </row>
    <row r="6366" spans="2:9" x14ac:dyDescent="0.25">
      <c r="B6366" s="1">
        <v>44515</v>
      </c>
      <c r="C6366" s="2">
        <v>18109.45</v>
      </c>
      <c r="D6366" s="2">
        <v>18140.95</v>
      </c>
      <c r="E6366" s="2">
        <v>18210.150000000001</v>
      </c>
      <c r="F6366" s="2">
        <v>18071.3</v>
      </c>
      <c r="G6366" s="3">
        <f t="shared" si="299"/>
        <v>3.7010951374805146E-4</v>
      </c>
      <c r="H6366" s="2">
        <f t="shared" si="297"/>
        <v>138.85000000000218</v>
      </c>
      <c r="I6366" s="3">
        <f t="shared" si="298"/>
        <v>7.6539541754980954E-3</v>
      </c>
    </row>
    <row r="6367" spans="2:9" x14ac:dyDescent="0.25">
      <c r="B6367" s="1">
        <v>44516</v>
      </c>
      <c r="C6367" s="2">
        <v>17999.2</v>
      </c>
      <c r="D6367" s="2">
        <v>18127.05</v>
      </c>
      <c r="E6367" s="2">
        <v>18132.650000000001</v>
      </c>
      <c r="F6367" s="2">
        <v>17958.8</v>
      </c>
      <c r="G6367" s="3">
        <f t="shared" si="299"/>
        <v>-6.0879816891180605E-3</v>
      </c>
      <c r="H6367" s="2">
        <f t="shared" si="297"/>
        <v>173.85000000000218</v>
      </c>
      <c r="I6367" s="3">
        <f t="shared" si="298"/>
        <v>9.5906394035434449E-3</v>
      </c>
    </row>
    <row r="6368" spans="2:9" x14ac:dyDescent="0.25">
      <c r="B6368" s="1">
        <v>44517</v>
      </c>
      <c r="C6368" s="2">
        <v>17898.650000000001</v>
      </c>
      <c r="D6368" s="2">
        <v>17939.349999999999</v>
      </c>
      <c r="E6368" s="2">
        <v>18022.650000000001</v>
      </c>
      <c r="F6368" s="2">
        <v>17879.25</v>
      </c>
      <c r="G6368" s="3">
        <f t="shared" si="299"/>
        <v>-5.5863593937507394E-3</v>
      </c>
      <c r="H6368" s="2">
        <f t="shared" si="297"/>
        <v>143.40000000000146</v>
      </c>
      <c r="I6368" s="3">
        <f t="shared" si="298"/>
        <v>7.9936006600016991E-3</v>
      </c>
    </row>
    <row r="6369" spans="2:9" x14ac:dyDescent="0.25">
      <c r="B6369" s="1">
        <v>44518</v>
      </c>
      <c r="C6369" s="2">
        <v>17764.8</v>
      </c>
      <c r="D6369" s="2">
        <v>17890.55</v>
      </c>
      <c r="E6369" s="2">
        <v>17945.599999999999</v>
      </c>
      <c r="F6369" s="2">
        <v>17688.5</v>
      </c>
      <c r="G6369" s="3">
        <f t="shared" si="299"/>
        <v>-7.4782176309388104E-3</v>
      </c>
      <c r="H6369" s="2">
        <f t="shared" si="297"/>
        <v>257.09999999999854</v>
      </c>
      <c r="I6369" s="3">
        <f t="shared" si="298"/>
        <v>1.437071526588051E-2</v>
      </c>
    </row>
    <row r="6370" spans="2:9" x14ac:dyDescent="0.25">
      <c r="B6370" s="1">
        <v>44522</v>
      </c>
      <c r="C6370" s="2">
        <v>17416.55</v>
      </c>
      <c r="D6370" s="2">
        <v>17796.25</v>
      </c>
      <c r="E6370" s="2">
        <v>17805.25</v>
      </c>
      <c r="F6370" s="2">
        <v>17280.45</v>
      </c>
      <c r="G6370" s="3">
        <f t="shared" si="299"/>
        <v>-1.9603372962262444E-2</v>
      </c>
      <c r="H6370" s="2">
        <f t="shared" si="297"/>
        <v>524.79999999999927</v>
      </c>
      <c r="I6370" s="3">
        <f t="shared" si="298"/>
        <v>2.9489358713212011E-2</v>
      </c>
    </row>
    <row r="6371" spans="2:9" x14ac:dyDescent="0.25">
      <c r="B6371" s="1">
        <v>44523</v>
      </c>
      <c r="C6371" s="2">
        <v>17503.349999999999</v>
      </c>
      <c r="D6371" s="2">
        <v>17281.75</v>
      </c>
      <c r="E6371" s="2">
        <v>17553.7</v>
      </c>
      <c r="F6371" s="2">
        <v>17216.099999999999</v>
      </c>
      <c r="G6371" s="3">
        <f t="shared" si="299"/>
        <v>4.9837654414910393E-3</v>
      </c>
      <c r="H6371" s="2">
        <f t="shared" si="297"/>
        <v>337.60000000000218</v>
      </c>
      <c r="I6371" s="3">
        <f t="shared" si="298"/>
        <v>1.9535058660147393E-2</v>
      </c>
    </row>
    <row r="6372" spans="2:9" x14ac:dyDescent="0.25">
      <c r="B6372" s="1">
        <v>44524</v>
      </c>
      <c r="C6372" s="2">
        <v>17415.05</v>
      </c>
      <c r="D6372" s="2">
        <v>17550.05</v>
      </c>
      <c r="E6372" s="2">
        <v>17600.599999999999</v>
      </c>
      <c r="F6372" s="2">
        <v>17354</v>
      </c>
      <c r="G6372" s="3">
        <f t="shared" si="299"/>
        <v>-5.0447485767010081E-3</v>
      </c>
      <c r="H6372" s="2">
        <f t="shared" si="297"/>
        <v>246.59999999999854</v>
      </c>
      <c r="I6372" s="3">
        <f t="shared" si="298"/>
        <v>1.4051242019253424E-2</v>
      </c>
    </row>
    <row r="6373" spans="2:9" x14ac:dyDescent="0.25">
      <c r="B6373" s="1">
        <v>44525</v>
      </c>
      <c r="C6373" s="2">
        <v>17536.25</v>
      </c>
      <c r="D6373" s="2">
        <v>17417.3</v>
      </c>
      <c r="E6373" s="2">
        <v>17564.349999999999</v>
      </c>
      <c r="F6373" s="2">
        <v>17351.7</v>
      </c>
      <c r="G6373" s="3">
        <f t="shared" si="299"/>
        <v>6.959497675860904E-3</v>
      </c>
      <c r="H6373" s="2">
        <f t="shared" si="297"/>
        <v>212.64999999999782</v>
      </c>
      <c r="I6373" s="3">
        <f t="shared" si="298"/>
        <v>1.2209125409793586E-2</v>
      </c>
    </row>
    <row r="6374" spans="2:9" x14ac:dyDescent="0.25">
      <c r="B6374" s="1">
        <v>44526</v>
      </c>
      <c r="C6374" s="2">
        <v>17026.45</v>
      </c>
      <c r="D6374" s="2">
        <v>17338.75</v>
      </c>
      <c r="E6374" s="2">
        <v>17355.400000000001</v>
      </c>
      <c r="F6374" s="2">
        <v>16985.7</v>
      </c>
      <c r="G6374" s="3">
        <f t="shared" si="299"/>
        <v>-2.9071209637180129E-2</v>
      </c>
      <c r="H6374" s="2">
        <f t="shared" si="297"/>
        <v>369.70000000000073</v>
      </c>
      <c r="I6374" s="3">
        <f t="shared" si="298"/>
        <v>2.1322182971667551E-2</v>
      </c>
    </row>
    <row r="6375" spans="2:9" x14ac:dyDescent="0.25">
      <c r="B6375" s="1">
        <v>44529</v>
      </c>
      <c r="C6375" s="2">
        <v>17053.95</v>
      </c>
      <c r="D6375" s="2">
        <v>17055.8</v>
      </c>
      <c r="E6375" s="2">
        <v>17160.7</v>
      </c>
      <c r="F6375" s="2">
        <v>16782.400000000001</v>
      </c>
      <c r="G6375" s="3">
        <f t="shared" si="299"/>
        <v>1.6151341001793273E-3</v>
      </c>
      <c r="H6375" s="2">
        <f t="shared" si="297"/>
        <v>378.29999999999927</v>
      </c>
      <c r="I6375" s="3">
        <f t="shared" si="298"/>
        <v>2.2180138134827995E-2</v>
      </c>
    </row>
    <row r="6376" spans="2:9" x14ac:dyDescent="0.25">
      <c r="B6376" s="1">
        <v>44530</v>
      </c>
      <c r="C6376" s="2">
        <v>16983.2</v>
      </c>
      <c r="D6376" s="2">
        <v>17051.150000000001</v>
      </c>
      <c r="E6376" s="2">
        <v>17324.650000000001</v>
      </c>
      <c r="F6376" s="2">
        <v>16931.400000000001</v>
      </c>
      <c r="G6376" s="3">
        <f t="shared" si="299"/>
        <v>-4.1485990049225929E-3</v>
      </c>
      <c r="H6376" s="2">
        <f t="shared" si="297"/>
        <v>393.25</v>
      </c>
      <c r="I6376" s="3">
        <f t="shared" si="298"/>
        <v>2.3062960562777287E-2</v>
      </c>
    </row>
    <row r="6377" spans="2:9" x14ac:dyDescent="0.25">
      <c r="B6377" s="1">
        <v>44531</v>
      </c>
      <c r="C6377" s="2">
        <v>17166.900000000001</v>
      </c>
      <c r="D6377" s="2">
        <v>17104.400000000001</v>
      </c>
      <c r="E6377" s="2">
        <v>17213.05</v>
      </c>
      <c r="F6377" s="2">
        <v>17064.25</v>
      </c>
      <c r="G6377" s="3">
        <f t="shared" si="299"/>
        <v>1.0816571670827724E-2</v>
      </c>
      <c r="H6377" s="2">
        <f t="shared" si="297"/>
        <v>148.79999999999927</v>
      </c>
      <c r="I6377" s="3">
        <f t="shared" si="298"/>
        <v>8.699515914033772E-3</v>
      </c>
    </row>
    <row r="6378" spans="2:9" x14ac:dyDescent="0.25">
      <c r="B6378" s="1">
        <v>44532</v>
      </c>
      <c r="C6378" s="2">
        <v>17401.650000000001</v>
      </c>
      <c r="D6378" s="2">
        <v>17183.2</v>
      </c>
      <c r="E6378" s="2">
        <v>17420.349999999999</v>
      </c>
      <c r="F6378" s="2">
        <v>17149.3</v>
      </c>
      <c r="G6378" s="3">
        <f t="shared" si="299"/>
        <v>1.3674571413592407E-2</v>
      </c>
      <c r="H6378" s="2">
        <f t="shared" si="297"/>
        <v>271.04999999999927</v>
      </c>
      <c r="I6378" s="3">
        <f t="shared" si="298"/>
        <v>1.5774128218259652E-2</v>
      </c>
    </row>
    <row r="6379" spans="2:9" x14ac:dyDescent="0.25">
      <c r="B6379" s="1">
        <v>44533</v>
      </c>
      <c r="C6379" s="2">
        <v>17196.7</v>
      </c>
      <c r="D6379" s="2">
        <v>17424.900000000001</v>
      </c>
      <c r="E6379" s="2">
        <v>17489.8</v>
      </c>
      <c r="F6379" s="2">
        <v>17180.8</v>
      </c>
      <c r="G6379" s="3">
        <f t="shared" si="299"/>
        <v>-1.1777618789022948E-2</v>
      </c>
      <c r="H6379" s="2">
        <f t="shared" si="297"/>
        <v>309</v>
      </c>
      <c r="I6379" s="3">
        <f t="shared" si="298"/>
        <v>1.7733243806277221E-2</v>
      </c>
    </row>
    <row r="6380" spans="2:9" x14ac:dyDescent="0.25">
      <c r="B6380" s="1">
        <v>44536</v>
      </c>
      <c r="C6380" s="2">
        <v>16912.25</v>
      </c>
      <c r="D6380" s="2">
        <v>17209.05</v>
      </c>
      <c r="E6380" s="2">
        <v>17216.75</v>
      </c>
      <c r="F6380" s="2">
        <v>16891.7</v>
      </c>
      <c r="G6380" s="3">
        <f t="shared" si="299"/>
        <v>-1.6540964254769808E-2</v>
      </c>
      <c r="H6380" s="2">
        <f t="shared" si="297"/>
        <v>325.04999999999927</v>
      </c>
      <c r="I6380" s="3">
        <f t="shared" si="298"/>
        <v>1.888831748411442E-2</v>
      </c>
    </row>
    <row r="6381" spans="2:9" x14ac:dyDescent="0.25">
      <c r="B6381" s="1">
        <v>44537</v>
      </c>
      <c r="C6381" s="2">
        <v>17176.7</v>
      </c>
      <c r="D6381" s="2">
        <v>17044.099999999999</v>
      </c>
      <c r="E6381" s="2">
        <v>17251.650000000001</v>
      </c>
      <c r="F6381" s="2">
        <v>16987.75</v>
      </c>
      <c r="G6381" s="3">
        <f t="shared" si="299"/>
        <v>1.5636594775976009E-2</v>
      </c>
      <c r="H6381" s="2">
        <f t="shared" si="297"/>
        <v>263.90000000000146</v>
      </c>
      <c r="I6381" s="3">
        <f t="shared" si="298"/>
        <v>1.5483363744638995E-2</v>
      </c>
    </row>
    <row r="6382" spans="2:9" x14ac:dyDescent="0.25">
      <c r="B6382" s="1">
        <v>44538</v>
      </c>
      <c r="C6382" s="2">
        <v>17469.75</v>
      </c>
      <c r="D6382" s="2">
        <v>17315.25</v>
      </c>
      <c r="E6382" s="2">
        <v>17484.599999999999</v>
      </c>
      <c r="F6382" s="2">
        <v>17308.95</v>
      </c>
      <c r="G6382" s="3">
        <f t="shared" si="299"/>
        <v>1.7060902268771105E-2</v>
      </c>
      <c r="H6382" s="2">
        <f t="shared" si="297"/>
        <v>175.64999999999782</v>
      </c>
      <c r="I6382" s="3">
        <f t="shared" si="298"/>
        <v>1.0144237016502668E-2</v>
      </c>
    </row>
    <row r="6383" spans="2:9" x14ac:dyDescent="0.25">
      <c r="B6383" s="1">
        <v>44539</v>
      </c>
      <c r="C6383" s="2">
        <v>17516.849999999999</v>
      </c>
      <c r="D6383" s="2">
        <v>17524.400000000001</v>
      </c>
      <c r="E6383" s="2">
        <v>17543.25</v>
      </c>
      <c r="F6383" s="2">
        <v>17379.599999999999</v>
      </c>
      <c r="G6383" s="3">
        <f t="shared" si="299"/>
        <v>2.6960889537628319E-3</v>
      </c>
      <c r="H6383" s="2">
        <f t="shared" si="297"/>
        <v>163.65000000000146</v>
      </c>
      <c r="I6383" s="3">
        <f t="shared" si="298"/>
        <v>9.3384081623337431E-3</v>
      </c>
    </row>
    <row r="6384" spans="2:9" x14ac:dyDescent="0.25">
      <c r="B6384" s="1">
        <v>44540</v>
      </c>
      <c r="C6384" s="2">
        <v>17511.3</v>
      </c>
      <c r="D6384" s="2">
        <v>17476.05</v>
      </c>
      <c r="E6384" s="2">
        <v>17534.349999999999</v>
      </c>
      <c r="F6384" s="2">
        <v>17405.25</v>
      </c>
      <c r="G6384" s="3">
        <f t="shared" si="299"/>
        <v>-3.1683778761593118E-4</v>
      </c>
      <c r="H6384" s="2">
        <f t="shared" si="297"/>
        <v>129.09999999999854</v>
      </c>
      <c r="I6384" s="3">
        <f t="shared" si="298"/>
        <v>7.3872528403156638E-3</v>
      </c>
    </row>
    <row r="6385" spans="2:9" x14ac:dyDescent="0.25">
      <c r="B6385" s="1">
        <v>44543</v>
      </c>
      <c r="C6385" s="2">
        <v>17368.25</v>
      </c>
      <c r="D6385" s="2">
        <v>17619.099999999999</v>
      </c>
      <c r="E6385" s="2">
        <v>17639.5</v>
      </c>
      <c r="F6385" s="2">
        <v>17355.95</v>
      </c>
      <c r="G6385" s="3">
        <f t="shared" si="299"/>
        <v>-8.1690108672685113E-3</v>
      </c>
      <c r="H6385" s="2">
        <f t="shared" si="297"/>
        <v>283.54999999999927</v>
      </c>
      <c r="I6385" s="3">
        <f t="shared" si="298"/>
        <v>1.6093330533341617E-2</v>
      </c>
    </row>
    <row r="6386" spans="2:9" x14ac:dyDescent="0.25">
      <c r="B6386" s="1">
        <v>44544</v>
      </c>
      <c r="C6386" s="2">
        <v>17324.900000000001</v>
      </c>
      <c r="D6386" s="2">
        <v>17283.2</v>
      </c>
      <c r="E6386" s="2">
        <v>17376.2</v>
      </c>
      <c r="F6386" s="2">
        <v>17225.8</v>
      </c>
      <c r="G6386" s="3">
        <f t="shared" si="299"/>
        <v>-2.4959336720740133E-3</v>
      </c>
      <c r="H6386" s="2">
        <f t="shared" si="297"/>
        <v>150.40000000000146</v>
      </c>
      <c r="I6386" s="3">
        <f t="shared" si="298"/>
        <v>8.7020922051472792E-3</v>
      </c>
    </row>
    <row r="6387" spans="2:9" x14ac:dyDescent="0.25">
      <c r="B6387" s="1">
        <v>44545</v>
      </c>
      <c r="C6387" s="2">
        <v>17221.400000000001</v>
      </c>
      <c r="D6387" s="2">
        <v>17323.650000000001</v>
      </c>
      <c r="E6387" s="2">
        <v>17351.2</v>
      </c>
      <c r="F6387" s="2">
        <v>17192.2</v>
      </c>
      <c r="G6387" s="3">
        <f t="shared" si="299"/>
        <v>-5.9740604563374156E-3</v>
      </c>
      <c r="H6387" s="2">
        <f t="shared" si="297"/>
        <v>159</v>
      </c>
      <c r="I6387" s="3">
        <f t="shared" si="298"/>
        <v>9.1782043622446758E-3</v>
      </c>
    </row>
    <row r="6388" spans="2:9" x14ac:dyDescent="0.25">
      <c r="B6388" s="1">
        <v>44546</v>
      </c>
      <c r="C6388" s="2">
        <v>17248.400000000001</v>
      </c>
      <c r="D6388" s="2">
        <v>17373</v>
      </c>
      <c r="E6388" s="2">
        <v>17379.349999999999</v>
      </c>
      <c r="F6388" s="2">
        <v>17184.95</v>
      </c>
      <c r="G6388" s="3">
        <f t="shared" si="299"/>
        <v>1.5678167860917469E-3</v>
      </c>
      <c r="H6388" s="2">
        <f t="shared" si="297"/>
        <v>194.39999999999782</v>
      </c>
      <c r="I6388" s="3">
        <f t="shared" si="298"/>
        <v>1.1189777240545548E-2</v>
      </c>
    </row>
    <row r="6389" spans="2:9" x14ac:dyDescent="0.25">
      <c r="B6389" s="1">
        <v>44547</v>
      </c>
      <c r="C6389" s="2">
        <v>16985.2</v>
      </c>
      <c r="D6389" s="2">
        <v>17276</v>
      </c>
      <c r="E6389" s="2">
        <v>17298.150000000001</v>
      </c>
      <c r="F6389" s="2">
        <v>16966.45</v>
      </c>
      <c r="G6389" s="3">
        <f t="shared" si="299"/>
        <v>-1.5259386377866946E-2</v>
      </c>
      <c r="H6389" s="2">
        <f t="shared" si="297"/>
        <v>331.70000000000073</v>
      </c>
      <c r="I6389" s="3">
        <f t="shared" si="298"/>
        <v>1.9200046307015554E-2</v>
      </c>
    </row>
    <row r="6390" spans="2:9" x14ac:dyDescent="0.25">
      <c r="B6390" s="1">
        <v>44550</v>
      </c>
      <c r="C6390" s="2">
        <v>16614.2</v>
      </c>
      <c r="D6390" s="2">
        <v>16824.25</v>
      </c>
      <c r="E6390" s="2">
        <v>16840.099999999999</v>
      </c>
      <c r="F6390" s="2">
        <v>16410.2</v>
      </c>
      <c r="G6390" s="3">
        <f t="shared" si="299"/>
        <v>-2.1842545274709746E-2</v>
      </c>
      <c r="H6390" s="2">
        <f t="shared" si="297"/>
        <v>429.89999999999782</v>
      </c>
      <c r="I6390" s="3">
        <f t="shared" si="298"/>
        <v>2.5552402038723734E-2</v>
      </c>
    </row>
    <row r="6391" spans="2:9" x14ac:dyDescent="0.25">
      <c r="B6391" s="1">
        <v>44551</v>
      </c>
      <c r="C6391" s="2">
        <v>16770.849999999999</v>
      </c>
      <c r="D6391" s="2">
        <v>16773.150000000001</v>
      </c>
      <c r="E6391" s="2">
        <v>16936.400000000001</v>
      </c>
      <c r="F6391" s="2">
        <v>16688.25</v>
      </c>
      <c r="G6391" s="3">
        <f t="shared" si="299"/>
        <v>9.4286814893282944E-3</v>
      </c>
      <c r="H6391" s="2">
        <f t="shared" si="297"/>
        <v>248.15000000000146</v>
      </c>
      <c r="I6391" s="3">
        <f t="shared" si="298"/>
        <v>1.4794478079549842E-2</v>
      </c>
    </row>
    <row r="6392" spans="2:9" x14ac:dyDescent="0.25">
      <c r="B6392" s="1">
        <v>44552</v>
      </c>
      <c r="C6392" s="2">
        <v>16955.45</v>
      </c>
      <c r="D6392" s="2">
        <v>16865.55</v>
      </c>
      <c r="E6392" s="2">
        <v>16971</v>
      </c>
      <c r="F6392" s="2">
        <v>16819.5</v>
      </c>
      <c r="G6392" s="3">
        <f t="shared" si="299"/>
        <v>1.1007194030117962E-2</v>
      </c>
      <c r="H6392" s="2">
        <f t="shared" si="297"/>
        <v>151.5</v>
      </c>
      <c r="I6392" s="3">
        <f t="shared" si="298"/>
        <v>8.9828081503419699E-3</v>
      </c>
    </row>
    <row r="6393" spans="2:9" x14ac:dyDescent="0.25">
      <c r="B6393" s="1">
        <v>44553</v>
      </c>
      <c r="C6393" s="2">
        <v>17072.599999999999</v>
      </c>
      <c r="D6393" s="2">
        <v>17066.8</v>
      </c>
      <c r="E6393" s="2">
        <v>17118.650000000001</v>
      </c>
      <c r="F6393" s="2">
        <v>17015.55</v>
      </c>
      <c r="G6393" s="3">
        <f t="shared" si="299"/>
        <v>6.9092828559547126E-3</v>
      </c>
      <c r="H6393" s="2">
        <f t="shared" si="297"/>
        <v>103.10000000000218</v>
      </c>
      <c r="I6393" s="3">
        <f t="shared" si="298"/>
        <v>6.0409684299342695E-3</v>
      </c>
    </row>
    <row r="6394" spans="2:9" x14ac:dyDescent="0.25">
      <c r="B6394" s="1">
        <v>44554</v>
      </c>
      <c r="C6394" s="2">
        <v>17003.75</v>
      </c>
      <c r="D6394" s="2">
        <v>17149.5</v>
      </c>
      <c r="E6394" s="2">
        <v>17155.599999999999</v>
      </c>
      <c r="F6394" s="2">
        <v>16909.599999999999</v>
      </c>
      <c r="G6394" s="3">
        <f t="shared" si="299"/>
        <v>-4.0327776671390536E-3</v>
      </c>
      <c r="H6394" s="2">
        <f t="shared" si="297"/>
        <v>246</v>
      </c>
      <c r="I6394" s="3">
        <f t="shared" si="298"/>
        <v>1.4344441528907549E-2</v>
      </c>
    </row>
    <row r="6395" spans="2:9" x14ac:dyDescent="0.25">
      <c r="B6395" s="1">
        <v>44557</v>
      </c>
      <c r="C6395" s="2">
        <v>17086.25</v>
      </c>
      <c r="D6395" s="2">
        <v>16937.75</v>
      </c>
      <c r="E6395" s="2">
        <v>17112.05</v>
      </c>
      <c r="F6395" s="2">
        <v>16833.2</v>
      </c>
      <c r="G6395" s="3">
        <f t="shared" si="299"/>
        <v>4.8518709108285041E-3</v>
      </c>
      <c r="H6395" s="2">
        <f t="shared" si="297"/>
        <v>278.84999999999854</v>
      </c>
      <c r="I6395" s="3">
        <f t="shared" si="298"/>
        <v>1.6463225635045892E-2</v>
      </c>
    </row>
    <row r="6396" spans="2:9" x14ac:dyDescent="0.25">
      <c r="B6396" s="1">
        <v>44558</v>
      </c>
      <c r="C6396" s="2">
        <v>17233.25</v>
      </c>
      <c r="D6396" s="2">
        <v>17177.599999999999</v>
      </c>
      <c r="E6396" s="2">
        <v>17250.25</v>
      </c>
      <c r="F6396" s="2">
        <v>17161.150000000001</v>
      </c>
      <c r="G6396" s="3">
        <f t="shared" si="299"/>
        <v>8.6034091740434526E-3</v>
      </c>
      <c r="H6396" s="2">
        <f t="shared" si="297"/>
        <v>89.099999999998545</v>
      </c>
      <c r="I6396" s="3">
        <f t="shared" si="298"/>
        <v>5.1869877049179483E-3</v>
      </c>
    </row>
    <row r="6397" spans="2:9" x14ac:dyDescent="0.25">
      <c r="B6397" s="1">
        <v>44559</v>
      </c>
      <c r="C6397" s="2">
        <v>17213.599999999999</v>
      </c>
      <c r="D6397" s="2">
        <v>17220.099999999999</v>
      </c>
      <c r="E6397" s="2">
        <v>17285.95</v>
      </c>
      <c r="F6397" s="2">
        <v>17176.650000000001</v>
      </c>
      <c r="G6397" s="3">
        <f t="shared" si="299"/>
        <v>-1.1402376220388533E-3</v>
      </c>
      <c r="H6397" s="2">
        <f t="shared" si="297"/>
        <v>109.29999999999927</v>
      </c>
      <c r="I6397" s="3">
        <f t="shared" si="298"/>
        <v>6.3472337559014923E-3</v>
      </c>
    </row>
    <row r="6398" spans="2:9" x14ac:dyDescent="0.25">
      <c r="B6398" s="1">
        <v>44560</v>
      </c>
      <c r="C6398" s="2">
        <v>17203.95</v>
      </c>
      <c r="D6398" s="2">
        <v>17201.45</v>
      </c>
      <c r="E6398" s="2">
        <v>17264.05</v>
      </c>
      <c r="F6398" s="2">
        <v>17146.349999999999</v>
      </c>
      <c r="G6398" s="3">
        <f t="shared" si="299"/>
        <v>-5.6060324394646699E-4</v>
      </c>
      <c r="H6398" s="2">
        <f t="shared" si="297"/>
        <v>117.70000000000073</v>
      </c>
      <c r="I6398" s="3">
        <f t="shared" si="298"/>
        <v>6.8424464216679829E-3</v>
      </c>
    </row>
    <row r="6399" spans="2:9" x14ac:dyDescent="0.25">
      <c r="B6399" s="1">
        <v>44561</v>
      </c>
      <c r="C6399" s="2">
        <v>17354.05</v>
      </c>
      <c r="D6399" s="2">
        <v>17244.5</v>
      </c>
      <c r="E6399" s="2">
        <v>17400.8</v>
      </c>
      <c r="F6399" s="2">
        <v>17238.5</v>
      </c>
      <c r="G6399" s="3">
        <f t="shared" si="299"/>
        <v>8.7247405392365529E-3</v>
      </c>
      <c r="H6399" s="2">
        <f t="shared" si="297"/>
        <v>162.29999999999927</v>
      </c>
      <c r="I6399" s="3">
        <f t="shared" si="298"/>
        <v>9.4116964829365456E-3</v>
      </c>
    </row>
    <row r="6400" spans="2:9" x14ac:dyDescent="0.25">
      <c r="B6400" s="1">
        <v>44564</v>
      </c>
      <c r="C6400" s="2">
        <v>17625.7</v>
      </c>
      <c r="D6400" s="2">
        <v>17387.150000000001</v>
      </c>
      <c r="E6400" s="2">
        <v>17646.650000000001</v>
      </c>
      <c r="F6400" s="2">
        <v>17383.3</v>
      </c>
      <c r="G6400" s="3">
        <f t="shared" si="299"/>
        <v>1.5653406553513438E-2</v>
      </c>
      <c r="H6400" s="2">
        <f t="shared" si="297"/>
        <v>263.35000000000218</v>
      </c>
      <c r="I6400" s="3">
        <f t="shared" si="298"/>
        <v>1.5146243058810798E-2</v>
      </c>
    </row>
    <row r="6401" spans="2:9" x14ac:dyDescent="0.25">
      <c r="B6401" s="1">
        <v>44565</v>
      </c>
      <c r="C6401" s="2">
        <v>17805.25</v>
      </c>
      <c r="D6401" s="2">
        <v>17681.400000000001</v>
      </c>
      <c r="E6401" s="2">
        <v>17827.599999999999</v>
      </c>
      <c r="F6401" s="2">
        <v>17593.55</v>
      </c>
      <c r="G6401" s="3">
        <f t="shared" si="299"/>
        <v>1.0186829459255531E-2</v>
      </c>
      <c r="H6401" s="2">
        <f t="shared" si="297"/>
        <v>234.04999999999927</v>
      </c>
      <c r="I6401" s="3">
        <f t="shared" si="298"/>
        <v>1.32370739873539E-2</v>
      </c>
    </row>
    <row r="6402" spans="2:9" x14ac:dyDescent="0.25">
      <c r="B6402" s="1">
        <v>44566</v>
      </c>
      <c r="C6402" s="2">
        <v>17925.25</v>
      </c>
      <c r="D6402" s="2">
        <v>17820.099999999999</v>
      </c>
      <c r="E6402" s="2">
        <v>17944.7</v>
      </c>
      <c r="F6402" s="2">
        <v>17748.849999999999</v>
      </c>
      <c r="G6402" s="3">
        <f t="shared" si="299"/>
        <v>6.7395852346920915E-3</v>
      </c>
      <c r="H6402" s="2">
        <f t="shared" si="297"/>
        <v>195.85000000000218</v>
      </c>
      <c r="I6402" s="3">
        <f t="shared" si="298"/>
        <v>1.0990398482612454E-2</v>
      </c>
    </row>
    <row r="6403" spans="2:9" x14ac:dyDescent="0.25">
      <c r="B6403" s="1">
        <v>44567</v>
      </c>
      <c r="C6403" s="2">
        <v>17745.900000000001</v>
      </c>
      <c r="D6403" s="2">
        <v>17768.5</v>
      </c>
      <c r="E6403" s="2">
        <v>17797.95</v>
      </c>
      <c r="F6403" s="2">
        <v>17655.55</v>
      </c>
      <c r="G6403" s="3">
        <f t="shared" si="299"/>
        <v>-1.0005439254682558E-2</v>
      </c>
      <c r="H6403" s="2">
        <f t="shared" si="297"/>
        <v>142.40000000000146</v>
      </c>
      <c r="I6403" s="3">
        <f t="shared" si="298"/>
        <v>8.0141824014408336E-3</v>
      </c>
    </row>
    <row r="6404" spans="2:9" x14ac:dyDescent="0.25">
      <c r="B6404" s="1">
        <v>44568</v>
      </c>
      <c r="C6404" s="2">
        <v>17812.7</v>
      </c>
      <c r="D6404" s="2">
        <v>17797.599999999999</v>
      </c>
      <c r="E6404" s="2">
        <v>17905</v>
      </c>
      <c r="F6404" s="2">
        <v>17704.55</v>
      </c>
      <c r="G6404" s="3">
        <f t="shared" si="299"/>
        <v>3.7642497703693767E-3</v>
      </c>
      <c r="H6404" s="2">
        <f t="shared" si="297"/>
        <v>200.45000000000073</v>
      </c>
      <c r="I6404" s="3">
        <f t="shared" si="298"/>
        <v>1.1262754528700542E-2</v>
      </c>
    </row>
    <row r="6405" spans="2:9" x14ac:dyDescent="0.25">
      <c r="B6405" s="1">
        <v>44571</v>
      </c>
      <c r="C6405" s="2">
        <v>18003.3</v>
      </c>
      <c r="D6405" s="2">
        <v>17913.3</v>
      </c>
      <c r="E6405" s="2">
        <v>18017.45</v>
      </c>
      <c r="F6405" s="2">
        <v>17879.150000000001</v>
      </c>
      <c r="G6405" s="3">
        <f t="shared" si="299"/>
        <v>1.0700230734251415E-2</v>
      </c>
      <c r="H6405" s="2">
        <f t="shared" ref="H6405:H6468" si="300">E6405-F6405</f>
        <v>138.29999999999927</v>
      </c>
      <c r="I6405" s="3">
        <f t="shared" si="298"/>
        <v>7.7205205071092025E-3</v>
      </c>
    </row>
    <row r="6406" spans="2:9" x14ac:dyDescent="0.25">
      <c r="B6406" s="1">
        <v>44572</v>
      </c>
      <c r="C6406" s="2">
        <v>18055.75</v>
      </c>
      <c r="D6406" s="2">
        <v>17997.75</v>
      </c>
      <c r="E6406" s="2">
        <v>18081.25</v>
      </c>
      <c r="F6406" s="2">
        <v>17964.400000000001</v>
      </c>
      <c r="G6406" s="3">
        <f t="shared" si="299"/>
        <v>2.9133547738471322E-3</v>
      </c>
      <c r="H6406" s="2">
        <f t="shared" si="300"/>
        <v>116.84999999999854</v>
      </c>
      <c r="I6406" s="3">
        <f t="shared" ref="I6406:I6469" si="301">H6406/D6406</f>
        <v>6.4924782264448918E-3</v>
      </c>
    </row>
    <row r="6407" spans="2:9" x14ac:dyDescent="0.25">
      <c r="B6407" s="1">
        <v>44573</v>
      </c>
      <c r="C6407" s="2">
        <v>18212.349999999999</v>
      </c>
      <c r="D6407" s="2">
        <v>18170.400000000001</v>
      </c>
      <c r="E6407" s="2">
        <v>18227.95</v>
      </c>
      <c r="F6407" s="2">
        <v>18128.8</v>
      </c>
      <c r="G6407" s="3">
        <f t="shared" ref="G6407:G6470" si="302">C6407/C6406-1</f>
        <v>8.6731373662130018E-3</v>
      </c>
      <c r="H6407" s="2">
        <f t="shared" si="300"/>
        <v>99.150000000001455</v>
      </c>
      <c r="I6407" s="3">
        <f t="shared" si="301"/>
        <v>5.4566767930261002E-3</v>
      </c>
    </row>
    <row r="6408" spans="2:9" x14ac:dyDescent="0.25">
      <c r="B6408" s="1">
        <v>44574</v>
      </c>
      <c r="C6408" s="2">
        <v>18257.8</v>
      </c>
      <c r="D6408" s="2">
        <v>18257</v>
      </c>
      <c r="E6408" s="2">
        <v>18272.25</v>
      </c>
      <c r="F6408" s="2">
        <v>18163.8</v>
      </c>
      <c r="G6408" s="3">
        <f t="shared" si="302"/>
        <v>2.495559331991748E-3</v>
      </c>
      <c r="H6408" s="2">
        <f t="shared" si="300"/>
        <v>108.45000000000073</v>
      </c>
      <c r="I6408" s="3">
        <f t="shared" si="301"/>
        <v>5.9401873254094715E-3</v>
      </c>
    </row>
    <row r="6409" spans="2:9" x14ac:dyDescent="0.25">
      <c r="B6409" s="1">
        <v>44575</v>
      </c>
      <c r="C6409" s="2">
        <v>18255.75</v>
      </c>
      <c r="D6409" s="2">
        <v>18185</v>
      </c>
      <c r="E6409" s="2">
        <v>18286.95</v>
      </c>
      <c r="F6409" s="2">
        <v>18119.650000000001</v>
      </c>
      <c r="G6409" s="3">
        <f t="shared" si="302"/>
        <v>-1.1228077862612817E-4</v>
      </c>
      <c r="H6409" s="2">
        <f t="shared" si="300"/>
        <v>167.29999999999927</v>
      </c>
      <c r="I6409" s="3">
        <f t="shared" si="301"/>
        <v>9.1998900192465927E-3</v>
      </c>
    </row>
    <row r="6410" spans="2:9" x14ac:dyDescent="0.25">
      <c r="B6410" s="1">
        <v>44578</v>
      </c>
      <c r="C6410" s="2">
        <v>18308.099999999999</v>
      </c>
      <c r="D6410" s="2">
        <v>18235.650000000001</v>
      </c>
      <c r="E6410" s="2">
        <v>18321.55</v>
      </c>
      <c r="F6410" s="2">
        <v>18228.75</v>
      </c>
      <c r="G6410" s="3">
        <f t="shared" si="302"/>
        <v>2.8675896635306231E-3</v>
      </c>
      <c r="H6410" s="2">
        <f t="shared" si="300"/>
        <v>92.799999999999272</v>
      </c>
      <c r="I6410" s="3">
        <f t="shared" si="301"/>
        <v>5.0889329417925476E-3</v>
      </c>
    </row>
    <row r="6411" spans="2:9" x14ac:dyDescent="0.25">
      <c r="B6411" s="1">
        <v>44579</v>
      </c>
      <c r="C6411" s="2">
        <v>18113.05</v>
      </c>
      <c r="D6411" s="2">
        <v>18337.2</v>
      </c>
      <c r="E6411" s="2">
        <v>18350.95</v>
      </c>
      <c r="F6411" s="2">
        <v>18085.900000000001</v>
      </c>
      <c r="G6411" s="3">
        <f t="shared" si="302"/>
        <v>-1.0653754349167821E-2</v>
      </c>
      <c r="H6411" s="2">
        <f t="shared" si="300"/>
        <v>265.04999999999927</v>
      </c>
      <c r="I6411" s="3">
        <f t="shared" si="301"/>
        <v>1.4454224199986872E-2</v>
      </c>
    </row>
    <row r="6412" spans="2:9" x14ac:dyDescent="0.25">
      <c r="B6412" s="1">
        <v>44580</v>
      </c>
      <c r="C6412" s="2">
        <v>17938.400000000001</v>
      </c>
      <c r="D6412" s="2">
        <v>18129.2</v>
      </c>
      <c r="E6412" s="2">
        <v>18129.2</v>
      </c>
      <c r="F6412" s="2">
        <v>17884.900000000001</v>
      </c>
      <c r="G6412" s="3">
        <f t="shared" si="302"/>
        <v>-9.6422192838863108E-3</v>
      </c>
      <c r="H6412" s="2">
        <f t="shared" si="300"/>
        <v>244.29999999999927</v>
      </c>
      <c r="I6412" s="3">
        <f t="shared" si="301"/>
        <v>1.3475498091476693E-2</v>
      </c>
    </row>
    <row r="6413" spans="2:9" x14ac:dyDescent="0.25">
      <c r="B6413" s="1">
        <v>44581</v>
      </c>
      <c r="C6413" s="2">
        <v>17757</v>
      </c>
      <c r="D6413" s="2">
        <v>17921</v>
      </c>
      <c r="E6413" s="2">
        <v>17943.7</v>
      </c>
      <c r="F6413" s="2">
        <v>17648.45</v>
      </c>
      <c r="G6413" s="3">
        <f t="shared" si="302"/>
        <v>-1.0112384605093117E-2</v>
      </c>
      <c r="H6413" s="2">
        <f t="shared" si="300"/>
        <v>295.25</v>
      </c>
      <c r="I6413" s="3">
        <f t="shared" si="301"/>
        <v>1.6475085095697783E-2</v>
      </c>
    </row>
    <row r="6414" spans="2:9" x14ac:dyDescent="0.25">
      <c r="B6414" s="1">
        <v>44582</v>
      </c>
      <c r="C6414" s="2">
        <v>17617.150000000001</v>
      </c>
      <c r="D6414" s="2">
        <v>17613.7</v>
      </c>
      <c r="E6414" s="2">
        <v>17707.599999999999</v>
      </c>
      <c r="F6414" s="2">
        <v>17485.849999999999</v>
      </c>
      <c r="G6414" s="3">
        <f t="shared" si="302"/>
        <v>-7.875767303035297E-3</v>
      </c>
      <c r="H6414" s="2">
        <f t="shared" si="300"/>
        <v>221.75</v>
      </c>
      <c r="I6414" s="3">
        <f t="shared" si="301"/>
        <v>1.2589631934233011E-2</v>
      </c>
    </row>
    <row r="6415" spans="2:9" x14ac:dyDescent="0.25">
      <c r="B6415" s="1">
        <v>44585</v>
      </c>
      <c r="C6415" s="2">
        <v>17149.099999999999</v>
      </c>
      <c r="D6415" s="2">
        <v>17575.150000000001</v>
      </c>
      <c r="E6415" s="2">
        <v>17599.400000000001</v>
      </c>
      <c r="F6415" s="2">
        <v>16997.849999999999</v>
      </c>
      <c r="G6415" s="3">
        <f t="shared" si="302"/>
        <v>-2.6567861430481288E-2</v>
      </c>
      <c r="H6415" s="2">
        <f t="shared" si="300"/>
        <v>601.55000000000291</v>
      </c>
      <c r="I6415" s="3">
        <f t="shared" si="301"/>
        <v>3.4227303892143332E-2</v>
      </c>
    </row>
    <row r="6416" spans="2:9" x14ac:dyDescent="0.25">
      <c r="B6416" s="1">
        <v>44586</v>
      </c>
      <c r="C6416" s="2">
        <v>17277.95</v>
      </c>
      <c r="D6416" s="2">
        <v>17001.55</v>
      </c>
      <c r="E6416" s="2">
        <v>17309.150000000001</v>
      </c>
      <c r="F6416" s="2">
        <v>16836.8</v>
      </c>
      <c r="G6416" s="3">
        <f t="shared" si="302"/>
        <v>7.5135138287141245E-3</v>
      </c>
      <c r="H6416" s="2">
        <f t="shared" si="300"/>
        <v>472.35000000000218</v>
      </c>
      <c r="I6416" s="3">
        <f t="shared" si="301"/>
        <v>2.778276098355751E-2</v>
      </c>
    </row>
    <row r="6417" spans="2:9" x14ac:dyDescent="0.25">
      <c r="B6417" s="1">
        <v>44588</v>
      </c>
      <c r="C6417" s="2">
        <v>17110.150000000001</v>
      </c>
      <c r="D6417" s="2">
        <v>17062</v>
      </c>
      <c r="E6417" s="2">
        <v>17182.5</v>
      </c>
      <c r="F6417" s="2">
        <v>16866.75</v>
      </c>
      <c r="G6417" s="3">
        <f t="shared" si="302"/>
        <v>-9.7118003003827669E-3</v>
      </c>
      <c r="H6417" s="2">
        <f t="shared" si="300"/>
        <v>315.75</v>
      </c>
      <c r="I6417" s="3">
        <f t="shared" si="301"/>
        <v>1.8506036806939397E-2</v>
      </c>
    </row>
    <row r="6418" spans="2:9" x14ac:dyDescent="0.25">
      <c r="B6418" s="1">
        <v>44589</v>
      </c>
      <c r="C6418" s="2">
        <v>17101.95</v>
      </c>
      <c r="D6418" s="2">
        <v>17208.3</v>
      </c>
      <c r="E6418" s="2">
        <v>17373.5</v>
      </c>
      <c r="F6418" s="2">
        <v>17077.099999999999</v>
      </c>
      <c r="G6418" s="3">
        <f t="shared" si="302"/>
        <v>-4.7924769800389289E-4</v>
      </c>
      <c r="H6418" s="2">
        <f t="shared" si="300"/>
        <v>296.40000000000146</v>
      </c>
      <c r="I6418" s="3">
        <f t="shared" si="301"/>
        <v>1.7224246439218369E-2</v>
      </c>
    </row>
    <row r="6419" spans="2:9" x14ac:dyDescent="0.25">
      <c r="B6419" s="1">
        <v>44592</v>
      </c>
      <c r="C6419" s="2">
        <v>17339.849999999999</v>
      </c>
      <c r="D6419" s="2">
        <v>17301.05</v>
      </c>
      <c r="E6419" s="2">
        <v>17410</v>
      </c>
      <c r="F6419" s="2">
        <v>17264.150000000001</v>
      </c>
      <c r="G6419" s="3">
        <f t="shared" si="302"/>
        <v>1.3910694394498657E-2</v>
      </c>
      <c r="H6419" s="2">
        <f t="shared" si="300"/>
        <v>145.84999999999854</v>
      </c>
      <c r="I6419" s="3">
        <f t="shared" si="301"/>
        <v>8.4301241832142292E-3</v>
      </c>
    </row>
    <row r="6420" spans="2:9" x14ac:dyDescent="0.25">
      <c r="B6420" s="1">
        <v>44593</v>
      </c>
      <c r="C6420" s="2">
        <v>17576.849999999999</v>
      </c>
      <c r="D6420" s="2">
        <v>17529.45</v>
      </c>
      <c r="E6420" s="2">
        <v>17622.400000000001</v>
      </c>
      <c r="F6420" s="2">
        <v>17244.55</v>
      </c>
      <c r="G6420" s="3">
        <f t="shared" si="302"/>
        <v>1.3667938303964622E-2</v>
      </c>
      <c r="H6420" s="2">
        <f t="shared" si="300"/>
        <v>377.85000000000218</v>
      </c>
      <c r="I6420" s="3">
        <f t="shared" si="301"/>
        <v>2.1555154326005788E-2</v>
      </c>
    </row>
    <row r="6421" spans="2:9" x14ac:dyDescent="0.25">
      <c r="B6421" s="1">
        <v>44594</v>
      </c>
      <c r="C6421" s="2">
        <v>17780</v>
      </c>
      <c r="D6421" s="2">
        <v>17706.2</v>
      </c>
      <c r="E6421" s="2">
        <v>17794.599999999999</v>
      </c>
      <c r="F6421" s="2">
        <v>17674.8</v>
      </c>
      <c r="G6421" s="3">
        <f t="shared" si="302"/>
        <v>1.1557816104706076E-2</v>
      </c>
      <c r="H6421" s="2">
        <f t="shared" si="300"/>
        <v>119.79999999999927</v>
      </c>
      <c r="I6421" s="3">
        <f t="shared" si="301"/>
        <v>6.765991573573057E-3</v>
      </c>
    </row>
    <row r="6422" spans="2:9" x14ac:dyDescent="0.25">
      <c r="B6422" s="1">
        <v>44595</v>
      </c>
      <c r="C6422" s="2">
        <v>17560.2</v>
      </c>
      <c r="D6422" s="2">
        <v>17767.75</v>
      </c>
      <c r="E6422" s="2">
        <v>17781.150000000001</v>
      </c>
      <c r="F6422" s="2">
        <v>17511.150000000001</v>
      </c>
      <c r="G6422" s="3">
        <f t="shared" si="302"/>
        <v>-1.2362204724409409E-2</v>
      </c>
      <c r="H6422" s="2">
        <f t="shared" si="300"/>
        <v>270</v>
      </c>
      <c r="I6422" s="3">
        <f t="shared" si="301"/>
        <v>1.5196071534099704E-2</v>
      </c>
    </row>
    <row r="6423" spans="2:9" x14ac:dyDescent="0.25">
      <c r="B6423" s="1">
        <v>44596</v>
      </c>
      <c r="C6423" s="2">
        <v>17516.3</v>
      </c>
      <c r="D6423" s="2">
        <v>17590.2</v>
      </c>
      <c r="E6423" s="2">
        <v>17617.8</v>
      </c>
      <c r="F6423" s="2">
        <v>17462.55</v>
      </c>
      <c r="G6423" s="3">
        <f t="shared" si="302"/>
        <v>-2.4999715265202616E-3</v>
      </c>
      <c r="H6423" s="2">
        <f t="shared" si="300"/>
        <v>155.25</v>
      </c>
      <c r="I6423" s="3">
        <f t="shared" si="301"/>
        <v>8.8259371695603231E-3</v>
      </c>
    </row>
    <row r="6424" spans="2:9" x14ac:dyDescent="0.25">
      <c r="B6424" s="1">
        <v>44599</v>
      </c>
      <c r="C6424" s="2">
        <v>17213.599999999999</v>
      </c>
      <c r="D6424" s="2">
        <v>17456.3</v>
      </c>
      <c r="E6424" s="2">
        <v>17536.75</v>
      </c>
      <c r="F6424" s="2">
        <v>17119.400000000001</v>
      </c>
      <c r="G6424" s="3">
        <f t="shared" si="302"/>
        <v>-1.7281046796412514E-2</v>
      </c>
      <c r="H6424" s="2">
        <f t="shared" si="300"/>
        <v>417.34999999999854</v>
      </c>
      <c r="I6424" s="3">
        <f t="shared" si="301"/>
        <v>2.390827380372694E-2</v>
      </c>
    </row>
    <row r="6425" spans="2:9" x14ac:dyDescent="0.25">
      <c r="B6425" s="1">
        <v>44600</v>
      </c>
      <c r="C6425" s="2">
        <v>17266.75</v>
      </c>
      <c r="D6425" s="2">
        <v>17279.849999999999</v>
      </c>
      <c r="E6425" s="2">
        <v>17306.45</v>
      </c>
      <c r="F6425" s="2">
        <v>17043.650000000001</v>
      </c>
      <c r="G6425" s="3">
        <f t="shared" si="302"/>
        <v>3.0876748617372218E-3</v>
      </c>
      <c r="H6425" s="2">
        <f t="shared" si="300"/>
        <v>262.79999999999927</v>
      </c>
      <c r="I6425" s="3">
        <f t="shared" si="301"/>
        <v>1.5208465351261689E-2</v>
      </c>
    </row>
    <row r="6426" spans="2:9" x14ac:dyDescent="0.25">
      <c r="B6426" s="1">
        <v>44601</v>
      </c>
      <c r="C6426" s="2">
        <v>17463.8</v>
      </c>
      <c r="D6426" s="2">
        <v>17370.099999999999</v>
      </c>
      <c r="E6426" s="2">
        <v>17477.150000000001</v>
      </c>
      <c r="F6426" s="2">
        <v>17339</v>
      </c>
      <c r="G6426" s="3">
        <f t="shared" si="302"/>
        <v>1.1412107084425305E-2</v>
      </c>
      <c r="H6426" s="2">
        <f t="shared" si="300"/>
        <v>138.15000000000146</v>
      </c>
      <c r="I6426" s="3">
        <f t="shared" si="301"/>
        <v>7.9533220879558237E-3</v>
      </c>
    </row>
    <row r="6427" spans="2:9" x14ac:dyDescent="0.25">
      <c r="B6427" s="1">
        <v>44602</v>
      </c>
      <c r="C6427" s="2">
        <v>17605.849999999999</v>
      </c>
      <c r="D6427" s="2">
        <v>17554.099999999999</v>
      </c>
      <c r="E6427" s="2">
        <v>17639.45</v>
      </c>
      <c r="F6427" s="2">
        <v>17427.150000000001</v>
      </c>
      <c r="G6427" s="3">
        <f t="shared" si="302"/>
        <v>8.1339685520904759E-3</v>
      </c>
      <c r="H6427" s="2">
        <f t="shared" si="300"/>
        <v>212.29999999999927</v>
      </c>
      <c r="I6427" s="3">
        <f t="shared" si="301"/>
        <v>1.2094040708438444E-2</v>
      </c>
    </row>
    <row r="6428" spans="2:9" x14ac:dyDescent="0.25">
      <c r="B6428" s="1">
        <v>44603</v>
      </c>
      <c r="C6428" s="2">
        <v>17374.75</v>
      </c>
      <c r="D6428" s="2">
        <v>17451</v>
      </c>
      <c r="E6428" s="2">
        <v>17454.75</v>
      </c>
      <c r="F6428" s="2">
        <v>17303</v>
      </c>
      <c r="G6428" s="3">
        <f t="shared" si="302"/>
        <v>-1.3126318808804993E-2</v>
      </c>
      <c r="H6428" s="2">
        <f t="shared" si="300"/>
        <v>151.75</v>
      </c>
      <c r="I6428" s="3">
        <f t="shared" si="301"/>
        <v>8.6957767463182629E-3</v>
      </c>
    </row>
    <row r="6429" spans="2:9" x14ac:dyDescent="0.25">
      <c r="B6429" s="1">
        <v>44606</v>
      </c>
      <c r="C6429" s="2">
        <v>16842.8</v>
      </c>
      <c r="D6429" s="2">
        <v>17076.150000000001</v>
      </c>
      <c r="E6429" s="2">
        <v>17099.5</v>
      </c>
      <c r="F6429" s="2">
        <v>16809.650000000001</v>
      </c>
      <c r="G6429" s="3">
        <f t="shared" si="302"/>
        <v>-3.0616267859969293E-2</v>
      </c>
      <c r="H6429" s="2">
        <f t="shared" si="300"/>
        <v>289.84999999999854</v>
      </c>
      <c r="I6429" s="3">
        <f t="shared" si="301"/>
        <v>1.6973966614254297E-2</v>
      </c>
    </row>
    <row r="6430" spans="2:9" x14ac:dyDescent="0.25">
      <c r="B6430" s="1">
        <v>44607</v>
      </c>
      <c r="C6430" s="2">
        <v>17352.45</v>
      </c>
      <c r="D6430" s="2">
        <v>16933.25</v>
      </c>
      <c r="E6430" s="2">
        <v>17375</v>
      </c>
      <c r="F6430" s="2">
        <v>16839.25</v>
      </c>
      <c r="G6430" s="3">
        <f t="shared" si="302"/>
        <v>3.0259220557152133E-2</v>
      </c>
      <c r="H6430" s="2">
        <f t="shared" si="300"/>
        <v>535.75</v>
      </c>
      <c r="I6430" s="3">
        <f t="shared" si="301"/>
        <v>3.1638935230980471E-2</v>
      </c>
    </row>
    <row r="6431" spans="2:9" x14ac:dyDescent="0.25">
      <c r="B6431" s="1">
        <v>44608</v>
      </c>
      <c r="C6431" s="2">
        <v>17322.2</v>
      </c>
      <c r="D6431" s="2">
        <v>17408.45</v>
      </c>
      <c r="E6431" s="2">
        <v>17490.599999999999</v>
      </c>
      <c r="F6431" s="2">
        <v>17257.7</v>
      </c>
      <c r="G6431" s="3">
        <f t="shared" si="302"/>
        <v>-1.7432696823791449E-3</v>
      </c>
      <c r="H6431" s="2">
        <f t="shared" si="300"/>
        <v>232.89999999999782</v>
      </c>
      <c r="I6431" s="3">
        <f t="shared" si="301"/>
        <v>1.3378560411753936E-2</v>
      </c>
    </row>
    <row r="6432" spans="2:9" x14ac:dyDescent="0.25">
      <c r="B6432" s="1">
        <v>44609</v>
      </c>
      <c r="C6432" s="2">
        <v>17304.599999999999</v>
      </c>
      <c r="D6432" s="2">
        <v>17396.55</v>
      </c>
      <c r="E6432" s="2">
        <v>17442.900000000001</v>
      </c>
      <c r="F6432" s="2">
        <v>17235.849999999999</v>
      </c>
      <c r="G6432" s="3">
        <f t="shared" si="302"/>
        <v>-1.0160372239093052E-3</v>
      </c>
      <c r="H6432" s="2">
        <f t="shared" si="300"/>
        <v>207.05000000000291</v>
      </c>
      <c r="I6432" s="3">
        <f t="shared" si="301"/>
        <v>1.1901785124062123E-2</v>
      </c>
    </row>
    <row r="6433" spans="2:9" x14ac:dyDescent="0.25">
      <c r="B6433" s="1">
        <v>44610</v>
      </c>
      <c r="C6433" s="2">
        <v>17276.3</v>
      </c>
      <c r="D6433" s="2">
        <v>17236.05</v>
      </c>
      <c r="E6433" s="2">
        <v>17380.8</v>
      </c>
      <c r="F6433" s="2">
        <v>17219.2</v>
      </c>
      <c r="G6433" s="3">
        <f t="shared" si="302"/>
        <v>-1.6354033031679149E-3</v>
      </c>
      <c r="H6433" s="2">
        <f t="shared" si="300"/>
        <v>161.59999999999854</v>
      </c>
      <c r="I6433" s="3">
        <f t="shared" si="301"/>
        <v>9.3756980282604513E-3</v>
      </c>
    </row>
    <row r="6434" spans="2:9" x14ac:dyDescent="0.25">
      <c r="B6434" s="1">
        <v>44613</v>
      </c>
      <c r="C6434" s="2">
        <v>17206.650000000001</v>
      </c>
      <c r="D6434" s="2">
        <v>17192.25</v>
      </c>
      <c r="E6434" s="2">
        <v>17351.05</v>
      </c>
      <c r="F6434" s="2">
        <v>17070.7</v>
      </c>
      <c r="G6434" s="3">
        <f t="shared" si="302"/>
        <v>-4.0315345299628547E-3</v>
      </c>
      <c r="H6434" s="2">
        <f t="shared" si="300"/>
        <v>280.34999999999854</v>
      </c>
      <c r="I6434" s="3">
        <f t="shared" si="301"/>
        <v>1.6306766130087601E-2</v>
      </c>
    </row>
    <row r="6435" spans="2:9" x14ac:dyDescent="0.25">
      <c r="B6435" s="1">
        <v>44614</v>
      </c>
      <c r="C6435" s="2">
        <v>17092.2</v>
      </c>
      <c r="D6435" s="2">
        <v>16847.95</v>
      </c>
      <c r="E6435" s="2">
        <v>17148.55</v>
      </c>
      <c r="F6435" s="2">
        <v>16843.8</v>
      </c>
      <c r="G6435" s="3">
        <f t="shared" si="302"/>
        <v>-6.651498112648313E-3</v>
      </c>
      <c r="H6435" s="2">
        <f t="shared" si="300"/>
        <v>304.75</v>
      </c>
      <c r="I6435" s="3">
        <f t="shared" si="301"/>
        <v>1.8088254060583037E-2</v>
      </c>
    </row>
    <row r="6436" spans="2:9" x14ac:dyDescent="0.25">
      <c r="B6436" s="1">
        <v>44615</v>
      </c>
      <c r="C6436" s="2">
        <v>17063.25</v>
      </c>
      <c r="D6436" s="2">
        <v>17194.5</v>
      </c>
      <c r="E6436" s="2">
        <v>17220.7</v>
      </c>
      <c r="F6436" s="2">
        <v>17027.849999999999</v>
      </c>
      <c r="G6436" s="3">
        <f t="shared" si="302"/>
        <v>-1.693755046161427E-3</v>
      </c>
      <c r="H6436" s="2">
        <f t="shared" si="300"/>
        <v>192.85000000000218</v>
      </c>
      <c r="I6436" s="3">
        <f t="shared" si="301"/>
        <v>1.1215795748640681E-2</v>
      </c>
    </row>
    <row r="6437" spans="2:9" x14ac:dyDescent="0.25">
      <c r="B6437" s="1">
        <v>44616</v>
      </c>
      <c r="C6437" s="2">
        <v>16247.95</v>
      </c>
      <c r="D6437" s="2">
        <v>16548.900000000001</v>
      </c>
      <c r="E6437" s="2">
        <v>16705.25</v>
      </c>
      <c r="F6437" s="2">
        <v>16203.25</v>
      </c>
      <c r="G6437" s="3">
        <f t="shared" si="302"/>
        <v>-4.7781049917219764E-2</v>
      </c>
      <c r="H6437" s="2">
        <f t="shared" si="300"/>
        <v>502</v>
      </c>
      <c r="I6437" s="3">
        <f t="shared" si="301"/>
        <v>3.033434246384956E-2</v>
      </c>
    </row>
    <row r="6438" spans="2:9" x14ac:dyDescent="0.25">
      <c r="B6438" s="1">
        <v>44617</v>
      </c>
      <c r="C6438" s="2">
        <v>16658.400000000001</v>
      </c>
      <c r="D6438" s="2">
        <v>16515.650000000001</v>
      </c>
      <c r="E6438" s="2">
        <v>16748.8</v>
      </c>
      <c r="F6438" s="2">
        <v>16478.3</v>
      </c>
      <c r="G6438" s="3">
        <f t="shared" si="302"/>
        <v>2.5261648392566505E-2</v>
      </c>
      <c r="H6438" s="2">
        <f t="shared" si="300"/>
        <v>270.5</v>
      </c>
      <c r="I6438" s="3">
        <f t="shared" si="301"/>
        <v>1.6378404725215172E-2</v>
      </c>
    </row>
    <row r="6439" spans="2:9" x14ac:dyDescent="0.25">
      <c r="B6439" s="1">
        <v>44620</v>
      </c>
      <c r="C6439" s="2">
        <v>16793.900000000001</v>
      </c>
      <c r="D6439" s="2">
        <v>16481.599999999999</v>
      </c>
      <c r="E6439" s="2">
        <v>16815.900000000001</v>
      </c>
      <c r="F6439" s="2">
        <v>16356.3</v>
      </c>
      <c r="G6439" s="3">
        <f t="shared" si="302"/>
        <v>8.1340344811027254E-3</v>
      </c>
      <c r="H6439" s="2">
        <f t="shared" si="300"/>
        <v>459.60000000000218</v>
      </c>
      <c r="I6439" s="3">
        <f t="shared" si="301"/>
        <v>2.7885642170663177E-2</v>
      </c>
    </row>
    <row r="6440" spans="2:9" x14ac:dyDescent="0.25">
      <c r="B6440" s="1">
        <v>44622</v>
      </c>
      <c r="C6440" s="2">
        <v>16605.95</v>
      </c>
      <c r="D6440" s="2">
        <v>16593.099999999999</v>
      </c>
      <c r="E6440" s="2">
        <v>16678.5</v>
      </c>
      <c r="F6440" s="2">
        <v>16478.650000000001</v>
      </c>
      <c r="G6440" s="3">
        <f t="shared" si="302"/>
        <v>-1.1191563603451304E-2</v>
      </c>
      <c r="H6440" s="2">
        <f t="shared" si="300"/>
        <v>199.84999999999854</v>
      </c>
      <c r="I6440" s="3">
        <f t="shared" si="301"/>
        <v>1.2044162935195868E-2</v>
      </c>
    </row>
    <row r="6441" spans="2:9" x14ac:dyDescent="0.25">
      <c r="B6441" s="1">
        <v>44623</v>
      </c>
      <c r="C6441" s="2">
        <v>16498.05</v>
      </c>
      <c r="D6441" s="2">
        <v>16723.2</v>
      </c>
      <c r="E6441" s="2">
        <v>16768.95</v>
      </c>
      <c r="F6441" s="2">
        <v>16442.95</v>
      </c>
      <c r="G6441" s="3">
        <f t="shared" si="302"/>
        <v>-6.4976710155095763E-3</v>
      </c>
      <c r="H6441" s="2">
        <f t="shared" si="300"/>
        <v>326</v>
      </c>
      <c r="I6441" s="3">
        <f t="shared" si="301"/>
        <v>1.9493876769996171E-2</v>
      </c>
    </row>
    <row r="6442" spans="2:9" x14ac:dyDescent="0.25">
      <c r="B6442" s="1">
        <v>44624</v>
      </c>
      <c r="C6442" s="2">
        <v>16245.35</v>
      </c>
      <c r="D6442" s="2">
        <v>16339.45</v>
      </c>
      <c r="E6442" s="2">
        <v>16456</v>
      </c>
      <c r="F6442" s="2">
        <v>16133.8</v>
      </c>
      <c r="G6442" s="3">
        <f t="shared" si="302"/>
        <v>-1.5316961701534404E-2</v>
      </c>
      <c r="H6442" s="2">
        <f t="shared" si="300"/>
        <v>322.20000000000073</v>
      </c>
      <c r="I6442" s="3">
        <f t="shared" si="301"/>
        <v>1.9719145993286231E-2</v>
      </c>
    </row>
    <row r="6443" spans="2:9" x14ac:dyDescent="0.25">
      <c r="B6443" s="1">
        <v>44627</v>
      </c>
      <c r="C6443" s="2">
        <v>15863.15</v>
      </c>
      <c r="D6443" s="2">
        <v>15867.95</v>
      </c>
      <c r="E6443" s="2">
        <v>15944.6</v>
      </c>
      <c r="F6443" s="2">
        <v>15711.45</v>
      </c>
      <c r="G6443" s="3">
        <f t="shared" si="302"/>
        <v>-2.3526732264925077E-2</v>
      </c>
      <c r="H6443" s="2">
        <f t="shared" si="300"/>
        <v>233.14999999999964</v>
      </c>
      <c r="I6443" s="3">
        <f t="shared" si="301"/>
        <v>1.469313931541249E-2</v>
      </c>
    </row>
    <row r="6444" spans="2:9" x14ac:dyDescent="0.25">
      <c r="B6444" s="1">
        <v>44628</v>
      </c>
      <c r="C6444" s="2">
        <v>16013.45</v>
      </c>
      <c r="D6444" s="2">
        <v>15747.75</v>
      </c>
      <c r="E6444" s="2">
        <v>16028.75</v>
      </c>
      <c r="F6444" s="2">
        <v>15671.45</v>
      </c>
      <c r="G6444" s="3">
        <f t="shared" si="302"/>
        <v>9.4747890551372116E-3</v>
      </c>
      <c r="H6444" s="2">
        <f t="shared" si="300"/>
        <v>357.29999999999927</v>
      </c>
      <c r="I6444" s="3">
        <f t="shared" si="301"/>
        <v>2.268895556508068E-2</v>
      </c>
    </row>
    <row r="6445" spans="2:9" x14ac:dyDescent="0.25">
      <c r="B6445" s="1">
        <v>44629</v>
      </c>
      <c r="C6445" s="2">
        <v>16345.35</v>
      </c>
      <c r="D6445" s="2">
        <v>16078</v>
      </c>
      <c r="E6445" s="2">
        <v>16418.05</v>
      </c>
      <c r="F6445" s="2">
        <v>15990</v>
      </c>
      <c r="G6445" s="3">
        <f t="shared" si="302"/>
        <v>2.0726326931423289E-2</v>
      </c>
      <c r="H6445" s="2">
        <f t="shared" si="300"/>
        <v>428.04999999999927</v>
      </c>
      <c r="I6445" s="3">
        <f t="shared" si="301"/>
        <v>2.6623336235850184E-2</v>
      </c>
    </row>
    <row r="6446" spans="2:9" x14ac:dyDescent="0.25">
      <c r="B6446" s="1">
        <v>44630</v>
      </c>
      <c r="C6446" s="2">
        <v>16594.900000000001</v>
      </c>
      <c r="D6446" s="2">
        <v>16757.099999999999</v>
      </c>
      <c r="E6446" s="2">
        <v>16757.3</v>
      </c>
      <c r="F6446" s="2">
        <v>16447.900000000001</v>
      </c>
      <c r="G6446" s="3">
        <f t="shared" si="302"/>
        <v>1.5267339029142901E-2</v>
      </c>
      <c r="H6446" s="2">
        <f t="shared" si="300"/>
        <v>309.39999999999782</v>
      </c>
      <c r="I6446" s="3">
        <f t="shared" si="301"/>
        <v>1.8463815337976013E-2</v>
      </c>
    </row>
    <row r="6447" spans="2:9" x14ac:dyDescent="0.25">
      <c r="B6447" s="1">
        <v>44631</v>
      </c>
      <c r="C6447" s="2">
        <v>16630.45</v>
      </c>
      <c r="D6447" s="2">
        <v>16528.8</v>
      </c>
      <c r="E6447" s="2">
        <v>16694.400000000001</v>
      </c>
      <c r="F6447" s="2">
        <v>16470.900000000001</v>
      </c>
      <c r="G6447" s="3">
        <f t="shared" si="302"/>
        <v>2.1422244183453287E-3</v>
      </c>
      <c r="H6447" s="2">
        <f t="shared" si="300"/>
        <v>223.5</v>
      </c>
      <c r="I6447" s="3">
        <f t="shared" si="301"/>
        <v>1.3521852766081022E-2</v>
      </c>
    </row>
    <row r="6448" spans="2:9" x14ac:dyDescent="0.25">
      <c r="B6448" s="1">
        <v>44634</v>
      </c>
      <c r="C6448" s="2">
        <v>16871.3</v>
      </c>
      <c r="D6448" s="2">
        <v>16633.7</v>
      </c>
      <c r="E6448" s="2">
        <v>16887.95</v>
      </c>
      <c r="F6448" s="2">
        <v>16606.5</v>
      </c>
      <c r="G6448" s="3">
        <f t="shared" si="302"/>
        <v>1.4482470408196946E-2</v>
      </c>
      <c r="H6448" s="2">
        <f t="shared" si="300"/>
        <v>281.45000000000073</v>
      </c>
      <c r="I6448" s="3">
        <f t="shared" si="301"/>
        <v>1.6920468687063053E-2</v>
      </c>
    </row>
    <row r="6449" spans="2:9" x14ac:dyDescent="0.25">
      <c r="B6449" s="1">
        <v>44635</v>
      </c>
      <c r="C6449" s="2">
        <v>16663</v>
      </c>
      <c r="D6449" s="2">
        <v>16900.650000000001</v>
      </c>
      <c r="E6449" s="2">
        <v>16927.75</v>
      </c>
      <c r="F6449" s="2">
        <v>16555</v>
      </c>
      <c r="G6449" s="3">
        <f t="shared" si="302"/>
        <v>-1.2346410768583338E-2</v>
      </c>
      <c r="H6449" s="2">
        <f t="shared" si="300"/>
        <v>372.75</v>
      </c>
      <c r="I6449" s="3">
        <f t="shared" si="301"/>
        <v>2.2055364734492457E-2</v>
      </c>
    </row>
    <row r="6450" spans="2:9" x14ac:dyDescent="0.25">
      <c r="B6450" s="1">
        <v>44636</v>
      </c>
      <c r="C6450" s="2">
        <v>16975.349999999999</v>
      </c>
      <c r="D6450" s="2">
        <v>16876.650000000001</v>
      </c>
      <c r="E6450" s="2">
        <v>16987.900000000001</v>
      </c>
      <c r="F6450" s="2">
        <v>16837.849999999999</v>
      </c>
      <c r="G6450" s="3">
        <f t="shared" si="302"/>
        <v>1.8745123927264018E-2</v>
      </c>
      <c r="H6450" s="2">
        <f t="shared" si="300"/>
        <v>150.05000000000291</v>
      </c>
      <c r="I6450" s="3">
        <f t="shared" si="301"/>
        <v>8.8909825113398042E-3</v>
      </c>
    </row>
    <row r="6451" spans="2:9" x14ac:dyDescent="0.25">
      <c r="B6451" s="1">
        <v>44637</v>
      </c>
      <c r="C6451" s="2">
        <v>17287.05</v>
      </c>
      <c r="D6451" s="2">
        <v>17202.900000000001</v>
      </c>
      <c r="E6451" s="2">
        <v>17344.599999999999</v>
      </c>
      <c r="F6451" s="2">
        <v>17175.75</v>
      </c>
      <c r="G6451" s="3">
        <f t="shared" si="302"/>
        <v>1.8361918900052121E-2</v>
      </c>
      <c r="H6451" s="2">
        <f t="shared" si="300"/>
        <v>168.84999999999854</v>
      </c>
      <c r="I6451" s="3">
        <f t="shared" si="301"/>
        <v>9.8152055758039935E-3</v>
      </c>
    </row>
    <row r="6452" spans="2:9" x14ac:dyDescent="0.25">
      <c r="B6452" s="1">
        <v>44641</v>
      </c>
      <c r="C6452" s="2">
        <v>17117.599999999999</v>
      </c>
      <c r="D6452" s="2">
        <v>17329.5</v>
      </c>
      <c r="E6452" s="2">
        <v>17353.349999999999</v>
      </c>
      <c r="F6452" s="2">
        <v>17096.400000000001</v>
      </c>
      <c r="G6452" s="3">
        <f t="shared" si="302"/>
        <v>-9.8021351242694177E-3</v>
      </c>
      <c r="H6452" s="2">
        <f t="shared" si="300"/>
        <v>256.94999999999709</v>
      </c>
      <c r="I6452" s="3">
        <f t="shared" si="301"/>
        <v>1.4827317579849222E-2</v>
      </c>
    </row>
    <row r="6453" spans="2:9" x14ac:dyDescent="0.25">
      <c r="B6453" s="1">
        <v>44642</v>
      </c>
      <c r="C6453" s="2">
        <v>17315.5</v>
      </c>
      <c r="D6453" s="2">
        <v>17120.400000000001</v>
      </c>
      <c r="E6453" s="2">
        <v>17334.400000000001</v>
      </c>
      <c r="F6453" s="2">
        <v>17006.3</v>
      </c>
      <c r="G6453" s="3">
        <f t="shared" si="302"/>
        <v>1.1561200168247909E-2</v>
      </c>
      <c r="H6453" s="2">
        <f t="shared" si="300"/>
        <v>328.10000000000218</v>
      </c>
      <c r="I6453" s="3">
        <f t="shared" si="301"/>
        <v>1.9164271862807069E-2</v>
      </c>
    </row>
    <row r="6454" spans="2:9" x14ac:dyDescent="0.25">
      <c r="B6454" s="1">
        <v>44643</v>
      </c>
      <c r="C6454" s="2">
        <v>17245.650000000001</v>
      </c>
      <c r="D6454" s="2">
        <v>17405.05</v>
      </c>
      <c r="E6454" s="2">
        <v>17442.400000000001</v>
      </c>
      <c r="F6454" s="2">
        <v>17199.599999999999</v>
      </c>
      <c r="G6454" s="3">
        <f t="shared" si="302"/>
        <v>-4.0339580144955756E-3</v>
      </c>
      <c r="H6454" s="2">
        <f t="shared" si="300"/>
        <v>242.80000000000291</v>
      </c>
      <c r="I6454" s="3">
        <f t="shared" si="301"/>
        <v>1.3949974289071443E-2</v>
      </c>
    </row>
    <row r="6455" spans="2:9" x14ac:dyDescent="0.25">
      <c r="B6455" s="1">
        <v>44644</v>
      </c>
      <c r="C6455" s="2">
        <v>17222.75</v>
      </c>
      <c r="D6455" s="2">
        <v>17094.95</v>
      </c>
      <c r="E6455" s="2">
        <v>17291.75</v>
      </c>
      <c r="F6455" s="2">
        <v>17091.150000000001</v>
      </c>
      <c r="G6455" s="3">
        <f t="shared" si="302"/>
        <v>-1.3278710863320331E-3</v>
      </c>
      <c r="H6455" s="2">
        <f t="shared" si="300"/>
        <v>200.59999999999854</v>
      </c>
      <c r="I6455" s="3">
        <f t="shared" si="301"/>
        <v>1.1734459591867688E-2</v>
      </c>
    </row>
    <row r="6456" spans="2:9" x14ac:dyDescent="0.25">
      <c r="B6456" s="1">
        <v>44645</v>
      </c>
      <c r="C6456" s="2">
        <v>17153</v>
      </c>
      <c r="D6456" s="2">
        <v>17289</v>
      </c>
      <c r="E6456" s="2">
        <v>17294.900000000001</v>
      </c>
      <c r="F6456" s="2">
        <v>17076.55</v>
      </c>
      <c r="G6456" s="3">
        <f t="shared" si="302"/>
        <v>-4.049875890900112E-3</v>
      </c>
      <c r="H6456" s="2">
        <f t="shared" si="300"/>
        <v>218.35000000000218</v>
      </c>
      <c r="I6456" s="3">
        <f t="shared" si="301"/>
        <v>1.2629417548730534E-2</v>
      </c>
    </row>
    <row r="6457" spans="2:9" x14ac:dyDescent="0.25">
      <c r="B6457" s="1">
        <v>44648</v>
      </c>
      <c r="C6457" s="2">
        <v>17222</v>
      </c>
      <c r="D6457" s="2">
        <v>17181.849999999999</v>
      </c>
      <c r="E6457" s="2">
        <v>17235.099999999999</v>
      </c>
      <c r="F6457" s="2">
        <v>17003.900000000001</v>
      </c>
      <c r="G6457" s="3">
        <f t="shared" si="302"/>
        <v>4.0226199498629711E-3</v>
      </c>
      <c r="H6457" s="2">
        <f t="shared" si="300"/>
        <v>231.19999999999709</v>
      </c>
      <c r="I6457" s="3">
        <f t="shared" si="301"/>
        <v>1.3456059737455344E-2</v>
      </c>
    </row>
    <row r="6458" spans="2:9" x14ac:dyDescent="0.25">
      <c r="B6458" s="1">
        <v>44649</v>
      </c>
      <c r="C6458" s="2">
        <v>17325.3</v>
      </c>
      <c r="D6458" s="2">
        <v>17297.2</v>
      </c>
      <c r="E6458" s="2">
        <v>17343.650000000001</v>
      </c>
      <c r="F6458" s="2">
        <v>17235.7</v>
      </c>
      <c r="G6458" s="3">
        <f t="shared" si="302"/>
        <v>5.9981419115084922E-3</v>
      </c>
      <c r="H6458" s="2">
        <f t="shared" si="300"/>
        <v>107.95000000000073</v>
      </c>
      <c r="I6458" s="3">
        <f t="shared" si="301"/>
        <v>6.2408944800314923E-3</v>
      </c>
    </row>
    <row r="6459" spans="2:9" x14ac:dyDescent="0.25">
      <c r="B6459" s="1">
        <v>44650</v>
      </c>
      <c r="C6459" s="2">
        <v>17498.25</v>
      </c>
      <c r="D6459" s="2">
        <v>17468.150000000001</v>
      </c>
      <c r="E6459" s="2">
        <v>17522.5</v>
      </c>
      <c r="F6459" s="2">
        <v>17387.2</v>
      </c>
      <c r="G6459" s="3">
        <f t="shared" si="302"/>
        <v>9.9825111253484256E-3</v>
      </c>
      <c r="H6459" s="2">
        <f t="shared" si="300"/>
        <v>135.29999999999927</v>
      </c>
      <c r="I6459" s="3">
        <f t="shared" si="301"/>
        <v>7.7455254277069563E-3</v>
      </c>
    </row>
    <row r="6460" spans="2:9" x14ac:dyDescent="0.25">
      <c r="B6460" s="1">
        <v>44651</v>
      </c>
      <c r="C6460" s="2">
        <v>17464.75</v>
      </c>
      <c r="D6460" s="2">
        <v>17519.2</v>
      </c>
      <c r="E6460" s="2">
        <v>17559.8</v>
      </c>
      <c r="F6460" s="2">
        <v>17435.2</v>
      </c>
      <c r="G6460" s="3">
        <f t="shared" si="302"/>
        <v>-1.9144771620018819E-3</v>
      </c>
      <c r="H6460" s="2">
        <f t="shared" si="300"/>
        <v>124.59999999999854</v>
      </c>
      <c r="I6460" s="3">
        <f t="shared" si="301"/>
        <v>7.1121969039681342E-3</v>
      </c>
    </row>
    <row r="6461" spans="2:9" x14ac:dyDescent="0.25">
      <c r="B6461" s="1">
        <v>44652</v>
      </c>
      <c r="C6461" s="2">
        <v>17670.45</v>
      </c>
      <c r="D6461" s="2">
        <v>17436.900000000001</v>
      </c>
      <c r="E6461" s="2">
        <v>17703.7</v>
      </c>
      <c r="F6461" s="2">
        <v>17422.7</v>
      </c>
      <c r="G6461" s="3">
        <f t="shared" si="302"/>
        <v>1.1778009991554539E-2</v>
      </c>
      <c r="H6461" s="2">
        <f t="shared" si="300"/>
        <v>281</v>
      </c>
      <c r="I6461" s="3">
        <f t="shared" si="301"/>
        <v>1.6115249843722219E-2</v>
      </c>
    </row>
    <row r="6462" spans="2:9" x14ac:dyDescent="0.25">
      <c r="B6462" s="1">
        <v>44655</v>
      </c>
      <c r="C6462" s="2">
        <v>18053.400000000001</v>
      </c>
      <c r="D6462" s="2">
        <v>17809.099999999999</v>
      </c>
      <c r="E6462" s="2">
        <v>18114.650000000001</v>
      </c>
      <c r="F6462" s="2">
        <v>17791.400000000001</v>
      </c>
      <c r="G6462" s="3">
        <f t="shared" si="302"/>
        <v>2.1671774063478866E-2</v>
      </c>
      <c r="H6462" s="2">
        <f t="shared" si="300"/>
        <v>323.25</v>
      </c>
      <c r="I6462" s="3">
        <f t="shared" si="301"/>
        <v>1.8150833001106176E-2</v>
      </c>
    </row>
    <row r="6463" spans="2:9" x14ac:dyDescent="0.25">
      <c r="B6463" s="1">
        <v>44656</v>
      </c>
      <c r="C6463" s="2">
        <v>17957.400000000001</v>
      </c>
      <c r="D6463" s="2">
        <v>18080.599999999999</v>
      </c>
      <c r="E6463" s="2">
        <v>18095.45</v>
      </c>
      <c r="F6463" s="2">
        <v>17921.55</v>
      </c>
      <c r="G6463" s="3">
        <f t="shared" si="302"/>
        <v>-5.3175579115291027E-3</v>
      </c>
      <c r="H6463" s="2">
        <f t="shared" si="300"/>
        <v>173.90000000000146</v>
      </c>
      <c r="I6463" s="3">
        <f t="shared" si="301"/>
        <v>9.6180436489940301E-3</v>
      </c>
    </row>
    <row r="6464" spans="2:9" x14ac:dyDescent="0.25">
      <c r="B6464" s="1">
        <v>44657</v>
      </c>
      <c r="C6464" s="2">
        <v>17807.650000000001</v>
      </c>
      <c r="D6464" s="2">
        <v>17842.75</v>
      </c>
      <c r="E6464" s="2">
        <v>17901</v>
      </c>
      <c r="F6464" s="2">
        <v>17779.849999999999</v>
      </c>
      <c r="G6464" s="3">
        <f t="shared" si="302"/>
        <v>-8.3391805049728429E-3</v>
      </c>
      <c r="H6464" s="2">
        <f t="shared" si="300"/>
        <v>121.15000000000146</v>
      </c>
      <c r="I6464" s="3">
        <f t="shared" si="301"/>
        <v>6.7898726373457818E-3</v>
      </c>
    </row>
    <row r="6465" spans="2:9" x14ac:dyDescent="0.25">
      <c r="B6465" s="1">
        <v>44658</v>
      </c>
      <c r="C6465" s="2">
        <v>17639.55</v>
      </c>
      <c r="D6465" s="2">
        <v>17723.3</v>
      </c>
      <c r="E6465" s="2">
        <v>17787.5</v>
      </c>
      <c r="F6465" s="2">
        <v>17623.7</v>
      </c>
      <c r="G6465" s="3">
        <f t="shared" si="302"/>
        <v>-9.4397632478178117E-3</v>
      </c>
      <c r="H6465" s="2">
        <f t="shared" si="300"/>
        <v>163.79999999999927</v>
      </c>
      <c r="I6465" s="3">
        <f t="shared" si="301"/>
        <v>9.2420711718471885E-3</v>
      </c>
    </row>
    <row r="6466" spans="2:9" x14ac:dyDescent="0.25">
      <c r="B6466" s="1">
        <v>44659</v>
      </c>
      <c r="C6466" s="2">
        <v>17784.349999999999</v>
      </c>
      <c r="D6466" s="2">
        <v>17698.150000000001</v>
      </c>
      <c r="E6466" s="2">
        <v>17842.75</v>
      </c>
      <c r="F6466" s="2">
        <v>17600.55</v>
      </c>
      <c r="G6466" s="3">
        <f t="shared" si="302"/>
        <v>8.208826188876639E-3</v>
      </c>
      <c r="H6466" s="2">
        <f t="shared" si="300"/>
        <v>242.20000000000073</v>
      </c>
      <c r="I6466" s="3">
        <f t="shared" si="301"/>
        <v>1.3685046177142848E-2</v>
      </c>
    </row>
    <row r="6467" spans="2:9" x14ac:dyDescent="0.25">
      <c r="B6467" s="1">
        <v>44662</v>
      </c>
      <c r="C6467" s="2">
        <v>17674.95</v>
      </c>
      <c r="D6467" s="2">
        <v>17740.900000000001</v>
      </c>
      <c r="E6467" s="2">
        <v>17779.05</v>
      </c>
      <c r="F6467" s="2">
        <v>17650.95</v>
      </c>
      <c r="G6467" s="3">
        <f t="shared" si="302"/>
        <v>-6.1514758762618582E-3</v>
      </c>
      <c r="H6467" s="2">
        <f t="shared" si="300"/>
        <v>128.09999999999854</v>
      </c>
      <c r="I6467" s="3">
        <f t="shared" si="301"/>
        <v>7.2206032388434935E-3</v>
      </c>
    </row>
    <row r="6468" spans="2:9" x14ac:dyDescent="0.25">
      <c r="B6468" s="1">
        <v>44663</v>
      </c>
      <c r="C6468" s="2">
        <v>17530.3</v>
      </c>
      <c r="D6468" s="2">
        <v>17584.849999999999</v>
      </c>
      <c r="E6468" s="2">
        <v>17595.3</v>
      </c>
      <c r="F6468" s="2">
        <v>17442.349999999999</v>
      </c>
      <c r="G6468" s="3">
        <f t="shared" si="302"/>
        <v>-8.1838986814674053E-3</v>
      </c>
      <c r="H6468" s="2">
        <f t="shared" si="300"/>
        <v>152.95000000000073</v>
      </c>
      <c r="I6468" s="3">
        <f t="shared" si="301"/>
        <v>8.6978279598632201E-3</v>
      </c>
    </row>
    <row r="6469" spans="2:9" x14ac:dyDescent="0.25">
      <c r="B6469" s="1">
        <v>44664</v>
      </c>
      <c r="C6469" s="2">
        <v>17475.650000000001</v>
      </c>
      <c r="D6469" s="2">
        <v>17599.900000000001</v>
      </c>
      <c r="E6469" s="2">
        <v>17663.650000000001</v>
      </c>
      <c r="F6469" s="2">
        <v>17457.400000000001</v>
      </c>
      <c r="G6469" s="3">
        <f t="shared" si="302"/>
        <v>-3.1174594844354253E-3</v>
      </c>
      <c r="H6469" s="2">
        <f t="shared" ref="H6469:H6532" si="303">E6469-F6469</f>
        <v>206.25</v>
      </c>
      <c r="I6469" s="3">
        <f t="shared" si="301"/>
        <v>1.1718816584185136E-2</v>
      </c>
    </row>
    <row r="6470" spans="2:9" x14ac:dyDescent="0.25">
      <c r="B6470" s="1">
        <v>44669</v>
      </c>
      <c r="C6470" s="2">
        <v>17173.650000000001</v>
      </c>
      <c r="D6470" s="2">
        <v>17183.45</v>
      </c>
      <c r="E6470" s="2">
        <v>17237.75</v>
      </c>
      <c r="F6470" s="2">
        <v>17067.849999999999</v>
      </c>
      <c r="G6470" s="3">
        <f t="shared" si="302"/>
        <v>-1.7281188396425895E-2</v>
      </c>
      <c r="H6470" s="2">
        <f t="shared" si="303"/>
        <v>169.90000000000146</v>
      </c>
      <c r="I6470" s="3">
        <f t="shared" ref="I6470:I6533" si="304">H6470/D6470</f>
        <v>9.8874207449610781E-3</v>
      </c>
    </row>
    <row r="6471" spans="2:9" x14ac:dyDescent="0.25">
      <c r="B6471" s="1">
        <v>44670</v>
      </c>
      <c r="C6471" s="2">
        <v>16958.650000000001</v>
      </c>
      <c r="D6471" s="2">
        <v>17258.95</v>
      </c>
      <c r="E6471" s="2">
        <v>17275.650000000001</v>
      </c>
      <c r="F6471" s="2">
        <v>16824.7</v>
      </c>
      <c r="G6471" s="3">
        <f t="shared" ref="G6471:G6534" si="305">C6471/C6470-1</f>
        <v>-1.251917909122402E-2</v>
      </c>
      <c r="H6471" s="2">
        <f t="shared" si="303"/>
        <v>450.95000000000073</v>
      </c>
      <c r="I6471" s="3">
        <f t="shared" si="304"/>
        <v>2.6128472473702091E-2</v>
      </c>
    </row>
    <row r="6472" spans="2:9" x14ac:dyDescent="0.25">
      <c r="B6472" s="1">
        <v>44671</v>
      </c>
      <c r="C6472" s="2">
        <v>17136.55</v>
      </c>
      <c r="D6472" s="2">
        <v>17045.25</v>
      </c>
      <c r="E6472" s="2">
        <v>17186.900000000001</v>
      </c>
      <c r="F6472" s="2">
        <v>16978.95</v>
      </c>
      <c r="G6472" s="3">
        <f t="shared" si="305"/>
        <v>1.0490221804211775E-2</v>
      </c>
      <c r="H6472" s="2">
        <f t="shared" si="303"/>
        <v>207.95000000000073</v>
      </c>
      <c r="I6472" s="3">
        <f t="shared" si="304"/>
        <v>1.2199879731890158E-2</v>
      </c>
    </row>
    <row r="6473" spans="2:9" x14ac:dyDescent="0.25">
      <c r="B6473" s="1">
        <v>44672</v>
      </c>
      <c r="C6473" s="2">
        <v>17392.599999999999</v>
      </c>
      <c r="D6473" s="2">
        <v>17234.599999999999</v>
      </c>
      <c r="E6473" s="2">
        <v>17414.7</v>
      </c>
      <c r="F6473" s="2">
        <v>17215.5</v>
      </c>
      <c r="G6473" s="3">
        <f t="shared" si="305"/>
        <v>1.4941747317867238E-2</v>
      </c>
      <c r="H6473" s="2">
        <f t="shared" si="303"/>
        <v>199.20000000000073</v>
      </c>
      <c r="I6473" s="3">
        <f t="shared" si="304"/>
        <v>1.1558144662481331E-2</v>
      </c>
    </row>
    <row r="6474" spans="2:9" x14ac:dyDescent="0.25">
      <c r="B6474" s="1">
        <v>44673</v>
      </c>
      <c r="C6474" s="2">
        <v>17171.95</v>
      </c>
      <c r="D6474" s="2">
        <v>17242.75</v>
      </c>
      <c r="E6474" s="2">
        <v>17315.3</v>
      </c>
      <c r="F6474" s="2">
        <v>17149.2</v>
      </c>
      <c r="G6474" s="3">
        <f t="shared" si="305"/>
        <v>-1.2686429860975235E-2</v>
      </c>
      <c r="H6474" s="2">
        <f t="shared" si="303"/>
        <v>166.09999999999854</v>
      </c>
      <c r="I6474" s="3">
        <f t="shared" si="304"/>
        <v>9.6330341737830994E-3</v>
      </c>
    </row>
    <row r="6475" spans="2:9" x14ac:dyDescent="0.25">
      <c r="B6475" s="1">
        <v>44676</v>
      </c>
      <c r="C6475" s="2">
        <v>16953.95</v>
      </c>
      <c r="D6475" s="2">
        <v>17009.05</v>
      </c>
      <c r="E6475" s="2">
        <v>17054.3</v>
      </c>
      <c r="F6475" s="2">
        <v>16888.7</v>
      </c>
      <c r="G6475" s="3">
        <f t="shared" si="305"/>
        <v>-1.2695121986728397E-2</v>
      </c>
      <c r="H6475" s="2">
        <f t="shared" si="303"/>
        <v>165.59999999999854</v>
      </c>
      <c r="I6475" s="3">
        <f t="shared" si="304"/>
        <v>9.735993485820698E-3</v>
      </c>
    </row>
    <row r="6476" spans="2:9" x14ac:dyDescent="0.25">
      <c r="B6476" s="1">
        <v>44677</v>
      </c>
      <c r="C6476" s="2">
        <v>17200.8</v>
      </c>
      <c r="D6476" s="2">
        <v>17121.3</v>
      </c>
      <c r="E6476" s="2">
        <v>17223.849999999999</v>
      </c>
      <c r="F6476" s="2">
        <v>17064.45</v>
      </c>
      <c r="G6476" s="3">
        <f t="shared" si="305"/>
        <v>1.4560028783852541E-2</v>
      </c>
      <c r="H6476" s="2">
        <f t="shared" si="303"/>
        <v>159.39999999999782</v>
      </c>
      <c r="I6476" s="3">
        <f t="shared" si="304"/>
        <v>9.3100407095254353E-3</v>
      </c>
    </row>
    <row r="6477" spans="2:9" x14ac:dyDescent="0.25">
      <c r="B6477" s="1">
        <v>44678</v>
      </c>
      <c r="C6477" s="2">
        <v>17038.400000000001</v>
      </c>
      <c r="D6477" s="2">
        <v>17073.349999999999</v>
      </c>
      <c r="E6477" s="2">
        <v>17110.7</v>
      </c>
      <c r="F6477" s="2">
        <v>16958.45</v>
      </c>
      <c r="G6477" s="3">
        <f t="shared" si="305"/>
        <v>-9.4414213292404181E-3</v>
      </c>
      <c r="H6477" s="2">
        <f t="shared" si="303"/>
        <v>152.25</v>
      </c>
      <c r="I6477" s="3">
        <f t="shared" si="304"/>
        <v>8.9174063672331442E-3</v>
      </c>
    </row>
    <row r="6478" spans="2:9" x14ac:dyDescent="0.25">
      <c r="B6478" s="1">
        <v>44679</v>
      </c>
      <c r="C6478" s="2">
        <v>17245.05</v>
      </c>
      <c r="D6478" s="2">
        <v>17189.5</v>
      </c>
      <c r="E6478" s="2">
        <v>17322.5</v>
      </c>
      <c r="F6478" s="2">
        <v>17071.05</v>
      </c>
      <c r="G6478" s="3">
        <f t="shared" si="305"/>
        <v>1.2128486242839465E-2</v>
      </c>
      <c r="H6478" s="2">
        <f t="shared" si="303"/>
        <v>251.45000000000073</v>
      </c>
      <c r="I6478" s="3">
        <f t="shared" si="304"/>
        <v>1.4628116001047194E-2</v>
      </c>
    </row>
    <row r="6479" spans="2:9" x14ac:dyDescent="0.25">
      <c r="B6479" s="1">
        <v>44680</v>
      </c>
      <c r="C6479" s="2">
        <v>17102.55</v>
      </c>
      <c r="D6479" s="2">
        <v>17329.25</v>
      </c>
      <c r="E6479" s="2">
        <v>17377.650000000001</v>
      </c>
      <c r="F6479" s="2">
        <v>17053.25</v>
      </c>
      <c r="G6479" s="3">
        <f t="shared" si="305"/>
        <v>-8.263240756043011E-3</v>
      </c>
      <c r="H6479" s="2">
        <f t="shared" si="303"/>
        <v>324.40000000000146</v>
      </c>
      <c r="I6479" s="3">
        <f t="shared" si="304"/>
        <v>1.8719794566989422E-2</v>
      </c>
    </row>
    <row r="6480" spans="2:9" x14ac:dyDescent="0.25">
      <c r="B6480" s="1">
        <v>44683</v>
      </c>
      <c r="C6480" s="2">
        <v>17069.099999999999</v>
      </c>
      <c r="D6480" s="2">
        <v>16924.45</v>
      </c>
      <c r="E6480" s="2">
        <v>17092.25</v>
      </c>
      <c r="F6480" s="2">
        <v>16917.25</v>
      </c>
      <c r="G6480" s="3">
        <f t="shared" si="305"/>
        <v>-1.9558486892305993E-3</v>
      </c>
      <c r="H6480" s="2">
        <f t="shared" si="303"/>
        <v>175</v>
      </c>
      <c r="I6480" s="3">
        <f t="shared" si="304"/>
        <v>1.0340070135218574E-2</v>
      </c>
    </row>
    <row r="6481" spans="2:9" x14ac:dyDescent="0.25">
      <c r="B6481" s="1">
        <v>44685</v>
      </c>
      <c r="C6481" s="2">
        <v>16677.599999999999</v>
      </c>
      <c r="D6481" s="2">
        <v>17096.599999999999</v>
      </c>
      <c r="E6481" s="2">
        <v>17132.849999999999</v>
      </c>
      <c r="F6481" s="2">
        <v>16623.95</v>
      </c>
      <c r="G6481" s="3">
        <f t="shared" si="305"/>
        <v>-2.293618292704358E-2</v>
      </c>
      <c r="H6481" s="2">
        <f t="shared" si="303"/>
        <v>508.89999999999782</v>
      </c>
      <c r="I6481" s="3">
        <f t="shared" si="304"/>
        <v>2.9766152334382151E-2</v>
      </c>
    </row>
    <row r="6482" spans="2:9" x14ac:dyDescent="0.25">
      <c r="B6482" s="1">
        <v>44686</v>
      </c>
      <c r="C6482" s="2">
        <v>16682.650000000001</v>
      </c>
      <c r="D6482" s="2">
        <v>16854.75</v>
      </c>
      <c r="E6482" s="2">
        <v>16945.7</v>
      </c>
      <c r="F6482" s="2">
        <v>16651.849999999999</v>
      </c>
      <c r="G6482" s="3">
        <f t="shared" si="305"/>
        <v>3.0280136230653731E-4</v>
      </c>
      <c r="H6482" s="2">
        <f t="shared" si="303"/>
        <v>293.85000000000218</v>
      </c>
      <c r="I6482" s="3">
        <f t="shared" si="304"/>
        <v>1.7434254438659855E-2</v>
      </c>
    </row>
    <row r="6483" spans="2:9" x14ac:dyDescent="0.25">
      <c r="B6483" s="1">
        <v>44687</v>
      </c>
      <c r="C6483" s="2">
        <v>16411.25</v>
      </c>
      <c r="D6483" s="2">
        <v>16415.55</v>
      </c>
      <c r="E6483" s="2">
        <v>16484.2</v>
      </c>
      <c r="F6483" s="2">
        <v>16340.9</v>
      </c>
      <c r="G6483" s="3">
        <f t="shared" si="305"/>
        <v>-1.6268398605737144E-2</v>
      </c>
      <c r="H6483" s="2">
        <f t="shared" si="303"/>
        <v>143.30000000000109</v>
      </c>
      <c r="I6483" s="3">
        <f t="shared" si="304"/>
        <v>8.7295277952917257E-3</v>
      </c>
    </row>
    <row r="6484" spans="2:9" x14ac:dyDescent="0.25">
      <c r="B6484" s="1">
        <v>44690</v>
      </c>
      <c r="C6484" s="2">
        <v>16301.85</v>
      </c>
      <c r="D6484" s="2">
        <v>16227.7</v>
      </c>
      <c r="E6484" s="2">
        <v>16403.7</v>
      </c>
      <c r="F6484" s="2">
        <v>16142.1</v>
      </c>
      <c r="G6484" s="3">
        <f t="shared" si="305"/>
        <v>-6.6661588849112885E-3</v>
      </c>
      <c r="H6484" s="2">
        <f t="shared" si="303"/>
        <v>261.60000000000036</v>
      </c>
      <c r="I6484" s="3">
        <f t="shared" si="304"/>
        <v>1.612058393980665E-2</v>
      </c>
    </row>
    <row r="6485" spans="2:9" x14ac:dyDescent="0.25">
      <c r="B6485" s="1">
        <v>44691</v>
      </c>
      <c r="C6485" s="2">
        <v>16240.05</v>
      </c>
      <c r="D6485" s="2">
        <v>16248.9</v>
      </c>
      <c r="E6485" s="2">
        <v>16404.55</v>
      </c>
      <c r="F6485" s="2">
        <v>16197.3</v>
      </c>
      <c r="G6485" s="3">
        <f t="shared" si="305"/>
        <v>-3.7909807782553484E-3</v>
      </c>
      <c r="H6485" s="2">
        <f t="shared" si="303"/>
        <v>207.25</v>
      </c>
      <c r="I6485" s="3">
        <f t="shared" si="304"/>
        <v>1.2754709549569509E-2</v>
      </c>
    </row>
    <row r="6486" spans="2:9" x14ac:dyDescent="0.25">
      <c r="B6486" s="1">
        <v>44692</v>
      </c>
      <c r="C6486" s="2">
        <v>16167.1</v>
      </c>
      <c r="D6486" s="2">
        <v>16270.05</v>
      </c>
      <c r="E6486" s="2">
        <v>16318.75</v>
      </c>
      <c r="F6486" s="2">
        <v>15992.6</v>
      </c>
      <c r="G6486" s="3">
        <f t="shared" si="305"/>
        <v>-4.4919812439000451E-3</v>
      </c>
      <c r="H6486" s="2">
        <f t="shared" si="303"/>
        <v>326.14999999999964</v>
      </c>
      <c r="I6486" s="3">
        <f t="shared" si="304"/>
        <v>2.0046035506959086E-2</v>
      </c>
    </row>
    <row r="6487" spans="2:9" x14ac:dyDescent="0.25">
      <c r="B6487" s="1">
        <v>44693</v>
      </c>
      <c r="C6487" s="2">
        <v>15808</v>
      </c>
      <c r="D6487" s="2">
        <v>16021.1</v>
      </c>
      <c r="E6487" s="2">
        <v>16041.95</v>
      </c>
      <c r="F6487" s="2">
        <v>15735.75</v>
      </c>
      <c r="G6487" s="3">
        <f t="shared" si="305"/>
        <v>-2.2211775766835085E-2</v>
      </c>
      <c r="H6487" s="2">
        <f t="shared" si="303"/>
        <v>306.20000000000073</v>
      </c>
      <c r="I6487" s="3">
        <f t="shared" si="304"/>
        <v>1.911229566009829E-2</v>
      </c>
    </row>
    <row r="6488" spans="2:9" x14ac:dyDescent="0.25">
      <c r="B6488" s="1">
        <v>44694</v>
      </c>
      <c r="C6488" s="2">
        <v>15782.15</v>
      </c>
      <c r="D6488" s="2">
        <v>15977</v>
      </c>
      <c r="E6488" s="2">
        <v>16083.6</v>
      </c>
      <c r="F6488" s="2">
        <v>15740.85</v>
      </c>
      <c r="G6488" s="3">
        <f t="shared" si="305"/>
        <v>-1.6352479757085758E-3</v>
      </c>
      <c r="H6488" s="2">
        <f t="shared" si="303"/>
        <v>342.75</v>
      </c>
      <c r="I6488" s="3">
        <f t="shared" si="304"/>
        <v>2.1452713275333293E-2</v>
      </c>
    </row>
    <row r="6489" spans="2:9" x14ac:dyDescent="0.25">
      <c r="B6489" s="1">
        <v>44697</v>
      </c>
      <c r="C6489" s="2">
        <v>15842.3</v>
      </c>
      <c r="D6489" s="2">
        <v>15845.1</v>
      </c>
      <c r="E6489" s="2">
        <v>15977.95</v>
      </c>
      <c r="F6489" s="2">
        <v>15739.65</v>
      </c>
      <c r="G6489" s="3">
        <f t="shared" si="305"/>
        <v>3.811267793044637E-3</v>
      </c>
      <c r="H6489" s="2">
        <f t="shared" si="303"/>
        <v>238.30000000000109</v>
      </c>
      <c r="I6489" s="3">
        <f t="shared" si="304"/>
        <v>1.5039349704325066E-2</v>
      </c>
    </row>
    <row r="6490" spans="2:9" x14ac:dyDescent="0.25">
      <c r="B6490" s="1">
        <v>44698</v>
      </c>
      <c r="C6490" s="2">
        <v>16259.3</v>
      </c>
      <c r="D6490" s="2">
        <v>15912.6</v>
      </c>
      <c r="E6490" s="2">
        <v>16284.25</v>
      </c>
      <c r="F6490" s="2">
        <v>15900.8</v>
      </c>
      <c r="G6490" s="3">
        <f t="shared" si="305"/>
        <v>2.6321935577536149E-2</v>
      </c>
      <c r="H6490" s="2">
        <f t="shared" si="303"/>
        <v>383.45000000000073</v>
      </c>
      <c r="I6490" s="3">
        <f t="shared" si="304"/>
        <v>2.4097256262333038E-2</v>
      </c>
    </row>
    <row r="6491" spans="2:9" x14ac:dyDescent="0.25">
      <c r="B6491" s="1">
        <v>44699</v>
      </c>
      <c r="C6491" s="2">
        <v>16240.3</v>
      </c>
      <c r="D6491" s="2">
        <v>16318.15</v>
      </c>
      <c r="E6491" s="2">
        <v>16399.8</v>
      </c>
      <c r="F6491" s="2">
        <v>16211.2</v>
      </c>
      <c r="G6491" s="3">
        <f t="shared" si="305"/>
        <v>-1.1685619922137125E-3</v>
      </c>
      <c r="H6491" s="2">
        <f t="shared" si="303"/>
        <v>188.59999999999854</v>
      </c>
      <c r="I6491" s="3">
        <f t="shared" si="304"/>
        <v>1.1557682703002396E-2</v>
      </c>
    </row>
    <row r="6492" spans="2:9" x14ac:dyDescent="0.25">
      <c r="B6492" s="1">
        <v>44700</v>
      </c>
      <c r="C6492" s="2">
        <v>15809.4</v>
      </c>
      <c r="D6492" s="2">
        <v>15917.4</v>
      </c>
      <c r="E6492" s="2">
        <v>15984.75</v>
      </c>
      <c r="F6492" s="2">
        <v>15775.2</v>
      </c>
      <c r="G6492" s="3">
        <f t="shared" si="305"/>
        <v>-2.6532761094314794E-2</v>
      </c>
      <c r="H6492" s="2">
        <f t="shared" si="303"/>
        <v>209.54999999999927</v>
      </c>
      <c r="I6492" s="3">
        <f t="shared" si="304"/>
        <v>1.3164838478645965E-2</v>
      </c>
    </row>
    <row r="6493" spans="2:9" x14ac:dyDescent="0.25">
      <c r="B6493" s="1">
        <v>44701</v>
      </c>
      <c r="C6493" s="2">
        <v>16266.15</v>
      </c>
      <c r="D6493" s="2">
        <v>16043.8</v>
      </c>
      <c r="E6493" s="2">
        <v>16283.05</v>
      </c>
      <c r="F6493" s="2">
        <v>16003.85</v>
      </c>
      <c r="G6493" s="3">
        <f t="shared" si="305"/>
        <v>2.8891039508140759E-2</v>
      </c>
      <c r="H6493" s="2">
        <f t="shared" si="303"/>
        <v>279.19999999999891</v>
      </c>
      <c r="I6493" s="3">
        <f t="shared" si="304"/>
        <v>1.7402361036662071E-2</v>
      </c>
    </row>
    <row r="6494" spans="2:9" x14ac:dyDescent="0.25">
      <c r="B6494" s="1">
        <v>44704</v>
      </c>
      <c r="C6494" s="2">
        <v>16214.7</v>
      </c>
      <c r="D6494" s="2">
        <v>16290.95</v>
      </c>
      <c r="E6494" s="2">
        <v>16414.7</v>
      </c>
      <c r="F6494" s="2">
        <v>16185.75</v>
      </c>
      <c r="G6494" s="3">
        <f t="shared" si="305"/>
        <v>-3.1630103005320098E-3</v>
      </c>
      <c r="H6494" s="2">
        <f t="shared" si="303"/>
        <v>228.95000000000073</v>
      </c>
      <c r="I6494" s="3">
        <f t="shared" si="304"/>
        <v>1.4053815155040112E-2</v>
      </c>
    </row>
    <row r="6495" spans="2:9" x14ac:dyDescent="0.25">
      <c r="B6495" s="1">
        <v>44705</v>
      </c>
      <c r="C6495" s="2">
        <v>16125.15</v>
      </c>
      <c r="D6495" s="2">
        <v>16225.55</v>
      </c>
      <c r="E6495" s="2">
        <v>16262.8</v>
      </c>
      <c r="F6495" s="2">
        <v>16078.6</v>
      </c>
      <c r="G6495" s="3">
        <f t="shared" si="305"/>
        <v>-5.5227663786564518E-3</v>
      </c>
      <c r="H6495" s="2">
        <f t="shared" si="303"/>
        <v>184.19999999999891</v>
      </c>
      <c r="I6495" s="3">
        <f t="shared" si="304"/>
        <v>1.1352465709945051E-2</v>
      </c>
    </row>
    <row r="6496" spans="2:9" x14ac:dyDescent="0.25">
      <c r="B6496" s="1">
        <v>44706</v>
      </c>
      <c r="C6496" s="2">
        <v>16025.8</v>
      </c>
      <c r="D6496" s="2">
        <v>16196.35</v>
      </c>
      <c r="E6496" s="2">
        <v>16223.35</v>
      </c>
      <c r="F6496" s="2">
        <v>16006.95</v>
      </c>
      <c r="G6496" s="3">
        <f t="shared" si="305"/>
        <v>-6.1611829967473941E-3</v>
      </c>
      <c r="H6496" s="2">
        <f t="shared" si="303"/>
        <v>216.39999999999964</v>
      </c>
      <c r="I6496" s="3">
        <f t="shared" si="304"/>
        <v>1.3361035048020055E-2</v>
      </c>
    </row>
    <row r="6497" spans="2:9" x14ac:dyDescent="0.25">
      <c r="B6497" s="1">
        <v>44707</v>
      </c>
      <c r="C6497" s="2">
        <v>16170.15</v>
      </c>
      <c r="D6497" s="2">
        <v>16105</v>
      </c>
      <c r="E6497" s="2">
        <v>16204.45</v>
      </c>
      <c r="F6497" s="2">
        <v>15903.7</v>
      </c>
      <c r="G6497" s="3">
        <f t="shared" si="305"/>
        <v>9.0073506470815801E-3</v>
      </c>
      <c r="H6497" s="2">
        <f t="shared" si="303"/>
        <v>300.75</v>
      </c>
      <c r="I6497" s="3">
        <f t="shared" si="304"/>
        <v>1.8674324743868365E-2</v>
      </c>
    </row>
    <row r="6498" spans="2:9" x14ac:dyDescent="0.25">
      <c r="B6498" s="1">
        <v>44708</v>
      </c>
      <c r="C6498" s="2">
        <v>16352.45</v>
      </c>
      <c r="D6498" s="2">
        <v>16296.6</v>
      </c>
      <c r="E6498" s="2">
        <v>16370.6</v>
      </c>
      <c r="F6498" s="2">
        <v>16221.95</v>
      </c>
      <c r="G6498" s="3">
        <f t="shared" si="305"/>
        <v>1.1273859549849607E-2</v>
      </c>
      <c r="H6498" s="2">
        <f t="shared" si="303"/>
        <v>148.64999999999964</v>
      </c>
      <c r="I6498" s="3">
        <f t="shared" si="304"/>
        <v>9.1215345532196668E-3</v>
      </c>
    </row>
    <row r="6499" spans="2:9" x14ac:dyDescent="0.25">
      <c r="B6499" s="1">
        <v>44711</v>
      </c>
      <c r="C6499" s="2">
        <v>16661.400000000001</v>
      </c>
      <c r="D6499" s="2">
        <v>16527.900000000001</v>
      </c>
      <c r="E6499" s="2">
        <v>16695.5</v>
      </c>
      <c r="F6499" s="2">
        <v>16506.150000000001</v>
      </c>
      <c r="G6499" s="3">
        <f t="shared" si="305"/>
        <v>1.8893193374693196E-2</v>
      </c>
      <c r="H6499" s="2">
        <f t="shared" si="303"/>
        <v>189.34999999999854</v>
      </c>
      <c r="I6499" s="3">
        <f t="shared" si="304"/>
        <v>1.1456385868743067E-2</v>
      </c>
    </row>
    <row r="6500" spans="2:9" x14ac:dyDescent="0.25">
      <c r="B6500" s="1">
        <v>44712</v>
      </c>
      <c r="C6500" s="2">
        <v>16584.55</v>
      </c>
      <c r="D6500" s="2">
        <v>16578.45</v>
      </c>
      <c r="E6500" s="2">
        <v>16690.75</v>
      </c>
      <c r="F6500" s="2">
        <v>16521.900000000001</v>
      </c>
      <c r="G6500" s="3">
        <f t="shared" si="305"/>
        <v>-4.6124575365816822E-3</v>
      </c>
      <c r="H6500" s="2">
        <f t="shared" si="303"/>
        <v>168.84999999999854</v>
      </c>
      <c r="I6500" s="3">
        <f t="shared" si="304"/>
        <v>1.0184908721864743E-2</v>
      </c>
    </row>
    <row r="6501" spans="2:9" x14ac:dyDescent="0.25">
      <c r="B6501" s="1">
        <v>44713</v>
      </c>
      <c r="C6501" s="2">
        <v>16522.75</v>
      </c>
      <c r="D6501" s="2">
        <v>16594.400000000001</v>
      </c>
      <c r="E6501" s="2">
        <v>16649.2</v>
      </c>
      <c r="F6501" s="2">
        <v>16438.849999999999</v>
      </c>
      <c r="G6501" s="3">
        <f t="shared" si="305"/>
        <v>-3.7263597746094446E-3</v>
      </c>
      <c r="H6501" s="2">
        <f t="shared" si="303"/>
        <v>210.35000000000218</v>
      </c>
      <c r="I6501" s="3">
        <f t="shared" si="304"/>
        <v>1.2675962975461731E-2</v>
      </c>
    </row>
    <row r="6502" spans="2:9" x14ac:dyDescent="0.25">
      <c r="B6502" s="1">
        <v>44714</v>
      </c>
      <c r="C6502" s="2">
        <v>16628</v>
      </c>
      <c r="D6502" s="2">
        <v>16481.650000000001</v>
      </c>
      <c r="E6502" s="2">
        <v>16646.400000000001</v>
      </c>
      <c r="F6502" s="2">
        <v>16443.05</v>
      </c>
      <c r="G6502" s="3">
        <f t="shared" si="305"/>
        <v>6.3700049931154634E-3</v>
      </c>
      <c r="H6502" s="2">
        <f t="shared" si="303"/>
        <v>203.35000000000218</v>
      </c>
      <c r="I6502" s="3">
        <f t="shared" si="304"/>
        <v>1.2337963735427107E-2</v>
      </c>
    </row>
    <row r="6503" spans="2:9" x14ac:dyDescent="0.25">
      <c r="B6503" s="1">
        <v>44715</v>
      </c>
      <c r="C6503" s="2">
        <v>16584.3</v>
      </c>
      <c r="D6503" s="2">
        <v>16761.650000000001</v>
      </c>
      <c r="E6503" s="2">
        <v>16793.849999999999</v>
      </c>
      <c r="F6503" s="2">
        <v>16567.900000000001</v>
      </c>
      <c r="G6503" s="3">
        <f t="shared" si="305"/>
        <v>-2.6280971854703017E-3</v>
      </c>
      <c r="H6503" s="2">
        <f t="shared" si="303"/>
        <v>225.94999999999709</v>
      </c>
      <c r="I6503" s="3">
        <f t="shared" si="304"/>
        <v>1.3480176474272942E-2</v>
      </c>
    </row>
    <row r="6504" spans="2:9" x14ac:dyDescent="0.25">
      <c r="B6504" s="1">
        <v>44718</v>
      </c>
      <c r="C6504" s="2">
        <v>16569.55</v>
      </c>
      <c r="D6504" s="2">
        <v>16530.7</v>
      </c>
      <c r="E6504" s="2">
        <v>16610.95</v>
      </c>
      <c r="F6504" s="2">
        <v>16444.55</v>
      </c>
      <c r="G6504" s="3">
        <f t="shared" si="305"/>
        <v>-8.8939539202737006E-4</v>
      </c>
      <c r="H6504" s="2">
        <f t="shared" si="303"/>
        <v>166.40000000000146</v>
      </c>
      <c r="I6504" s="3">
        <f t="shared" si="304"/>
        <v>1.0066119402082274E-2</v>
      </c>
    </row>
    <row r="6505" spans="2:9" x14ac:dyDescent="0.25">
      <c r="B6505" s="1">
        <v>44719</v>
      </c>
      <c r="C6505" s="2">
        <v>16416.349999999999</v>
      </c>
      <c r="D6505" s="2">
        <v>16469.599999999999</v>
      </c>
      <c r="E6505" s="2">
        <v>16487.25</v>
      </c>
      <c r="F6505" s="2">
        <v>16347.1</v>
      </c>
      <c r="G6505" s="3">
        <f t="shared" si="305"/>
        <v>-9.2458757178076612E-3</v>
      </c>
      <c r="H6505" s="2">
        <f t="shared" si="303"/>
        <v>140.14999999999964</v>
      </c>
      <c r="I6505" s="3">
        <f t="shared" si="304"/>
        <v>8.5096177199203166E-3</v>
      </c>
    </row>
    <row r="6506" spans="2:9" x14ac:dyDescent="0.25">
      <c r="B6506" s="1">
        <v>44720</v>
      </c>
      <c r="C6506" s="2">
        <v>16356.25</v>
      </c>
      <c r="D6506" s="2">
        <v>16474.95</v>
      </c>
      <c r="E6506" s="2">
        <v>16514.3</v>
      </c>
      <c r="F6506" s="2">
        <v>16293.35</v>
      </c>
      <c r="G6506" s="3">
        <f t="shared" si="305"/>
        <v>-3.6609843235554385E-3</v>
      </c>
      <c r="H6506" s="2">
        <f t="shared" si="303"/>
        <v>220.94999999999891</v>
      </c>
      <c r="I6506" s="3">
        <f t="shared" si="304"/>
        <v>1.3411269836934189E-2</v>
      </c>
    </row>
    <row r="6507" spans="2:9" x14ac:dyDescent="0.25">
      <c r="B6507" s="1">
        <v>44721</v>
      </c>
      <c r="C6507" s="2">
        <v>16478.099999999999</v>
      </c>
      <c r="D6507" s="2">
        <v>16263.85</v>
      </c>
      <c r="E6507" s="2">
        <v>16492.8</v>
      </c>
      <c r="F6507" s="2">
        <v>16243.85</v>
      </c>
      <c r="G6507" s="3">
        <f t="shared" si="305"/>
        <v>7.4497516239968586E-3</v>
      </c>
      <c r="H6507" s="2">
        <f t="shared" si="303"/>
        <v>248.94999999999891</v>
      </c>
      <c r="I6507" s="3">
        <f t="shared" si="304"/>
        <v>1.5306953765559747E-2</v>
      </c>
    </row>
    <row r="6508" spans="2:9" x14ac:dyDescent="0.25">
      <c r="B6508" s="1">
        <v>44722</v>
      </c>
      <c r="C6508" s="2">
        <v>16201.8</v>
      </c>
      <c r="D6508" s="2">
        <v>16283.95</v>
      </c>
      <c r="E6508" s="2">
        <v>16324.7</v>
      </c>
      <c r="F6508" s="2">
        <v>16172.6</v>
      </c>
      <c r="G6508" s="3">
        <f t="shared" si="305"/>
        <v>-1.6767709869463077E-2</v>
      </c>
      <c r="H6508" s="2">
        <f t="shared" si="303"/>
        <v>152.10000000000036</v>
      </c>
      <c r="I6508" s="3">
        <f t="shared" si="304"/>
        <v>9.3404855701473138E-3</v>
      </c>
    </row>
    <row r="6509" spans="2:9" x14ac:dyDescent="0.25">
      <c r="B6509" s="1">
        <v>44725</v>
      </c>
      <c r="C6509" s="2">
        <v>15774.4</v>
      </c>
      <c r="D6509" s="2">
        <v>15877.55</v>
      </c>
      <c r="E6509" s="2">
        <v>15886.15</v>
      </c>
      <c r="F6509" s="2">
        <v>15684</v>
      </c>
      <c r="G6509" s="3">
        <f t="shared" si="305"/>
        <v>-2.6379784962164643E-2</v>
      </c>
      <c r="H6509" s="2">
        <f t="shared" si="303"/>
        <v>202.14999999999964</v>
      </c>
      <c r="I6509" s="3">
        <f t="shared" si="304"/>
        <v>1.2731813157571518E-2</v>
      </c>
    </row>
    <row r="6510" spans="2:9" x14ac:dyDescent="0.25">
      <c r="B6510" s="1">
        <v>44726</v>
      </c>
      <c r="C6510" s="2">
        <v>15732.1</v>
      </c>
      <c r="D6510" s="2">
        <v>15674.25</v>
      </c>
      <c r="E6510" s="2">
        <v>15858</v>
      </c>
      <c r="F6510" s="2">
        <v>15659.45</v>
      </c>
      <c r="G6510" s="3">
        <f t="shared" si="305"/>
        <v>-2.6815599959427727E-3</v>
      </c>
      <c r="H6510" s="2">
        <f t="shared" si="303"/>
        <v>198.54999999999927</v>
      </c>
      <c r="I6510" s="3">
        <f t="shared" si="304"/>
        <v>1.2667272756272184E-2</v>
      </c>
    </row>
    <row r="6511" spans="2:9" x14ac:dyDescent="0.25">
      <c r="B6511" s="1">
        <v>44727</v>
      </c>
      <c r="C6511" s="2">
        <v>15692.15</v>
      </c>
      <c r="D6511" s="2">
        <v>15729.25</v>
      </c>
      <c r="E6511" s="2">
        <v>15783.65</v>
      </c>
      <c r="F6511" s="2">
        <v>15678.9</v>
      </c>
      <c r="G6511" s="3">
        <f t="shared" si="305"/>
        <v>-2.5393939779178032E-3</v>
      </c>
      <c r="H6511" s="2">
        <f t="shared" si="303"/>
        <v>104.75</v>
      </c>
      <c r="I6511" s="3">
        <f t="shared" si="304"/>
        <v>6.6595673665305081E-3</v>
      </c>
    </row>
    <row r="6512" spans="2:9" x14ac:dyDescent="0.25">
      <c r="B6512" s="1">
        <v>44728</v>
      </c>
      <c r="C6512" s="2">
        <v>15360.6</v>
      </c>
      <c r="D6512" s="2">
        <v>15832.25</v>
      </c>
      <c r="E6512" s="2">
        <v>15863.15</v>
      </c>
      <c r="F6512" s="2">
        <v>15335.1</v>
      </c>
      <c r="G6512" s="3">
        <f t="shared" si="305"/>
        <v>-2.1128398594201458E-2</v>
      </c>
      <c r="H6512" s="2">
        <f t="shared" si="303"/>
        <v>528.04999999999927</v>
      </c>
      <c r="I6512" s="3">
        <f t="shared" si="304"/>
        <v>3.3352808350044956E-2</v>
      </c>
    </row>
    <row r="6513" spans="2:9" x14ac:dyDescent="0.25">
      <c r="B6513" s="1">
        <v>44729</v>
      </c>
      <c r="C6513" s="2">
        <v>15293.5</v>
      </c>
      <c r="D6513" s="2">
        <v>15272.65</v>
      </c>
      <c r="E6513" s="2">
        <v>15400.4</v>
      </c>
      <c r="F6513" s="2">
        <v>15183.4</v>
      </c>
      <c r="G6513" s="3">
        <f t="shared" si="305"/>
        <v>-4.3683189458745275E-3</v>
      </c>
      <c r="H6513" s="2">
        <f t="shared" si="303"/>
        <v>217</v>
      </c>
      <c r="I6513" s="3">
        <f t="shared" si="304"/>
        <v>1.4208405221097845E-2</v>
      </c>
    </row>
    <row r="6514" spans="2:9" x14ac:dyDescent="0.25">
      <c r="B6514" s="1">
        <v>44732</v>
      </c>
      <c r="C6514" s="2">
        <v>15350.15</v>
      </c>
      <c r="D6514" s="2">
        <v>15334.5</v>
      </c>
      <c r="E6514" s="2">
        <v>15382.5</v>
      </c>
      <c r="F6514" s="2">
        <v>15191.1</v>
      </c>
      <c r="G6514" s="3">
        <f t="shared" si="305"/>
        <v>3.7041880537482808E-3</v>
      </c>
      <c r="H6514" s="2">
        <f t="shared" si="303"/>
        <v>191.39999999999964</v>
      </c>
      <c r="I6514" s="3">
        <f t="shared" si="304"/>
        <v>1.2481659004206178E-2</v>
      </c>
    </row>
    <row r="6515" spans="2:9" x14ac:dyDescent="0.25">
      <c r="B6515" s="1">
        <v>44733</v>
      </c>
      <c r="C6515" s="2">
        <v>15638.8</v>
      </c>
      <c r="D6515" s="2">
        <v>15455.95</v>
      </c>
      <c r="E6515" s="2">
        <v>15707.25</v>
      </c>
      <c r="F6515" s="2">
        <v>15419.85</v>
      </c>
      <c r="G6515" s="3">
        <f t="shared" si="305"/>
        <v>1.8804376504464093E-2</v>
      </c>
      <c r="H6515" s="2">
        <f t="shared" si="303"/>
        <v>287.39999999999964</v>
      </c>
      <c r="I6515" s="3">
        <f t="shared" si="304"/>
        <v>1.8594780650817298E-2</v>
      </c>
    </row>
    <row r="6516" spans="2:9" x14ac:dyDescent="0.25">
      <c r="B6516" s="1">
        <v>44734</v>
      </c>
      <c r="C6516" s="2">
        <v>15413.3</v>
      </c>
      <c r="D6516" s="2">
        <v>15545.65</v>
      </c>
      <c r="E6516" s="2">
        <v>15565.4</v>
      </c>
      <c r="F6516" s="2">
        <v>15385.95</v>
      </c>
      <c r="G6516" s="3">
        <f t="shared" si="305"/>
        <v>-1.4419264905235707E-2</v>
      </c>
      <c r="H6516" s="2">
        <f t="shared" si="303"/>
        <v>179.44999999999891</v>
      </c>
      <c r="I6516" s="3">
        <f t="shared" si="304"/>
        <v>1.1543422114868076E-2</v>
      </c>
    </row>
    <row r="6517" spans="2:9" x14ac:dyDescent="0.25">
      <c r="B6517" s="1">
        <v>44735</v>
      </c>
      <c r="C6517" s="2">
        <v>15556.65</v>
      </c>
      <c r="D6517" s="2">
        <v>15451.55</v>
      </c>
      <c r="E6517" s="2">
        <v>15628.45</v>
      </c>
      <c r="F6517" s="2">
        <v>15367.5</v>
      </c>
      <c r="G6517" s="3">
        <f t="shared" si="305"/>
        <v>9.300409386698627E-3</v>
      </c>
      <c r="H6517" s="2">
        <f t="shared" si="303"/>
        <v>260.95000000000073</v>
      </c>
      <c r="I6517" s="3">
        <f t="shared" si="304"/>
        <v>1.6888273344745398E-2</v>
      </c>
    </row>
    <row r="6518" spans="2:9" x14ac:dyDescent="0.25">
      <c r="B6518" s="1">
        <v>44736</v>
      </c>
      <c r="C6518" s="2">
        <v>15699.25</v>
      </c>
      <c r="D6518" s="2">
        <v>15657.4</v>
      </c>
      <c r="E6518" s="2">
        <v>15749.25</v>
      </c>
      <c r="F6518" s="2">
        <v>15619.45</v>
      </c>
      <c r="G6518" s="3">
        <f t="shared" si="305"/>
        <v>9.1664979285386305E-3</v>
      </c>
      <c r="H6518" s="2">
        <f t="shared" si="303"/>
        <v>129.79999999999927</v>
      </c>
      <c r="I6518" s="3">
        <f t="shared" si="304"/>
        <v>8.2900098356048432E-3</v>
      </c>
    </row>
    <row r="6519" spans="2:9" x14ac:dyDescent="0.25">
      <c r="B6519" s="1">
        <v>44739</v>
      </c>
      <c r="C6519" s="2">
        <v>15832.05</v>
      </c>
      <c r="D6519" s="2">
        <v>15926.2</v>
      </c>
      <c r="E6519" s="2">
        <v>15927.45</v>
      </c>
      <c r="F6519" s="2">
        <v>15815.5</v>
      </c>
      <c r="G6519" s="3">
        <f t="shared" si="305"/>
        <v>8.4590028186060096E-3</v>
      </c>
      <c r="H6519" s="2">
        <f t="shared" si="303"/>
        <v>111.95000000000073</v>
      </c>
      <c r="I6519" s="3">
        <f t="shared" si="304"/>
        <v>7.0292976353430649E-3</v>
      </c>
    </row>
    <row r="6520" spans="2:9" x14ac:dyDescent="0.25">
      <c r="B6520" s="1">
        <v>44740</v>
      </c>
      <c r="C6520" s="2">
        <v>15850.2</v>
      </c>
      <c r="D6520" s="2">
        <v>15757.45</v>
      </c>
      <c r="E6520" s="2">
        <v>15892.1</v>
      </c>
      <c r="F6520" s="2">
        <v>15710.15</v>
      </c>
      <c r="G6520" s="3">
        <f t="shared" si="305"/>
        <v>1.1464087089165798E-3</v>
      </c>
      <c r="H6520" s="2">
        <f t="shared" si="303"/>
        <v>181.95000000000073</v>
      </c>
      <c r="I6520" s="3">
        <f t="shared" si="304"/>
        <v>1.1546919076373443E-2</v>
      </c>
    </row>
    <row r="6521" spans="2:9" x14ac:dyDescent="0.25">
      <c r="B6521" s="1">
        <v>44741</v>
      </c>
      <c r="C6521" s="2">
        <v>15799.1</v>
      </c>
      <c r="D6521" s="2">
        <v>15701.7</v>
      </c>
      <c r="E6521" s="2">
        <v>15861.6</v>
      </c>
      <c r="F6521" s="2">
        <v>15687.8</v>
      </c>
      <c r="G6521" s="3">
        <f t="shared" si="305"/>
        <v>-3.2239340828507101E-3</v>
      </c>
      <c r="H6521" s="2">
        <f t="shared" si="303"/>
        <v>173.80000000000109</v>
      </c>
      <c r="I6521" s="3">
        <f t="shared" si="304"/>
        <v>1.1068865154728538E-2</v>
      </c>
    </row>
    <row r="6522" spans="2:9" x14ac:dyDescent="0.25">
      <c r="B6522" s="1">
        <v>44742</v>
      </c>
      <c r="C6522" s="2">
        <v>15780.25</v>
      </c>
      <c r="D6522" s="2">
        <v>15774.5</v>
      </c>
      <c r="E6522" s="2">
        <v>15890</v>
      </c>
      <c r="F6522" s="2">
        <v>15728.85</v>
      </c>
      <c r="G6522" s="3">
        <f t="shared" si="305"/>
        <v>-1.193105936414085E-3</v>
      </c>
      <c r="H6522" s="2">
        <f t="shared" si="303"/>
        <v>161.14999999999964</v>
      </c>
      <c r="I6522" s="3">
        <f t="shared" si="304"/>
        <v>1.0215854702209239E-2</v>
      </c>
    </row>
    <row r="6523" spans="2:9" x14ac:dyDescent="0.25">
      <c r="B6523" s="1">
        <v>44743</v>
      </c>
      <c r="C6523" s="2">
        <v>15752.05</v>
      </c>
      <c r="D6523" s="2">
        <v>15703.7</v>
      </c>
      <c r="E6523" s="2">
        <v>15793.95</v>
      </c>
      <c r="F6523" s="2">
        <v>15511.05</v>
      </c>
      <c r="G6523" s="3">
        <f t="shared" si="305"/>
        <v>-1.7870439314966458E-3</v>
      </c>
      <c r="H6523" s="2">
        <f t="shared" si="303"/>
        <v>282.90000000000146</v>
      </c>
      <c r="I6523" s="3">
        <f t="shared" si="304"/>
        <v>1.8014862739354511E-2</v>
      </c>
    </row>
    <row r="6524" spans="2:9" x14ac:dyDescent="0.25">
      <c r="B6524" s="1">
        <v>44746</v>
      </c>
      <c r="C6524" s="2">
        <v>15835.35</v>
      </c>
      <c r="D6524" s="2">
        <v>15710.5</v>
      </c>
      <c r="E6524" s="2">
        <v>15852.35</v>
      </c>
      <c r="F6524" s="2">
        <v>15661.8</v>
      </c>
      <c r="G6524" s="3">
        <f t="shared" si="305"/>
        <v>5.2882005834162804E-3</v>
      </c>
      <c r="H6524" s="2">
        <f t="shared" si="303"/>
        <v>190.55000000000109</v>
      </c>
      <c r="I6524" s="3">
        <f t="shared" si="304"/>
        <v>1.2128831036567971E-2</v>
      </c>
    </row>
    <row r="6525" spans="2:9" x14ac:dyDescent="0.25">
      <c r="B6525" s="1">
        <v>44747</v>
      </c>
      <c r="C6525" s="2">
        <v>15810.85</v>
      </c>
      <c r="D6525" s="2">
        <v>15909.15</v>
      </c>
      <c r="E6525" s="2">
        <v>16025.75</v>
      </c>
      <c r="F6525" s="2">
        <v>15785.45</v>
      </c>
      <c r="G6525" s="3">
        <f t="shared" si="305"/>
        <v>-1.5471713602793757E-3</v>
      </c>
      <c r="H6525" s="2">
        <f t="shared" si="303"/>
        <v>240.29999999999927</v>
      </c>
      <c r="I6525" s="3">
        <f t="shared" si="304"/>
        <v>1.5104515326085886E-2</v>
      </c>
    </row>
    <row r="6526" spans="2:9" x14ac:dyDescent="0.25">
      <c r="B6526" s="1">
        <v>44748</v>
      </c>
      <c r="C6526" s="2">
        <v>15989.8</v>
      </c>
      <c r="D6526" s="2">
        <v>15818.2</v>
      </c>
      <c r="E6526" s="2">
        <v>16011.35</v>
      </c>
      <c r="F6526" s="2">
        <v>15800.9</v>
      </c>
      <c r="G6526" s="3">
        <f t="shared" si="305"/>
        <v>1.1318177074603808E-2</v>
      </c>
      <c r="H6526" s="2">
        <f t="shared" si="303"/>
        <v>210.45000000000073</v>
      </c>
      <c r="I6526" s="3">
        <f t="shared" si="304"/>
        <v>1.3304295052534467E-2</v>
      </c>
    </row>
    <row r="6527" spans="2:9" x14ac:dyDescent="0.25">
      <c r="B6527" s="1">
        <v>44749</v>
      </c>
      <c r="C6527" s="2">
        <v>16132.9</v>
      </c>
      <c r="D6527" s="2">
        <v>16113.75</v>
      </c>
      <c r="E6527" s="2">
        <v>16150.5</v>
      </c>
      <c r="F6527" s="2">
        <v>16045.95</v>
      </c>
      <c r="G6527" s="3">
        <f t="shared" si="305"/>
        <v>8.9494552777396041E-3</v>
      </c>
      <c r="H6527" s="2">
        <f t="shared" si="303"/>
        <v>104.54999999999927</v>
      </c>
      <c r="I6527" s="3">
        <f t="shared" si="304"/>
        <v>6.4882476146148026E-3</v>
      </c>
    </row>
    <row r="6528" spans="2:9" x14ac:dyDescent="0.25">
      <c r="B6528" s="1">
        <v>44750</v>
      </c>
      <c r="C6528" s="2">
        <v>16220.6</v>
      </c>
      <c r="D6528" s="2">
        <v>16273.65</v>
      </c>
      <c r="E6528" s="2">
        <v>16275.5</v>
      </c>
      <c r="F6528" s="2">
        <v>16157.9</v>
      </c>
      <c r="G6528" s="3">
        <f t="shared" si="305"/>
        <v>5.4360964240776077E-3</v>
      </c>
      <c r="H6528" s="2">
        <f t="shared" si="303"/>
        <v>117.60000000000036</v>
      </c>
      <c r="I6528" s="3">
        <f t="shared" si="304"/>
        <v>7.2264058769852101E-3</v>
      </c>
    </row>
    <row r="6529" spans="2:9" x14ac:dyDescent="0.25">
      <c r="B6529" s="1">
        <v>44753</v>
      </c>
      <c r="C6529" s="2">
        <v>16216</v>
      </c>
      <c r="D6529" s="2">
        <v>16136.15</v>
      </c>
      <c r="E6529" s="2">
        <v>16248.55</v>
      </c>
      <c r="F6529" s="2">
        <v>16115.5</v>
      </c>
      <c r="G6529" s="3">
        <f t="shared" si="305"/>
        <v>-2.8359000283595392E-4</v>
      </c>
      <c r="H6529" s="2">
        <f t="shared" si="303"/>
        <v>133.04999999999927</v>
      </c>
      <c r="I6529" s="3">
        <f t="shared" si="304"/>
        <v>8.2454612779380015E-3</v>
      </c>
    </row>
    <row r="6530" spans="2:9" x14ac:dyDescent="0.25">
      <c r="B6530" s="1">
        <v>44754</v>
      </c>
      <c r="C6530" s="2">
        <v>16058.3</v>
      </c>
      <c r="D6530" s="2">
        <v>16126.2</v>
      </c>
      <c r="E6530" s="2">
        <v>16158.75</v>
      </c>
      <c r="F6530" s="2">
        <v>16031.15</v>
      </c>
      <c r="G6530" s="3">
        <f t="shared" si="305"/>
        <v>-9.7249629995067588E-3</v>
      </c>
      <c r="H6530" s="2">
        <f t="shared" si="303"/>
        <v>127.60000000000036</v>
      </c>
      <c r="I6530" s="3">
        <f t="shared" si="304"/>
        <v>7.9125894507075661E-3</v>
      </c>
    </row>
    <row r="6531" spans="2:9" x14ac:dyDescent="0.25">
      <c r="B6531" s="1">
        <v>44755</v>
      </c>
      <c r="C6531" s="2">
        <v>15966.65</v>
      </c>
      <c r="D6531" s="2">
        <v>16128.2</v>
      </c>
      <c r="E6531" s="2">
        <v>16140</v>
      </c>
      <c r="F6531" s="2">
        <v>15950.15</v>
      </c>
      <c r="G6531" s="3">
        <f t="shared" si="305"/>
        <v>-5.7073289202468347E-3</v>
      </c>
      <c r="H6531" s="2">
        <f t="shared" si="303"/>
        <v>189.85000000000036</v>
      </c>
      <c r="I6531" s="3">
        <f t="shared" si="304"/>
        <v>1.1771307399461835E-2</v>
      </c>
    </row>
    <row r="6532" spans="2:9" x14ac:dyDescent="0.25">
      <c r="B6532" s="1">
        <v>44756</v>
      </c>
      <c r="C6532" s="2">
        <v>15938.65</v>
      </c>
      <c r="D6532" s="2">
        <v>16018.85</v>
      </c>
      <c r="E6532" s="2">
        <v>16070.85</v>
      </c>
      <c r="F6532" s="2">
        <v>15858.2</v>
      </c>
      <c r="G6532" s="3">
        <f t="shared" si="305"/>
        <v>-1.7536552752143164E-3</v>
      </c>
      <c r="H6532" s="2">
        <f t="shared" si="303"/>
        <v>212.64999999999964</v>
      </c>
      <c r="I6532" s="3">
        <f t="shared" si="304"/>
        <v>1.3274985407816393E-2</v>
      </c>
    </row>
    <row r="6533" spans="2:9" x14ac:dyDescent="0.25">
      <c r="B6533" s="1">
        <v>44757</v>
      </c>
      <c r="C6533" s="2">
        <v>16049.2</v>
      </c>
      <c r="D6533" s="2">
        <v>16010.8</v>
      </c>
      <c r="E6533" s="2">
        <v>16066.95</v>
      </c>
      <c r="F6533" s="2">
        <v>15927.3</v>
      </c>
      <c r="G6533" s="3">
        <f t="shared" si="305"/>
        <v>6.9359701103921534E-3</v>
      </c>
      <c r="H6533" s="2">
        <f t="shared" ref="H6533:H6596" si="306">E6533-F6533</f>
        <v>139.65000000000146</v>
      </c>
      <c r="I6533" s="3">
        <f t="shared" si="304"/>
        <v>8.7222374896945478E-3</v>
      </c>
    </row>
    <row r="6534" spans="2:9" x14ac:dyDescent="0.25">
      <c r="B6534" s="1">
        <v>44760</v>
      </c>
      <c r="C6534" s="2">
        <v>16278.5</v>
      </c>
      <c r="D6534" s="2">
        <v>16151.4</v>
      </c>
      <c r="E6534" s="2">
        <v>16287.95</v>
      </c>
      <c r="F6534" s="2">
        <v>16142.2</v>
      </c>
      <c r="G6534" s="3">
        <f t="shared" si="305"/>
        <v>1.4287316501756964E-2</v>
      </c>
      <c r="H6534" s="2">
        <f t="shared" si="306"/>
        <v>145.75</v>
      </c>
      <c r="I6534" s="3">
        <f t="shared" ref="I6534:I6597" si="307">H6534/D6534</f>
        <v>9.0239855368574855E-3</v>
      </c>
    </row>
    <row r="6535" spans="2:9" x14ac:dyDescent="0.25">
      <c r="B6535" s="1">
        <v>44761</v>
      </c>
      <c r="C6535" s="2">
        <v>16340.55</v>
      </c>
      <c r="D6535" s="2">
        <v>16187.05</v>
      </c>
      <c r="E6535" s="2">
        <v>16359.5</v>
      </c>
      <c r="F6535" s="2">
        <v>16187.05</v>
      </c>
      <c r="G6535" s="3">
        <f t="shared" ref="G6535:G6598" si="308">C6535/C6534-1</f>
        <v>3.8117762693121726E-3</v>
      </c>
      <c r="H6535" s="2">
        <f t="shared" si="306"/>
        <v>172.45000000000073</v>
      </c>
      <c r="I6535" s="3">
        <f t="shared" si="307"/>
        <v>1.0653578014524002E-2</v>
      </c>
    </row>
    <row r="6536" spans="2:9" x14ac:dyDescent="0.25">
      <c r="B6536" s="1">
        <v>44762</v>
      </c>
      <c r="C6536" s="2">
        <v>16520.849999999999</v>
      </c>
      <c r="D6536" s="2">
        <v>16562.8</v>
      </c>
      <c r="E6536" s="2">
        <v>16588</v>
      </c>
      <c r="F6536" s="2">
        <v>16490.95</v>
      </c>
      <c r="G6536" s="3">
        <f t="shared" si="308"/>
        <v>1.1033900327712232E-2</v>
      </c>
      <c r="H6536" s="2">
        <f t="shared" si="306"/>
        <v>97.049999999999272</v>
      </c>
      <c r="I6536" s="3">
        <f t="shared" si="307"/>
        <v>5.8595165068707749E-3</v>
      </c>
    </row>
    <row r="6537" spans="2:9" x14ac:dyDescent="0.25">
      <c r="B6537" s="1">
        <v>44763</v>
      </c>
      <c r="C6537" s="2">
        <v>16605.25</v>
      </c>
      <c r="D6537" s="2">
        <v>16523.55</v>
      </c>
      <c r="E6537" s="2">
        <v>16626.95</v>
      </c>
      <c r="F6537" s="2">
        <v>16483.900000000001</v>
      </c>
      <c r="G6537" s="3">
        <f t="shared" si="308"/>
        <v>5.1086959811390553E-3</v>
      </c>
      <c r="H6537" s="2">
        <f t="shared" si="306"/>
        <v>143.04999999999927</v>
      </c>
      <c r="I6537" s="3">
        <f t="shared" si="307"/>
        <v>8.6573405835912547E-3</v>
      </c>
    </row>
    <row r="6538" spans="2:9" x14ac:dyDescent="0.25">
      <c r="B6538" s="1">
        <v>44764</v>
      </c>
      <c r="C6538" s="2">
        <v>16719.45</v>
      </c>
      <c r="D6538" s="2">
        <v>16661.25</v>
      </c>
      <c r="E6538" s="2">
        <v>16752.25</v>
      </c>
      <c r="F6538" s="2">
        <v>16610.900000000001</v>
      </c>
      <c r="G6538" s="3">
        <f t="shared" si="308"/>
        <v>6.8773430089881238E-3</v>
      </c>
      <c r="H6538" s="2">
        <f t="shared" si="306"/>
        <v>141.34999999999854</v>
      </c>
      <c r="I6538" s="3">
        <f t="shared" si="307"/>
        <v>8.4837572210967691E-3</v>
      </c>
    </row>
    <row r="6539" spans="2:9" x14ac:dyDescent="0.25">
      <c r="B6539" s="1">
        <v>44767</v>
      </c>
      <c r="C6539" s="2">
        <v>16631</v>
      </c>
      <c r="D6539" s="2">
        <v>16662.55</v>
      </c>
      <c r="E6539" s="2">
        <v>16706.05</v>
      </c>
      <c r="F6539" s="2">
        <v>16564.25</v>
      </c>
      <c r="G6539" s="3">
        <f t="shared" si="308"/>
        <v>-5.2902457915781076E-3</v>
      </c>
      <c r="H6539" s="2">
        <f t="shared" si="306"/>
        <v>141.79999999999927</v>
      </c>
      <c r="I6539" s="3">
        <f t="shared" si="307"/>
        <v>8.5101019951927693E-3</v>
      </c>
    </row>
    <row r="6540" spans="2:9" x14ac:dyDescent="0.25">
      <c r="B6540" s="1">
        <v>44768</v>
      </c>
      <c r="C6540" s="2">
        <v>16483.849999999999</v>
      </c>
      <c r="D6540" s="2">
        <v>16632.900000000001</v>
      </c>
      <c r="E6540" s="2">
        <v>16636.099999999999</v>
      </c>
      <c r="F6540" s="2">
        <v>16463.3</v>
      </c>
      <c r="G6540" s="3">
        <f t="shared" si="308"/>
        <v>-8.8479345800013265E-3</v>
      </c>
      <c r="H6540" s="2">
        <f t="shared" si="306"/>
        <v>172.79999999999927</v>
      </c>
      <c r="I6540" s="3">
        <f t="shared" si="307"/>
        <v>1.0389048211676813E-2</v>
      </c>
    </row>
    <row r="6541" spans="2:9" x14ac:dyDescent="0.25">
      <c r="B6541" s="1">
        <v>44769</v>
      </c>
      <c r="C6541" s="2">
        <v>16641.8</v>
      </c>
      <c r="D6541" s="2">
        <v>16475.349999999999</v>
      </c>
      <c r="E6541" s="2">
        <v>16653.45</v>
      </c>
      <c r="F6541" s="2">
        <v>16438.75</v>
      </c>
      <c r="G6541" s="3">
        <f t="shared" si="308"/>
        <v>9.5821061220529025E-3</v>
      </c>
      <c r="H6541" s="2">
        <f t="shared" si="306"/>
        <v>214.70000000000073</v>
      </c>
      <c r="I6541" s="3">
        <f t="shared" si="307"/>
        <v>1.3031589617216068E-2</v>
      </c>
    </row>
    <row r="6542" spans="2:9" x14ac:dyDescent="0.25">
      <c r="B6542" s="1">
        <v>44770</v>
      </c>
      <c r="C6542" s="2">
        <v>16929.599999999999</v>
      </c>
      <c r="D6542" s="2">
        <v>16774.849999999999</v>
      </c>
      <c r="E6542" s="2">
        <v>16947.650000000001</v>
      </c>
      <c r="F6542" s="2">
        <v>16746.25</v>
      </c>
      <c r="G6542" s="3">
        <f t="shared" si="308"/>
        <v>1.7293802353110843E-2</v>
      </c>
      <c r="H6542" s="2">
        <f t="shared" si="306"/>
        <v>201.40000000000146</v>
      </c>
      <c r="I6542" s="3">
        <f t="shared" si="307"/>
        <v>1.2006068608661269E-2</v>
      </c>
    </row>
    <row r="6543" spans="2:9" x14ac:dyDescent="0.25">
      <c r="B6543" s="1">
        <v>44771</v>
      </c>
      <c r="C6543" s="2">
        <v>17158.25</v>
      </c>
      <c r="D6543" s="2">
        <v>17079.5</v>
      </c>
      <c r="E6543" s="2">
        <v>17172.8</v>
      </c>
      <c r="F6543" s="2">
        <v>17018.150000000001</v>
      </c>
      <c r="G6543" s="3">
        <f t="shared" si="308"/>
        <v>1.3505930441357172E-2</v>
      </c>
      <c r="H6543" s="2">
        <f t="shared" si="306"/>
        <v>154.64999999999782</v>
      </c>
      <c r="I6543" s="3">
        <f t="shared" si="307"/>
        <v>9.0547147164728361E-3</v>
      </c>
    </row>
    <row r="6544" spans="2:9" x14ac:dyDescent="0.25">
      <c r="B6544" s="1">
        <v>44774</v>
      </c>
      <c r="C6544" s="2">
        <v>17340.05</v>
      </c>
      <c r="D6544" s="2">
        <v>17243.2</v>
      </c>
      <c r="E6544" s="2">
        <v>17356.25</v>
      </c>
      <c r="F6544" s="2">
        <v>17154.8</v>
      </c>
      <c r="G6544" s="3">
        <f t="shared" si="308"/>
        <v>1.0595486136406596E-2</v>
      </c>
      <c r="H6544" s="2">
        <f t="shared" si="306"/>
        <v>201.45000000000073</v>
      </c>
      <c r="I6544" s="3">
        <f t="shared" si="307"/>
        <v>1.1682866289319889E-2</v>
      </c>
    </row>
    <row r="6545" spans="2:9" x14ac:dyDescent="0.25">
      <c r="B6545" s="1">
        <v>44775</v>
      </c>
      <c r="C6545" s="2">
        <v>17345.45</v>
      </c>
      <c r="D6545" s="2">
        <v>17310.150000000001</v>
      </c>
      <c r="E6545" s="2">
        <v>17390.150000000001</v>
      </c>
      <c r="F6545" s="2">
        <v>17215.849999999999</v>
      </c>
      <c r="G6545" s="3">
        <f t="shared" si="308"/>
        <v>3.1141778714594004E-4</v>
      </c>
      <c r="H6545" s="2">
        <f t="shared" si="306"/>
        <v>174.30000000000291</v>
      </c>
      <c r="I6545" s="3">
        <f t="shared" si="307"/>
        <v>1.0069236835036259E-2</v>
      </c>
    </row>
    <row r="6546" spans="2:9" x14ac:dyDescent="0.25">
      <c r="B6546" s="1">
        <v>44776</v>
      </c>
      <c r="C6546" s="2">
        <v>17388.150000000001</v>
      </c>
      <c r="D6546" s="2">
        <v>17349.25</v>
      </c>
      <c r="E6546" s="2">
        <v>17407.5</v>
      </c>
      <c r="F6546" s="2">
        <v>17225.849999999999</v>
      </c>
      <c r="G6546" s="3">
        <f t="shared" si="308"/>
        <v>2.4617406870390823E-3</v>
      </c>
      <c r="H6546" s="2">
        <f t="shared" si="306"/>
        <v>181.65000000000146</v>
      </c>
      <c r="I6546" s="3">
        <f t="shared" si="307"/>
        <v>1.0470193236018933E-2</v>
      </c>
    </row>
    <row r="6547" spans="2:9" x14ac:dyDescent="0.25">
      <c r="B6547" s="1">
        <v>44777</v>
      </c>
      <c r="C6547" s="2">
        <v>17382</v>
      </c>
      <c r="D6547" s="2">
        <v>17463.099999999999</v>
      </c>
      <c r="E6547" s="2">
        <v>17490.7</v>
      </c>
      <c r="F6547" s="2">
        <v>17161.25</v>
      </c>
      <c r="G6547" s="3">
        <f t="shared" si="308"/>
        <v>-3.5368915036970705E-4</v>
      </c>
      <c r="H6547" s="2">
        <f t="shared" si="306"/>
        <v>329.45000000000073</v>
      </c>
      <c r="I6547" s="3">
        <f t="shared" si="307"/>
        <v>1.8865493526349888E-2</v>
      </c>
    </row>
    <row r="6548" spans="2:9" x14ac:dyDescent="0.25">
      <c r="B6548" s="1">
        <v>44778</v>
      </c>
      <c r="C6548" s="2">
        <v>17397.5</v>
      </c>
      <c r="D6548" s="2">
        <v>17423.650000000001</v>
      </c>
      <c r="E6548" s="2">
        <v>17474.400000000001</v>
      </c>
      <c r="F6548" s="2">
        <v>17348.75</v>
      </c>
      <c r="G6548" s="3">
        <f t="shared" si="308"/>
        <v>8.9172707398454953E-4</v>
      </c>
      <c r="H6548" s="2">
        <f t="shared" si="306"/>
        <v>125.65000000000146</v>
      </c>
      <c r="I6548" s="3">
        <f t="shared" si="307"/>
        <v>7.211462581032186E-3</v>
      </c>
    </row>
    <row r="6549" spans="2:9" x14ac:dyDescent="0.25">
      <c r="B6549" s="1">
        <v>44781</v>
      </c>
      <c r="C6549" s="2">
        <v>17525.099999999999</v>
      </c>
      <c r="D6549" s="2">
        <v>17401.5</v>
      </c>
      <c r="E6549" s="2">
        <v>17548.8</v>
      </c>
      <c r="F6549" s="2">
        <v>17359.75</v>
      </c>
      <c r="G6549" s="3">
        <f t="shared" si="308"/>
        <v>7.3343871245867831E-3</v>
      </c>
      <c r="H6549" s="2">
        <f t="shared" si="306"/>
        <v>189.04999999999927</v>
      </c>
      <c r="I6549" s="3">
        <f t="shared" si="307"/>
        <v>1.0864005976496238E-2</v>
      </c>
    </row>
    <row r="6550" spans="2:9" x14ac:dyDescent="0.25">
      <c r="B6550" s="1">
        <v>44783</v>
      </c>
      <c r="C6550" s="2">
        <v>17534.75</v>
      </c>
      <c r="D6550" s="2">
        <v>17566.099999999999</v>
      </c>
      <c r="E6550" s="2">
        <v>17566.099999999999</v>
      </c>
      <c r="F6550" s="2">
        <v>17442.8</v>
      </c>
      <c r="G6550" s="3">
        <f t="shared" si="308"/>
        <v>5.5063879806693805E-4</v>
      </c>
      <c r="H6550" s="2">
        <f t="shared" si="306"/>
        <v>123.29999999999927</v>
      </c>
      <c r="I6550" s="3">
        <f t="shared" si="307"/>
        <v>7.0192017579314295E-3</v>
      </c>
    </row>
    <row r="6551" spans="2:9" x14ac:dyDescent="0.25">
      <c r="B6551" s="1">
        <v>44784</v>
      </c>
      <c r="C6551" s="2">
        <v>17659</v>
      </c>
      <c r="D6551" s="2">
        <v>17711.650000000001</v>
      </c>
      <c r="E6551" s="2">
        <v>17719.3</v>
      </c>
      <c r="F6551" s="2">
        <v>17631.95</v>
      </c>
      <c r="G6551" s="3">
        <f t="shared" si="308"/>
        <v>7.0859293688247948E-3</v>
      </c>
      <c r="H6551" s="2">
        <f t="shared" si="306"/>
        <v>87.349999999998545</v>
      </c>
      <c r="I6551" s="3">
        <f t="shared" si="307"/>
        <v>4.931782188559425E-3</v>
      </c>
    </row>
    <row r="6552" spans="2:9" x14ac:dyDescent="0.25">
      <c r="B6552" s="1">
        <v>44785</v>
      </c>
      <c r="C6552" s="2">
        <v>17698.150000000001</v>
      </c>
      <c r="D6552" s="2">
        <v>17659.650000000001</v>
      </c>
      <c r="E6552" s="2">
        <v>17724.650000000001</v>
      </c>
      <c r="F6552" s="2">
        <v>17597.849999999999</v>
      </c>
      <c r="G6552" s="3">
        <f t="shared" si="308"/>
        <v>2.2169998301151406E-3</v>
      </c>
      <c r="H6552" s="2">
        <f t="shared" si="306"/>
        <v>126.80000000000291</v>
      </c>
      <c r="I6552" s="3">
        <f t="shared" si="307"/>
        <v>7.180210253317755E-3</v>
      </c>
    </row>
    <row r="6553" spans="2:9" x14ac:dyDescent="0.25">
      <c r="B6553" s="1">
        <v>44789</v>
      </c>
      <c r="C6553" s="2">
        <v>17825.25</v>
      </c>
      <c r="D6553" s="2">
        <v>17797.2</v>
      </c>
      <c r="E6553" s="2">
        <v>17839.099999999999</v>
      </c>
      <c r="F6553" s="2">
        <v>17764.05</v>
      </c>
      <c r="G6553" s="3">
        <f t="shared" si="308"/>
        <v>7.1815415735541066E-3</v>
      </c>
      <c r="H6553" s="2">
        <f t="shared" si="306"/>
        <v>75.049999999999272</v>
      </c>
      <c r="I6553" s="3">
        <f t="shared" si="307"/>
        <v>4.2169554761422737E-3</v>
      </c>
    </row>
    <row r="6554" spans="2:9" x14ac:dyDescent="0.25">
      <c r="B6554" s="1">
        <v>44790</v>
      </c>
      <c r="C6554" s="2">
        <v>17944.25</v>
      </c>
      <c r="D6554" s="2">
        <v>17868.150000000001</v>
      </c>
      <c r="E6554" s="2">
        <v>17965.95</v>
      </c>
      <c r="F6554" s="2">
        <v>17833.349999999999</v>
      </c>
      <c r="G6554" s="3">
        <f t="shared" si="308"/>
        <v>6.6759231988331447E-3</v>
      </c>
      <c r="H6554" s="2">
        <f t="shared" si="306"/>
        <v>132.60000000000218</v>
      </c>
      <c r="I6554" s="3">
        <f t="shared" si="307"/>
        <v>7.4210256797711104E-3</v>
      </c>
    </row>
    <row r="6555" spans="2:9" x14ac:dyDescent="0.25">
      <c r="B6555" s="1">
        <v>44791</v>
      </c>
      <c r="C6555" s="2">
        <v>17956.5</v>
      </c>
      <c r="D6555" s="2">
        <v>17898.650000000001</v>
      </c>
      <c r="E6555" s="2">
        <v>17968.45</v>
      </c>
      <c r="F6555" s="2">
        <v>17852.05</v>
      </c>
      <c r="G6555" s="3">
        <f t="shared" si="308"/>
        <v>6.826699360520383E-4</v>
      </c>
      <c r="H6555" s="2">
        <f t="shared" si="306"/>
        <v>116.40000000000146</v>
      </c>
      <c r="I6555" s="3">
        <f t="shared" si="307"/>
        <v>6.5032837672115741E-3</v>
      </c>
    </row>
    <row r="6556" spans="2:9" x14ac:dyDescent="0.25">
      <c r="B6556" s="1">
        <v>44792</v>
      </c>
      <c r="C6556" s="2">
        <v>17758.45</v>
      </c>
      <c r="D6556" s="2">
        <v>17966.55</v>
      </c>
      <c r="E6556" s="2">
        <v>17992.2</v>
      </c>
      <c r="F6556" s="2">
        <v>17710.75</v>
      </c>
      <c r="G6556" s="3">
        <f t="shared" si="308"/>
        <v>-1.1029432239022086E-2</v>
      </c>
      <c r="H6556" s="2">
        <f t="shared" si="306"/>
        <v>281.45000000000073</v>
      </c>
      <c r="I6556" s="3">
        <f t="shared" si="307"/>
        <v>1.5665222315914894E-2</v>
      </c>
    </row>
    <row r="6557" spans="2:9" x14ac:dyDescent="0.25">
      <c r="B6557" s="1">
        <v>44795</v>
      </c>
      <c r="C6557" s="2">
        <v>17490.7</v>
      </c>
      <c r="D6557" s="2">
        <v>17682.900000000001</v>
      </c>
      <c r="E6557" s="2">
        <v>17690.05</v>
      </c>
      <c r="F6557" s="2">
        <v>17467.349999999999</v>
      </c>
      <c r="G6557" s="3">
        <f t="shared" si="308"/>
        <v>-1.5077329384039717E-2</v>
      </c>
      <c r="H6557" s="2">
        <f t="shared" si="306"/>
        <v>222.70000000000073</v>
      </c>
      <c r="I6557" s="3">
        <f t="shared" si="307"/>
        <v>1.2594088073788841E-2</v>
      </c>
    </row>
    <row r="6558" spans="2:9" x14ac:dyDescent="0.25">
      <c r="B6558" s="1">
        <v>44796</v>
      </c>
      <c r="C6558" s="2">
        <v>17577.5</v>
      </c>
      <c r="D6558" s="2">
        <v>17357.349999999999</v>
      </c>
      <c r="E6558" s="2">
        <v>17625.55</v>
      </c>
      <c r="F6558" s="2">
        <v>17345.2</v>
      </c>
      <c r="G6558" s="3">
        <f t="shared" si="308"/>
        <v>4.9626372872439983E-3</v>
      </c>
      <c r="H6558" s="2">
        <f t="shared" si="306"/>
        <v>280.34999999999854</v>
      </c>
      <c r="I6558" s="3">
        <f t="shared" si="307"/>
        <v>1.615165909542635E-2</v>
      </c>
    </row>
    <row r="6559" spans="2:9" x14ac:dyDescent="0.25">
      <c r="B6559" s="1">
        <v>44797</v>
      </c>
      <c r="C6559" s="2">
        <v>17604.95</v>
      </c>
      <c r="D6559" s="2">
        <v>17525.45</v>
      </c>
      <c r="E6559" s="2">
        <v>17623.650000000001</v>
      </c>
      <c r="F6559" s="2">
        <v>17499.25</v>
      </c>
      <c r="G6559" s="3">
        <f t="shared" si="308"/>
        <v>1.5616555255297815E-3</v>
      </c>
      <c r="H6559" s="2">
        <f t="shared" si="306"/>
        <v>124.40000000000146</v>
      </c>
      <c r="I6559" s="3">
        <f t="shared" si="307"/>
        <v>7.0982485471129952E-3</v>
      </c>
    </row>
    <row r="6560" spans="2:9" x14ac:dyDescent="0.25">
      <c r="B6560" s="1">
        <v>44798</v>
      </c>
      <c r="C6560" s="2">
        <v>17522.45</v>
      </c>
      <c r="D6560" s="2">
        <v>17679</v>
      </c>
      <c r="E6560" s="2">
        <v>17726.5</v>
      </c>
      <c r="F6560" s="2">
        <v>17487.45</v>
      </c>
      <c r="G6560" s="3">
        <f t="shared" si="308"/>
        <v>-4.6861820113093255E-3</v>
      </c>
      <c r="H6560" s="2">
        <f t="shared" si="306"/>
        <v>239.04999999999927</v>
      </c>
      <c r="I6560" s="3">
        <f t="shared" si="307"/>
        <v>1.3521692403416441E-2</v>
      </c>
    </row>
    <row r="6561" spans="2:9" x14ac:dyDescent="0.25">
      <c r="B6561" s="1">
        <v>44799</v>
      </c>
      <c r="C6561" s="2">
        <v>17558.900000000001</v>
      </c>
      <c r="D6561" s="2">
        <v>17619.3</v>
      </c>
      <c r="E6561" s="2">
        <v>17685.849999999999</v>
      </c>
      <c r="F6561" s="2">
        <v>17519.349999999999</v>
      </c>
      <c r="G6561" s="3">
        <f t="shared" si="308"/>
        <v>2.0801885581069879E-3</v>
      </c>
      <c r="H6561" s="2">
        <f t="shared" si="306"/>
        <v>166.5</v>
      </c>
      <c r="I6561" s="3">
        <f t="shared" si="307"/>
        <v>9.4498646370741179E-3</v>
      </c>
    </row>
    <row r="6562" spans="2:9" x14ac:dyDescent="0.25">
      <c r="B6562" s="1">
        <v>44802</v>
      </c>
      <c r="C6562" s="2">
        <v>17312.900000000001</v>
      </c>
      <c r="D6562" s="2">
        <v>17188.650000000001</v>
      </c>
      <c r="E6562" s="2">
        <v>17380.150000000001</v>
      </c>
      <c r="F6562" s="2">
        <v>17166.2</v>
      </c>
      <c r="G6562" s="3">
        <f t="shared" si="308"/>
        <v>-1.400998923622776E-2</v>
      </c>
      <c r="H6562" s="2">
        <f t="shared" si="306"/>
        <v>213.95000000000073</v>
      </c>
      <c r="I6562" s="3">
        <f t="shared" si="307"/>
        <v>1.2447167171360213E-2</v>
      </c>
    </row>
    <row r="6563" spans="2:9" x14ac:dyDescent="0.25">
      <c r="B6563" s="1">
        <v>44803</v>
      </c>
      <c r="C6563" s="2">
        <v>17759.3</v>
      </c>
      <c r="D6563" s="2">
        <v>17414.95</v>
      </c>
      <c r="E6563" s="2">
        <v>17777.650000000001</v>
      </c>
      <c r="F6563" s="2">
        <v>17401.5</v>
      </c>
      <c r="G6563" s="3">
        <f t="shared" si="308"/>
        <v>2.5784241808131325E-2</v>
      </c>
      <c r="H6563" s="2">
        <f t="shared" si="306"/>
        <v>376.15000000000146</v>
      </c>
      <c r="I6563" s="3">
        <f t="shared" si="307"/>
        <v>2.159925810869405E-2</v>
      </c>
    </row>
    <row r="6564" spans="2:9" x14ac:dyDescent="0.25">
      <c r="B6564" s="1">
        <v>44805</v>
      </c>
      <c r="C6564" s="2">
        <v>17542.8</v>
      </c>
      <c r="D6564" s="2">
        <v>17485.7</v>
      </c>
      <c r="E6564" s="2">
        <v>17695.599999999999</v>
      </c>
      <c r="F6564" s="2">
        <v>17468.45</v>
      </c>
      <c r="G6564" s="3">
        <f t="shared" si="308"/>
        <v>-1.2190795808393329E-2</v>
      </c>
      <c r="H6564" s="2">
        <f t="shared" si="306"/>
        <v>227.14999999999782</v>
      </c>
      <c r="I6564" s="3">
        <f t="shared" si="307"/>
        <v>1.2990615188410977E-2</v>
      </c>
    </row>
    <row r="6565" spans="2:9" x14ac:dyDescent="0.25">
      <c r="B6565" s="1">
        <v>44806</v>
      </c>
      <c r="C6565" s="2">
        <v>17539.45</v>
      </c>
      <c r="D6565" s="2">
        <v>17598.400000000001</v>
      </c>
      <c r="E6565" s="2">
        <v>17643.849999999999</v>
      </c>
      <c r="F6565" s="2">
        <v>17476.45</v>
      </c>
      <c r="G6565" s="3">
        <f t="shared" si="308"/>
        <v>-1.9096153407660577E-4</v>
      </c>
      <c r="H6565" s="2">
        <f t="shared" si="306"/>
        <v>167.39999999999782</v>
      </c>
      <c r="I6565" s="3">
        <f t="shared" si="307"/>
        <v>9.5122283843984568E-3</v>
      </c>
    </row>
    <row r="6566" spans="2:9" x14ac:dyDescent="0.25">
      <c r="B6566" s="1">
        <v>44809</v>
      </c>
      <c r="C6566" s="2">
        <v>17665.8</v>
      </c>
      <c r="D6566" s="2">
        <v>17546.45</v>
      </c>
      <c r="E6566" s="2">
        <v>17683.150000000001</v>
      </c>
      <c r="F6566" s="2">
        <v>17540.349999999999</v>
      </c>
      <c r="G6566" s="3">
        <f t="shared" si="308"/>
        <v>7.2037606652430863E-3</v>
      </c>
      <c r="H6566" s="2">
        <f t="shared" si="306"/>
        <v>142.80000000000291</v>
      </c>
      <c r="I6566" s="3">
        <f t="shared" si="307"/>
        <v>8.1383983654815025E-3</v>
      </c>
    </row>
    <row r="6567" spans="2:9" x14ac:dyDescent="0.25">
      <c r="B6567" s="1">
        <v>44810</v>
      </c>
      <c r="C6567" s="2">
        <v>17655.599999999999</v>
      </c>
      <c r="D6567" s="2">
        <v>17695.7</v>
      </c>
      <c r="E6567" s="2">
        <v>17764.650000000001</v>
      </c>
      <c r="F6567" s="2">
        <v>17587.650000000001</v>
      </c>
      <c r="G6567" s="3">
        <f t="shared" si="308"/>
        <v>-5.773868152022521E-4</v>
      </c>
      <c r="H6567" s="2">
        <f t="shared" si="306"/>
        <v>177</v>
      </c>
      <c r="I6567" s="3">
        <f t="shared" si="307"/>
        <v>1.0002429968862492E-2</v>
      </c>
    </row>
    <row r="6568" spans="2:9" x14ac:dyDescent="0.25">
      <c r="B6568" s="1">
        <v>44811</v>
      </c>
      <c r="C6568" s="2">
        <v>17624.400000000001</v>
      </c>
      <c r="D6568" s="2">
        <v>17519.400000000001</v>
      </c>
      <c r="E6568" s="2">
        <v>17650.75</v>
      </c>
      <c r="F6568" s="2">
        <v>17484.3</v>
      </c>
      <c r="G6568" s="3">
        <f t="shared" si="308"/>
        <v>-1.7671447019640407E-3</v>
      </c>
      <c r="H6568" s="2">
        <f t="shared" si="306"/>
        <v>166.45000000000073</v>
      </c>
      <c r="I6568" s="3">
        <f t="shared" si="307"/>
        <v>9.5008961494115508E-3</v>
      </c>
    </row>
    <row r="6569" spans="2:9" x14ac:dyDescent="0.25">
      <c r="B6569" s="1">
        <v>44812</v>
      </c>
      <c r="C6569" s="2">
        <v>17798.75</v>
      </c>
      <c r="D6569" s="2">
        <v>17748.150000000001</v>
      </c>
      <c r="E6569" s="2">
        <v>17807.650000000001</v>
      </c>
      <c r="F6569" s="2">
        <v>17691.95</v>
      </c>
      <c r="G6569" s="3">
        <f t="shared" si="308"/>
        <v>9.8925353487209211E-3</v>
      </c>
      <c r="H6569" s="2">
        <f t="shared" si="306"/>
        <v>115.70000000000073</v>
      </c>
      <c r="I6569" s="3">
        <f t="shared" si="307"/>
        <v>6.5189893031105057E-3</v>
      </c>
    </row>
    <row r="6570" spans="2:9" x14ac:dyDescent="0.25">
      <c r="B6570" s="1">
        <v>44813</v>
      </c>
      <c r="C6570" s="2">
        <v>17833.349999999999</v>
      </c>
      <c r="D6570" s="2">
        <v>17923.349999999999</v>
      </c>
      <c r="E6570" s="2">
        <v>17925.95</v>
      </c>
      <c r="F6570" s="2">
        <v>17786</v>
      </c>
      <c r="G6570" s="3">
        <f t="shared" si="308"/>
        <v>1.9439567385348688E-3</v>
      </c>
      <c r="H6570" s="2">
        <f t="shared" si="306"/>
        <v>139.95000000000073</v>
      </c>
      <c r="I6570" s="3">
        <f t="shared" si="307"/>
        <v>7.808250131811338E-3</v>
      </c>
    </row>
    <row r="6571" spans="2:9" x14ac:dyDescent="0.25">
      <c r="B6571" s="1">
        <v>44816</v>
      </c>
      <c r="C6571" s="2">
        <v>17936.349999999999</v>
      </c>
      <c r="D6571" s="2">
        <v>17890.849999999999</v>
      </c>
      <c r="E6571" s="2">
        <v>17980.55</v>
      </c>
      <c r="F6571" s="2">
        <v>17889.150000000001</v>
      </c>
      <c r="G6571" s="3">
        <f t="shared" si="308"/>
        <v>5.775695536733183E-3</v>
      </c>
      <c r="H6571" s="2">
        <f t="shared" si="306"/>
        <v>91.399999999997817</v>
      </c>
      <c r="I6571" s="3">
        <f t="shared" si="307"/>
        <v>5.1087567108325108E-3</v>
      </c>
    </row>
    <row r="6572" spans="2:9" x14ac:dyDescent="0.25">
      <c r="B6572" s="1">
        <v>44817</v>
      </c>
      <c r="C6572" s="2">
        <v>18070.05</v>
      </c>
      <c r="D6572" s="2">
        <v>18044.45</v>
      </c>
      <c r="E6572" s="2">
        <v>18088.3</v>
      </c>
      <c r="F6572" s="2">
        <v>18015.45</v>
      </c>
      <c r="G6572" s="3">
        <f t="shared" si="308"/>
        <v>7.4541364324403059E-3</v>
      </c>
      <c r="H6572" s="2">
        <f t="shared" si="306"/>
        <v>72.849999999998545</v>
      </c>
      <c r="I6572" s="3">
        <f t="shared" si="307"/>
        <v>4.0372524515847556E-3</v>
      </c>
    </row>
    <row r="6573" spans="2:9" x14ac:dyDescent="0.25">
      <c r="B6573" s="1">
        <v>44818</v>
      </c>
      <c r="C6573" s="2">
        <v>18003.75</v>
      </c>
      <c r="D6573" s="2">
        <v>17771.150000000001</v>
      </c>
      <c r="E6573" s="2">
        <v>18091.55</v>
      </c>
      <c r="F6573" s="2">
        <v>17771.150000000001</v>
      </c>
      <c r="G6573" s="3">
        <f t="shared" si="308"/>
        <v>-3.6690545958644183E-3</v>
      </c>
      <c r="H6573" s="2">
        <f t="shared" si="306"/>
        <v>320.39999999999782</v>
      </c>
      <c r="I6573" s="3">
        <f t="shared" si="307"/>
        <v>1.8029221519147483E-2</v>
      </c>
    </row>
    <row r="6574" spans="2:9" x14ac:dyDescent="0.25">
      <c r="B6574" s="1">
        <v>44819</v>
      </c>
      <c r="C6574" s="2">
        <v>17877.400000000001</v>
      </c>
      <c r="D6574" s="2">
        <v>18046.349999999999</v>
      </c>
      <c r="E6574" s="2">
        <v>18096.150000000001</v>
      </c>
      <c r="F6574" s="2">
        <v>17861.5</v>
      </c>
      <c r="G6574" s="3">
        <f t="shared" si="308"/>
        <v>-7.0179823647850137E-3</v>
      </c>
      <c r="H6574" s="2">
        <f t="shared" si="306"/>
        <v>234.65000000000146</v>
      </c>
      <c r="I6574" s="3">
        <f t="shared" si="307"/>
        <v>1.3002629340559253E-2</v>
      </c>
    </row>
    <row r="6575" spans="2:9" x14ac:dyDescent="0.25">
      <c r="B6575" s="1">
        <v>44820</v>
      </c>
      <c r="C6575" s="2">
        <v>17530.849999999999</v>
      </c>
      <c r="D6575" s="2">
        <v>17796.8</v>
      </c>
      <c r="E6575" s="2">
        <v>17820.05</v>
      </c>
      <c r="F6575" s="2">
        <v>17497.25</v>
      </c>
      <c r="G6575" s="3">
        <f t="shared" si="308"/>
        <v>-1.9384809871681674E-2</v>
      </c>
      <c r="H6575" s="2">
        <f t="shared" si="306"/>
        <v>322.79999999999927</v>
      </c>
      <c r="I6575" s="3">
        <f t="shared" si="307"/>
        <v>1.8138092241301768E-2</v>
      </c>
    </row>
    <row r="6576" spans="2:9" x14ac:dyDescent="0.25">
      <c r="B6576" s="1">
        <v>44823</v>
      </c>
      <c r="C6576" s="2">
        <v>17622.25</v>
      </c>
      <c r="D6576" s="2">
        <v>17540.650000000001</v>
      </c>
      <c r="E6576" s="2">
        <v>17667.2</v>
      </c>
      <c r="F6576" s="2">
        <v>17429.7</v>
      </c>
      <c r="G6576" s="3">
        <f t="shared" si="308"/>
        <v>5.2136661941664109E-3</v>
      </c>
      <c r="H6576" s="2">
        <f t="shared" si="306"/>
        <v>237.5</v>
      </c>
      <c r="I6576" s="3">
        <f t="shared" si="307"/>
        <v>1.3539977138817546E-2</v>
      </c>
    </row>
    <row r="6577" spans="2:9" x14ac:dyDescent="0.25">
      <c r="B6577" s="1">
        <v>44824</v>
      </c>
      <c r="C6577" s="2">
        <v>17816.25</v>
      </c>
      <c r="D6577" s="2">
        <v>17770.400000000001</v>
      </c>
      <c r="E6577" s="2">
        <v>17919.3</v>
      </c>
      <c r="F6577" s="2">
        <v>17744.400000000001</v>
      </c>
      <c r="G6577" s="3">
        <f t="shared" si="308"/>
        <v>1.1008809885230342E-2</v>
      </c>
      <c r="H6577" s="2">
        <f t="shared" si="306"/>
        <v>174.89999999999782</v>
      </c>
      <c r="I6577" s="3">
        <f t="shared" si="307"/>
        <v>9.8422095169494097E-3</v>
      </c>
    </row>
    <row r="6578" spans="2:9" x14ac:dyDescent="0.25">
      <c r="B6578" s="1">
        <v>44825</v>
      </c>
      <c r="C6578" s="2">
        <v>17718.349999999999</v>
      </c>
      <c r="D6578" s="2">
        <v>17766.349999999999</v>
      </c>
      <c r="E6578" s="2">
        <v>17838.7</v>
      </c>
      <c r="F6578" s="2">
        <v>17663.599999999999</v>
      </c>
      <c r="G6578" s="3">
        <f t="shared" si="308"/>
        <v>-5.4949835122430901E-3</v>
      </c>
      <c r="H6578" s="2">
        <f t="shared" si="306"/>
        <v>175.10000000000218</v>
      </c>
      <c r="I6578" s="3">
        <f t="shared" si="307"/>
        <v>9.8557103738247977E-3</v>
      </c>
    </row>
    <row r="6579" spans="2:9" x14ac:dyDescent="0.25">
      <c r="B6579" s="1">
        <v>44826</v>
      </c>
      <c r="C6579" s="2">
        <v>17629.8</v>
      </c>
      <c r="D6579" s="2">
        <v>17609.650000000001</v>
      </c>
      <c r="E6579" s="2">
        <v>17722.75</v>
      </c>
      <c r="F6579" s="2">
        <v>17532.45</v>
      </c>
      <c r="G6579" s="3">
        <f t="shared" si="308"/>
        <v>-4.9976436857833706E-3</v>
      </c>
      <c r="H6579" s="2">
        <f t="shared" si="306"/>
        <v>190.29999999999927</v>
      </c>
      <c r="I6579" s="3">
        <f t="shared" si="307"/>
        <v>1.0806574804155634E-2</v>
      </c>
    </row>
    <row r="6580" spans="2:9" x14ac:dyDescent="0.25">
      <c r="B6580" s="1">
        <v>44827</v>
      </c>
      <c r="C6580" s="2">
        <v>17327.349999999999</v>
      </c>
      <c r="D6580" s="2">
        <v>17593.849999999999</v>
      </c>
      <c r="E6580" s="2">
        <v>17642.150000000001</v>
      </c>
      <c r="F6580" s="2">
        <v>17291.650000000001</v>
      </c>
      <c r="G6580" s="3">
        <f t="shared" si="308"/>
        <v>-1.7155611521401326E-2</v>
      </c>
      <c r="H6580" s="2">
        <f t="shared" si="306"/>
        <v>350.5</v>
      </c>
      <c r="I6580" s="3">
        <f t="shared" si="307"/>
        <v>1.992173401501093E-2</v>
      </c>
    </row>
    <row r="6581" spans="2:9" x14ac:dyDescent="0.25">
      <c r="B6581" s="1">
        <v>44830</v>
      </c>
      <c r="C6581" s="2">
        <v>17016.3</v>
      </c>
      <c r="D6581" s="2">
        <v>17156.3</v>
      </c>
      <c r="E6581" s="2">
        <v>17196.400000000001</v>
      </c>
      <c r="F6581" s="2">
        <v>16978.3</v>
      </c>
      <c r="G6581" s="3">
        <f t="shared" si="308"/>
        <v>-1.7951388989083661E-2</v>
      </c>
      <c r="H6581" s="2">
        <f t="shared" si="306"/>
        <v>218.10000000000218</v>
      </c>
      <c r="I6581" s="3">
        <f t="shared" si="307"/>
        <v>1.2712531256739634E-2</v>
      </c>
    </row>
    <row r="6582" spans="2:9" x14ac:dyDescent="0.25">
      <c r="B6582" s="1">
        <v>44831</v>
      </c>
      <c r="C6582" s="2">
        <v>17007.400000000001</v>
      </c>
      <c r="D6582" s="2">
        <v>17110.900000000001</v>
      </c>
      <c r="E6582" s="2">
        <v>17176.45</v>
      </c>
      <c r="F6582" s="2">
        <v>16942.349999999999</v>
      </c>
      <c r="G6582" s="3">
        <f t="shared" si="308"/>
        <v>-5.230279202880217E-4</v>
      </c>
      <c r="H6582" s="2">
        <f t="shared" si="306"/>
        <v>234.10000000000218</v>
      </c>
      <c r="I6582" s="3">
        <f t="shared" si="307"/>
        <v>1.3681337626892926E-2</v>
      </c>
    </row>
    <row r="6583" spans="2:9" x14ac:dyDescent="0.25">
      <c r="B6583" s="1">
        <v>44832</v>
      </c>
      <c r="C6583" s="2">
        <v>16858.599999999999</v>
      </c>
      <c r="D6583" s="2">
        <v>16870.55</v>
      </c>
      <c r="E6583" s="2">
        <v>17037.599999999999</v>
      </c>
      <c r="F6583" s="2">
        <v>16820.400000000001</v>
      </c>
      <c r="G6583" s="3">
        <f t="shared" si="308"/>
        <v>-8.7491327304586308E-3</v>
      </c>
      <c r="H6583" s="2">
        <f t="shared" si="306"/>
        <v>217.19999999999709</v>
      </c>
      <c r="I6583" s="3">
        <f t="shared" si="307"/>
        <v>1.2874506166070289E-2</v>
      </c>
    </row>
    <row r="6584" spans="2:9" x14ac:dyDescent="0.25">
      <c r="B6584" s="1">
        <v>44833</v>
      </c>
      <c r="C6584" s="2">
        <v>16818.099999999999</v>
      </c>
      <c r="D6584" s="2">
        <v>16993.599999999999</v>
      </c>
      <c r="E6584" s="2">
        <v>17026.05</v>
      </c>
      <c r="F6584" s="2">
        <v>16788.599999999999</v>
      </c>
      <c r="G6584" s="3">
        <f t="shared" si="308"/>
        <v>-2.4023347134399797E-3</v>
      </c>
      <c r="H6584" s="2">
        <f t="shared" si="306"/>
        <v>237.45000000000073</v>
      </c>
      <c r="I6584" s="3">
        <f t="shared" si="307"/>
        <v>1.3972907447509694E-2</v>
      </c>
    </row>
    <row r="6585" spans="2:9" x14ac:dyDescent="0.25">
      <c r="B6585" s="1">
        <v>44834</v>
      </c>
      <c r="C6585" s="2">
        <v>17094.349999999999</v>
      </c>
      <c r="D6585" s="2">
        <v>16798.05</v>
      </c>
      <c r="E6585" s="2">
        <v>17187.099999999999</v>
      </c>
      <c r="F6585" s="2">
        <v>16747.7</v>
      </c>
      <c r="G6585" s="3">
        <f t="shared" si="308"/>
        <v>1.6425755584756896E-2</v>
      </c>
      <c r="H6585" s="2">
        <f t="shared" si="306"/>
        <v>439.39999999999782</v>
      </c>
      <c r="I6585" s="3">
        <f t="shared" si="307"/>
        <v>2.6157798077752942E-2</v>
      </c>
    </row>
    <row r="6586" spans="2:9" x14ac:dyDescent="0.25">
      <c r="B6586" s="1">
        <v>44837</v>
      </c>
      <c r="C6586" s="2">
        <v>16887.349999999999</v>
      </c>
      <c r="D6586" s="2">
        <v>17102.099999999999</v>
      </c>
      <c r="E6586" s="2">
        <v>17114.650000000001</v>
      </c>
      <c r="F6586" s="2">
        <v>16855.55</v>
      </c>
      <c r="G6586" s="3">
        <f t="shared" si="308"/>
        <v>-1.2109264172080247E-2</v>
      </c>
      <c r="H6586" s="2">
        <f t="shared" si="306"/>
        <v>259.10000000000218</v>
      </c>
      <c r="I6586" s="3">
        <f t="shared" si="307"/>
        <v>1.5150186234439174E-2</v>
      </c>
    </row>
    <row r="6587" spans="2:9" x14ac:dyDescent="0.25">
      <c r="B6587" s="1">
        <v>44838</v>
      </c>
      <c r="C6587" s="2">
        <v>17274.3</v>
      </c>
      <c r="D6587" s="2">
        <v>17147.45</v>
      </c>
      <c r="E6587" s="2">
        <v>17287.3</v>
      </c>
      <c r="F6587" s="2">
        <v>17117.3</v>
      </c>
      <c r="G6587" s="3">
        <f t="shared" si="308"/>
        <v>2.2913601009039386E-2</v>
      </c>
      <c r="H6587" s="2">
        <f t="shared" si="306"/>
        <v>170</v>
      </c>
      <c r="I6587" s="3">
        <f t="shared" si="307"/>
        <v>9.9140105380100246E-3</v>
      </c>
    </row>
    <row r="6588" spans="2:9" x14ac:dyDescent="0.25">
      <c r="B6588" s="1">
        <v>44840</v>
      </c>
      <c r="C6588" s="2">
        <v>17331.8</v>
      </c>
      <c r="D6588" s="2">
        <v>17379.25</v>
      </c>
      <c r="E6588" s="2">
        <v>17428.8</v>
      </c>
      <c r="F6588" s="2">
        <v>17315.650000000001</v>
      </c>
      <c r="G6588" s="3">
        <f t="shared" si="308"/>
        <v>3.3286442865991805E-3</v>
      </c>
      <c r="H6588" s="2">
        <f t="shared" si="306"/>
        <v>113.14999999999782</v>
      </c>
      <c r="I6588" s="3">
        <f t="shared" si="307"/>
        <v>6.510637685745807E-3</v>
      </c>
    </row>
    <row r="6589" spans="2:9" x14ac:dyDescent="0.25">
      <c r="B6589" s="1">
        <v>44841</v>
      </c>
      <c r="C6589" s="2">
        <v>17314.650000000001</v>
      </c>
      <c r="D6589" s="2">
        <v>17287.2</v>
      </c>
      <c r="E6589" s="2">
        <v>17337.349999999999</v>
      </c>
      <c r="F6589" s="2">
        <v>17216.95</v>
      </c>
      <c r="G6589" s="3">
        <f t="shared" si="308"/>
        <v>-9.8951061055385647E-4</v>
      </c>
      <c r="H6589" s="2">
        <f t="shared" si="306"/>
        <v>120.39999999999782</v>
      </c>
      <c r="I6589" s="3">
        <f t="shared" si="307"/>
        <v>6.964690638159899E-3</v>
      </c>
    </row>
    <row r="6590" spans="2:9" x14ac:dyDescent="0.25">
      <c r="B6590" s="1">
        <v>44844</v>
      </c>
      <c r="C6590" s="2">
        <v>17241</v>
      </c>
      <c r="D6590" s="2">
        <v>17094.349999999999</v>
      </c>
      <c r="E6590" s="2">
        <v>17280.150000000001</v>
      </c>
      <c r="F6590" s="2">
        <v>17064.7</v>
      </c>
      <c r="G6590" s="3">
        <f t="shared" si="308"/>
        <v>-4.2536233767359599E-3</v>
      </c>
      <c r="H6590" s="2">
        <f t="shared" si="306"/>
        <v>215.45000000000073</v>
      </c>
      <c r="I6590" s="3">
        <f t="shared" si="307"/>
        <v>1.26035795452884E-2</v>
      </c>
    </row>
    <row r="6591" spans="2:9" x14ac:dyDescent="0.25">
      <c r="B6591" s="1">
        <v>44845</v>
      </c>
      <c r="C6591" s="2">
        <v>16983.55</v>
      </c>
      <c r="D6591" s="2">
        <v>17256.05</v>
      </c>
      <c r="E6591" s="2">
        <v>17261.8</v>
      </c>
      <c r="F6591" s="2">
        <v>16950.3</v>
      </c>
      <c r="G6591" s="3">
        <f t="shared" si="308"/>
        <v>-1.4932428513427354E-2</v>
      </c>
      <c r="H6591" s="2">
        <f t="shared" si="306"/>
        <v>311.5</v>
      </c>
      <c r="I6591" s="3">
        <f t="shared" si="307"/>
        <v>1.8051639859643431E-2</v>
      </c>
    </row>
    <row r="6592" spans="2:9" x14ac:dyDescent="0.25">
      <c r="B6592" s="1">
        <v>44846</v>
      </c>
      <c r="C6592" s="2">
        <v>17123.599999999999</v>
      </c>
      <c r="D6592" s="2">
        <v>17025.55</v>
      </c>
      <c r="E6592" s="2">
        <v>17142.349999999999</v>
      </c>
      <c r="F6592" s="2">
        <v>16960.05</v>
      </c>
      <c r="G6592" s="3">
        <f t="shared" si="308"/>
        <v>8.2462147195374591E-3</v>
      </c>
      <c r="H6592" s="2">
        <f t="shared" si="306"/>
        <v>182.29999999999927</v>
      </c>
      <c r="I6592" s="3">
        <f t="shared" si="307"/>
        <v>1.0707436764157356E-2</v>
      </c>
    </row>
    <row r="6593" spans="2:9" x14ac:dyDescent="0.25">
      <c r="B6593" s="1">
        <v>44847</v>
      </c>
      <c r="C6593" s="2">
        <v>17014.349999999999</v>
      </c>
      <c r="D6593" s="2">
        <v>17087.349999999999</v>
      </c>
      <c r="E6593" s="2">
        <v>17112.349999999999</v>
      </c>
      <c r="F6593" s="2">
        <v>16956.95</v>
      </c>
      <c r="G6593" s="3">
        <f t="shared" si="308"/>
        <v>-6.380083627274602E-3</v>
      </c>
      <c r="H6593" s="2">
        <f t="shared" si="306"/>
        <v>155.39999999999782</v>
      </c>
      <c r="I6593" s="3">
        <f t="shared" si="307"/>
        <v>9.0944470617151177E-3</v>
      </c>
    </row>
    <row r="6594" spans="2:9" x14ac:dyDescent="0.25">
      <c r="B6594" s="1">
        <v>44848</v>
      </c>
      <c r="C6594" s="2">
        <v>17185.7</v>
      </c>
      <c r="D6594" s="2">
        <v>17322.3</v>
      </c>
      <c r="E6594" s="2">
        <v>17348.55</v>
      </c>
      <c r="F6594" s="2">
        <v>17169.75</v>
      </c>
      <c r="G6594" s="3">
        <f t="shared" si="308"/>
        <v>1.0070910731235783E-2</v>
      </c>
      <c r="H6594" s="2">
        <f t="shared" si="306"/>
        <v>178.79999999999927</v>
      </c>
      <c r="I6594" s="3">
        <f t="shared" si="307"/>
        <v>1.032195493670005E-2</v>
      </c>
    </row>
    <row r="6595" spans="2:9" x14ac:dyDescent="0.25">
      <c r="B6595" s="1">
        <v>44851</v>
      </c>
      <c r="C6595" s="2">
        <v>17311.8</v>
      </c>
      <c r="D6595" s="2">
        <v>17144.8</v>
      </c>
      <c r="E6595" s="2">
        <v>17328.55</v>
      </c>
      <c r="F6595" s="2">
        <v>17098.55</v>
      </c>
      <c r="G6595" s="3">
        <f t="shared" si="308"/>
        <v>7.337495708641395E-3</v>
      </c>
      <c r="H6595" s="2">
        <f t="shared" si="306"/>
        <v>230</v>
      </c>
      <c r="I6595" s="3">
        <f t="shared" si="307"/>
        <v>1.3415146283421213E-2</v>
      </c>
    </row>
    <row r="6596" spans="2:9" x14ac:dyDescent="0.25">
      <c r="B6596" s="1">
        <v>44852</v>
      </c>
      <c r="C6596" s="2">
        <v>17486.95</v>
      </c>
      <c r="D6596" s="2">
        <v>17438.75</v>
      </c>
      <c r="E6596" s="2">
        <v>17527.8</v>
      </c>
      <c r="F6596" s="2">
        <v>17434.05</v>
      </c>
      <c r="G6596" s="3">
        <f t="shared" si="308"/>
        <v>1.0117376587067906E-2</v>
      </c>
      <c r="H6596" s="2">
        <f t="shared" si="306"/>
        <v>93.75</v>
      </c>
      <c r="I6596" s="3">
        <f t="shared" si="307"/>
        <v>5.3759587126370866E-3</v>
      </c>
    </row>
    <row r="6597" spans="2:9" x14ac:dyDescent="0.25">
      <c r="B6597" s="1">
        <v>44853</v>
      </c>
      <c r="C6597" s="2">
        <v>17512.25</v>
      </c>
      <c r="D6597" s="2">
        <v>17568.150000000001</v>
      </c>
      <c r="E6597" s="2">
        <v>17607.599999999999</v>
      </c>
      <c r="F6597" s="2">
        <v>17472.849999999999</v>
      </c>
      <c r="G6597" s="3">
        <f t="shared" si="308"/>
        <v>1.4467931800570266E-3</v>
      </c>
      <c r="H6597" s="2">
        <f t="shared" ref="H6597:H6660" si="309">E6597-F6597</f>
        <v>134.75</v>
      </c>
      <c r="I6597" s="3">
        <f t="shared" si="307"/>
        <v>7.6701303210639704E-3</v>
      </c>
    </row>
    <row r="6598" spans="2:9" x14ac:dyDescent="0.25">
      <c r="B6598" s="1">
        <v>44854</v>
      </c>
      <c r="C6598" s="2">
        <v>17563.95</v>
      </c>
      <c r="D6598" s="2">
        <v>17423.099999999999</v>
      </c>
      <c r="E6598" s="2">
        <v>17584.150000000001</v>
      </c>
      <c r="F6598" s="2">
        <v>17421</v>
      </c>
      <c r="G6598" s="3">
        <f t="shared" si="308"/>
        <v>2.9522191608730708E-3</v>
      </c>
      <c r="H6598" s="2">
        <f t="shared" si="309"/>
        <v>163.15000000000146</v>
      </c>
      <c r="I6598" s="3">
        <f t="shared" ref="I6598:I6661" si="310">H6598/D6598</f>
        <v>9.3640052573882651E-3</v>
      </c>
    </row>
    <row r="6599" spans="2:9" x14ac:dyDescent="0.25">
      <c r="B6599" s="1">
        <v>44855</v>
      </c>
      <c r="C6599" s="2">
        <v>17576.3</v>
      </c>
      <c r="D6599" s="2">
        <v>17622.849999999999</v>
      </c>
      <c r="E6599" s="2">
        <v>17670.150000000001</v>
      </c>
      <c r="F6599" s="2">
        <v>17520.75</v>
      </c>
      <c r="G6599" s="3">
        <f t="shared" ref="G6599:G6662" si="311">C6599/C6598-1</f>
        <v>7.0314479373934091E-4</v>
      </c>
      <c r="H6599" s="2">
        <f t="shared" si="309"/>
        <v>149.40000000000146</v>
      </c>
      <c r="I6599" s="3">
        <f t="shared" si="310"/>
        <v>8.4776298952780882E-3</v>
      </c>
    </row>
    <row r="6600" spans="2:9" x14ac:dyDescent="0.25">
      <c r="B6600" s="1">
        <v>44858</v>
      </c>
      <c r="C6600" s="2">
        <v>17730.75</v>
      </c>
      <c r="D6600" s="2">
        <v>17736.349999999999</v>
      </c>
      <c r="E6600" s="2">
        <v>17777.55</v>
      </c>
      <c r="F6600" s="2">
        <v>17707.400000000001</v>
      </c>
      <c r="G6600" s="3">
        <f t="shared" si="311"/>
        <v>8.7874012164108617E-3</v>
      </c>
      <c r="H6600" s="2">
        <f t="shared" si="309"/>
        <v>70.149999999997817</v>
      </c>
      <c r="I6600" s="3">
        <f t="shared" si="310"/>
        <v>3.9551542453773085E-3</v>
      </c>
    </row>
    <row r="6601" spans="2:9" x14ac:dyDescent="0.25">
      <c r="B6601" s="1">
        <v>44859</v>
      </c>
      <c r="C6601" s="2">
        <v>17656.349999999999</v>
      </c>
      <c r="D6601" s="2">
        <v>17808.3</v>
      </c>
      <c r="E6601" s="2">
        <v>17811.5</v>
      </c>
      <c r="F6601" s="2">
        <v>17637</v>
      </c>
      <c r="G6601" s="3">
        <f t="shared" si="311"/>
        <v>-4.1960999957701972E-3</v>
      </c>
      <c r="H6601" s="2">
        <f t="shared" si="309"/>
        <v>174.5</v>
      </c>
      <c r="I6601" s="3">
        <f t="shared" si="310"/>
        <v>9.7988016823615954E-3</v>
      </c>
    </row>
    <row r="6602" spans="2:9" x14ac:dyDescent="0.25">
      <c r="B6602" s="1">
        <v>44861</v>
      </c>
      <c r="C6602" s="2">
        <v>17736.95</v>
      </c>
      <c r="D6602" s="2">
        <v>17771.400000000001</v>
      </c>
      <c r="E6602" s="2">
        <v>17783.900000000001</v>
      </c>
      <c r="F6602" s="2">
        <v>17654.5</v>
      </c>
      <c r="G6602" s="3">
        <f t="shared" si="311"/>
        <v>4.5649298977423758E-3</v>
      </c>
      <c r="H6602" s="2">
        <f t="shared" si="309"/>
        <v>129.40000000000146</v>
      </c>
      <c r="I6602" s="3">
        <f t="shared" si="310"/>
        <v>7.2813621886852718E-3</v>
      </c>
    </row>
    <row r="6603" spans="2:9" x14ac:dyDescent="0.25">
      <c r="B6603" s="1">
        <v>44862</v>
      </c>
      <c r="C6603" s="2">
        <v>17786.8</v>
      </c>
      <c r="D6603" s="2">
        <v>17756.400000000001</v>
      </c>
      <c r="E6603" s="2">
        <v>17838.900000000001</v>
      </c>
      <c r="F6603" s="2">
        <v>17723.7</v>
      </c>
      <c r="G6603" s="3">
        <f t="shared" si="311"/>
        <v>2.8105170280121605E-3</v>
      </c>
      <c r="H6603" s="2">
        <f t="shared" si="309"/>
        <v>115.20000000000073</v>
      </c>
      <c r="I6603" s="3">
        <f t="shared" si="310"/>
        <v>6.4878015814016756E-3</v>
      </c>
    </row>
    <row r="6604" spans="2:9" x14ac:dyDescent="0.25">
      <c r="B6604" s="1">
        <v>44865</v>
      </c>
      <c r="C6604" s="2">
        <v>18012.2</v>
      </c>
      <c r="D6604" s="2">
        <v>17910.2</v>
      </c>
      <c r="E6604" s="2">
        <v>18022.8</v>
      </c>
      <c r="F6604" s="2">
        <v>17899.900000000001</v>
      </c>
      <c r="G6604" s="3">
        <f t="shared" si="311"/>
        <v>1.2672318798210069E-2</v>
      </c>
      <c r="H6604" s="2">
        <f t="shared" si="309"/>
        <v>122.89999999999782</v>
      </c>
      <c r="I6604" s="3">
        <f t="shared" si="310"/>
        <v>6.8620115911602227E-3</v>
      </c>
    </row>
    <row r="6605" spans="2:9" x14ac:dyDescent="0.25">
      <c r="B6605" s="1">
        <v>44866</v>
      </c>
      <c r="C6605" s="2">
        <v>18145.400000000001</v>
      </c>
      <c r="D6605" s="2">
        <v>18130.7</v>
      </c>
      <c r="E6605" s="2">
        <v>18175.8</v>
      </c>
      <c r="F6605" s="2">
        <v>18060.150000000001</v>
      </c>
      <c r="G6605" s="3">
        <f t="shared" si="311"/>
        <v>7.3949878415739967E-3</v>
      </c>
      <c r="H6605" s="2">
        <f t="shared" si="309"/>
        <v>115.64999999999782</v>
      </c>
      <c r="I6605" s="3">
        <f t="shared" si="310"/>
        <v>6.3786836691356544E-3</v>
      </c>
    </row>
    <row r="6606" spans="2:9" x14ac:dyDescent="0.25">
      <c r="B6606" s="1">
        <v>44867</v>
      </c>
      <c r="C6606" s="2">
        <v>18082.849999999999</v>
      </c>
      <c r="D6606" s="2">
        <v>18177.900000000001</v>
      </c>
      <c r="E6606" s="2">
        <v>18178.75</v>
      </c>
      <c r="F6606" s="2">
        <v>18048.650000000001</v>
      </c>
      <c r="G6606" s="3">
        <f t="shared" si="311"/>
        <v>-3.4471546507656159E-3</v>
      </c>
      <c r="H6606" s="2">
        <f t="shared" si="309"/>
        <v>130.09999999999854</v>
      </c>
      <c r="I6606" s="3">
        <f t="shared" si="310"/>
        <v>7.1570423426247547E-3</v>
      </c>
    </row>
    <row r="6607" spans="2:9" x14ac:dyDescent="0.25">
      <c r="B6607" s="1">
        <v>44868</v>
      </c>
      <c r="C6607" s="2">
        <v>18052.7</v>
      </c>
      <c r="D6607" s="2">
        <v>17968.349999999999</v>
      </c>
      <c r="E6607" s="2">
        <v>18106.3</v>
      </c>
      <c r="F6607" s="2">
        <v>17959.2</v>
      </c>
      <c r="G6607" s="3">
        <f t="shared" si="311"/>
        <v>-1.6673256704555772E-3</v>
      </c>
      <c r="H6607" s="2">
        <f t="shared" si="309"/>
        <v>147.09999999999854</v>
      </c>
      <c r="I6607" s="3">
        <f t="shared" si="310"/>
        <v>8.1866170238223627E-3</v>
      </c>
    </row>
    <row r="6608" spans="2:9" x14ac:dyDescent="0.25">
      <c r="B6608" s="1">
        <v>44869</v>
      </c>
      <c r="C6608" s="2">
        <v>18117.150000000001</v>
      </c>
      <c r="D6608" s="2">
        <v>18053.400000000001</v>
      </c>
      <c r="E6608" s="2">
        <v>18135.099999999999</v>
      </c>
      <c r="F6608" s="2">
        <v>18017.150000000001</v>
      </c>
      <c r="G6608" s="3">
        <f t="shared" si="311"/>
        <v>3.5701030870729511E-3</v>
      </c>
      <c r="H6608" s="2">
        <f t="shared" si="309"/>
        <v>117.94999999999709</v>
      </c>
      <c r="I6608" s="3">
        <f t="shared" si="310"/>
        <v>6.5333953715088064E-3</v>
      </c>
    </row>
    <row r="6609" spans="2:9" x14ac:dyDescent="0.25">
      <c r="B6609" s="1">
        <v>44872</v>
      </c>
      <c r="C6609" s="2">
        <v>18202.8</v>
      </c>
      <c r="D6609" s="2">
        <v>18211.75</v>
      </c>
      <c r="E6609" s="2">
        <v>18255.5</v>
      </c>
      <c r="F6609" s="2">
        <v>18064.75</v>
      </c>
      <c r="G6609" s="3">
        <f t="shared" si="311"/>
        <v>4.7275647659812403E-3</v>
      </c>
      <c r="H6609" s="2">
        <f t="shared" si="309"/>
        <v>190.75</v>
      </c>
      <c r="I6609" s="3">
        <f t="shared" si="310"/>
        <v>1.047400716570346E-2</v>
      </c>
    </row>
    <row r="6610" spans="2:9" x14ac:dyDescent="0.25">
      <c r="B6610" s="1">
        <v>44874</v>
      </c>
      <c r="C6610" s="2">
        <v>18157</v>
      </c>
      <c r="D6610" s="2">
        <v>18288.25</v>
      </c>
      <c r="E6610" s="2">
        <v>18296.400000000001</v>
      </c>
      <c r="F6610" s="2">
        <v>18117.5</v>
      </c>
      <c r="G6610" s="3">
        <f t="shared" si="311"/>
        <v>-2.5160964247258333E-3</v>
      </c>
      <c r="H6610" s="2">
        <f t="shared" si="309"/>
        <v>178.90000000000146</v>
      </c>
      <c r="I6610" s="3">
        <f t="shared" si="310"/>
        <v>9.7822372288218634E-3</v>
      </c>
    </row>
    <row r="6611" spans="2:9" x14ac:dyDescent="0.25">
      <c r="B6611" s="1">
        <v>44875</v>
      </c>
      <c r="C6611" s="2">
        <v>18028.2</v>
      </c>
      <c r="D6611" s="2">
        <v>18044.349999999999</v>
      </c>
      <c r="E6611" s="2">
        <v>18103.099999999999</v>
      </c>
      <c r="F6611" s="2">
        <v>17969.400000000001</v>
      </c>
      <c r="G6611" s="3">
        <f t="shared" si="311"/>
        <v>-7.0936828771271943E-3</v>
      </c>
      <c r="H6611" s="2">
        <f t="shared" si="309"/>
        <v>133.69999999999709</v>
      </c>
      <c r="I6611" s="3">
        <f t="shared" si="310"/>
        <v>7.4095215399832687E-3</v>
      </c>
    </row>
    <row r="6612" spans="2:9" x14ac:dyDescent="0.25">
      <c r="B6612" s="1">
        <v>44876</v>
      </c>
      <c r="C6612" s="2">
        <v>18349.7</v>
      </c>
      <c r="D6612" s="2">
        <v>18272.349999999999</v>
      </c>
      <c r="E6612" s="2">
        <v>18362.3</v>
      </c>
      <c r="F6612" s="2">
        <v>18259.349999999999</v>
      </c>
      <c r="G6612" s="3">
        <f t="shared" si="311"/>
        <v>1.7833172474234882E-2</v>
      </c>
      <c r="H6612" s="2">
        <f t="shared" si="309"/>
        <v>102.95000000000073</v>
      </c>
      <c r="I6612" s="3">
        <f t="shared" si="310"/>
        <v>5.634195929916006E-3</v>
      </c>
    </row>
    <row r="6613" spans="2:9" x14ac:dyDescent="0.25">
      <c r="B6613" s="1">
        <v>44879</v>
      </c>
      <c r="C6613" s="2">
        <v>18329.150000000001</v>
      </c>
      <c r="D6613" s="2">
        <v>18376.400000000001</v>
      </c>
      <c r="E6613" s="2">
        <v>18399.45</v>
      </c>
      <c r="F6613" s="2">
        <v>18311.400000000001</v>
      </c>
      <c r="G6613" s="3">
        <f t="shared" si="311"/>
        <v>-1.1199093173185348E-3</v>
      </c>
      <c r="H6613" s="2">
        <f t="shared" si="309"/>
        <v>88.049999999999272</v>
      </c>
      <c r="I6613" s="3">
        <f t="shared" si="310"/>
        <v>4.791471670185633E-3</v>
      </c>
    </row>
    <row r="6614" spans="2:9" x14ac:dyDescent="0.25">
      <c r="B6614" s="1">
        <v>44880</v>
      </c>
      <c r="C6614" s="2">
        <v>18403.400000000001</v>
      </c>
      <c r="D6614" s="2">
        <v>18362.75</v>
      </c>
      <c r="E6614" s="2">
        <v>18427.95</v>
      </c>
      <c r="F6614" s="2">
        <v>18282</v>
      </c>
      <c r="G6614" s="3">
        <f t="shared" si="311"/>
        <v>4.0509243472828249E-3</v>
      </c>
      <c r="H6614" s="2">
        <f t="shared" si="309"/>
        <v>145.95000000000073</v>
      </c>
      <c r="I6614" s="3">
        <f t="shared" si="310"/>
        <v>7.9481559134661605E-3</v>
      </c>
    </row>
    <row r="6615" spans="2:9" x14ac:dyDescent="0.25">
      <c r="B6615" s="1">
        <v>44881</v>
      </c>
      <c r="C6615" s="2">
        <v>18409.650000000001</v>
      </c>
      <c r="D6615" s="2">
        <v>18398.25</v>
      </c>
      <c r="E6615" s="2">
        <v>18442.150000000001</v>
      </c>
      <c r="F6615" s="2">
        <v>18344.150000000001</v>
      </c>
      <c r="G6615" s="3">
        <f t="shared" si="311"/>
        <v>3.3961115880765114E-4</v>
      </c>
      <c r="H6615" s="2">
        <f t="shared" si="309"/>
        <v>98</v>
      </c>
      <c r="I6615" s="3">
        <f t="shared" si="310"/>
        <v>5.3265935618876797E-3</v>
      </c>
    </row>
    <row r="6616" spans="2:9" x14ac:dyDescent="0.25">
      <c r="B6616" s="1">
        <v>44882</v>
      </c>
      <c r="C6616" s="2">
        <v>18343.900000000001</v>
      </c>
      <c r="D6616" s="2">
        <v>18358.7</v>
      </c>
      <c r="E6616" s="2">
        <v>18417.599999999999</v>
      </c>
      <c r="F6616" s="2">
        <v>18312.95</v>
      </c>
      <c r="G6616" s="3">
        <f t="shared" si="311"/>
        <v>-3.5714964706010655E-3</v>
      </c>
      <c r="H6616" s="2">
        <f t="shared" si="309"/>
        <v>104.64999999999782</v>
      </c>
      <c r="I6616" s="3">
        <f t="shared" si="310"/>
        <v>5.7002946831746157E-3</v>
      </c>
    </row>
    <row r="6617" spans="2:9" x14ac:dyDescent="0.25">
      <c r="B6617" s="1">
        <v>44883</v>
      </c>
      <c r="C6617" s="2">
        <v>18307.650000000001</v>
      </c>
      <c r="D6617" s="2">
        <v>18382.95</v>
      </c>
      <c r="E6617" s="2">
        <v>18394.599999999999</v>
      </c>
      <c r="F6617" s="2">
        <v>18209.8</v>
      </c>
      <c r="G6617" s="3">
        <f t="shared" si="311"/>
        <v>-1.9761337556354341E-3</v>
      </c>
      <c r="H6617" s="2">
        <f t="shared" si="309"/>
        <v>184.79999999999927</v>
      </c>
      <c r="I6617" s="3">
        <f t="shared" si="310"/>
        <v>1.0052793485267558E-2</v>
      </c>
    </row>
    <row r="6618" spans="2:9" x14ac:dyDescent="0.25">
      <c r="B6618" s="1">
        <v>44886</v>
      </c>
      <c r="C6618" s="2">
        <v>18159.95</v>
      </c>
      <c r="D6618" s="2">
        <v>18246.400000000001</v>
      </c>
      <c r="E6618" s="2">
        <v>18262.3</v>
      </c>
      <c r="F6618" s="2">
        <v>18133.349999999999</v>
      </c>
      <c r="G6618" s="3">
        <f t="shared" si="311"/>
        <v>-8.0676657025888776E-3</v>
      </c>
      <c r="H6618" s="2">
        <f t="shared" si="309"/>
        <v>128.95000000000073</v>
      </c>
      <c r="I6618" s="3">
        <f t="shared" si="310"/>
        <v>7.0671474921080715E-3</v>
      </c>
    </row>
    <row r="6619" spans="2:9" x14ac:dyDescent="0.25">
      <c r="B6619" s="1">
        <v>44887</v>
      </c>
      <c r="C6619" s="2">
        <v>18244.2</v>
      </c>
      <c r="D6619" s="2">
        <v>18179.150000000001</v>
      </c>
      <c r="E6619" s="2">
        <v>18261.849999999999</v>
      </c>
      <c r="F6619" s="2">
        <v>18137.7</v>
      </c>
      <c r="G6619" s="3">
        <f t="shared" si="311"/>
        <v>4.6393299541023225E-3</v>
      </c>
      <c r="H6619" s="2">
        <f t="shared" si="309"/>
        <v>124.14999999999782</v>
      </c>
      <c r="I6619" s="3">
        <f t="shared" si="310"/>
        <v>6.8292521927591672E-3</v>
      </c>
    </row>
    <row r="6620" spans="2:9" x14ac:dyDescent="0.25">
      <c r="B6620" s="1">
        <v>44888</v>
      </c>
      <c r="C6620" s="2">
        <v>18267.25</v>
      </c>
      <c r="D6620" s="2">
        <v>18325.2</v>
      </c>
      <c r="E6620" s="2">
        <v>18325.400000000001</v>
      </c>
      <c r="F6620" s="2">
        <v>18246</v>
      </c>
      <c r="G6620" s="3">
        <f t="shared" si="311"/>
        <v>1.2634152223720552E-3</v>
      </c>
      <c r="H6620" s="2">
        <f t="shared" si="309"/>
        <v>79.400000000001455</v>
      </c>
      <c r="I6620" s="3">
        <f t="shared" si="310"/>
        <v>4.3328312924279929E-3</v>
      </c>
    </row>
    <row r="6621" spans="2:9" x14ac:dyDescent="0.25">
      <c r="B6621" s="1">
        <v>44889</v>
      </c>
      <c r="C6621" s="2">
        <v>18484.099999999999</v>
      </c>
      <c r="D6621" s="2">
        <v>18326.099999999999</v>
      </c>
      <c r="E6621" s="2">
        <v>18529.7</v>
      </c>
      <c r="F6621" s="2">
        <v>18294.25</v>
      </c>
      <c r="G6621" s="3">
        <f t="shared" si="311"/>
        <v>1.1870971273727493E-2</v>
      </c>
      <c r="H6621" s="2">
        <f t="shared" si="309"/>
        <v>235.45000000000073</v>
      </c>
      <c r="I6621" s="3">
        <f t="shared" si="310"/>
        <v>1.2847796312363283E-2</v>
      </c>
    </row>
    <row r="6622" spans="2:9" x14ac:dyDescent="0.25">
      <c r="B6622" s="1">
        <v>44890</v>
      </c>
      <c r="C6622" s="2">
        <v>18512.75</v>
      </c>
      <c r="D6622" s="2">
        <v>18528.45</v>
      </c>
      <c r="E6622" s="2">
        <v>18534.900000000001</v>
      </c>
      <c r="F6622" s="2">
        <v>18445.099999999999</v>
      </c>
      <c r="G6622" s="3">
        <f t="shared" si="311"/>
        <v>1.5499807943044619E-3</v>
      </c>
      <c r="H6622" s="2">
        <f t="shared" si="309"/>
        <v>89.80000000000291</v>
      </c>
      <c r="I6622" s="3">
        <f t="shared" si="310"/>
        <v>4.8466007680082746E-3</v>
      </c>
    </row>
    <row r="6623" spans="2:9" x14ac:dyDescent="0.25">
      <c r="B6623" s="1">
        <v>44893</v>
      </c>
      <c r="C6623" s="2">
        <v>18562.75</v>
      </c>
      <c r="D6623" s="2">
        <v>18430.55</v>
      </c>
      <c r="E6623" s="2">
        <v>18614.25</v>
      </c>
      <c r="F6623" s="2">
        <v>18365.599999999999</v>
      </c>
      <c r="G6623" s="3">
        <f t="shared" si="311"/>
        <v>2.7008413120686026E-3</v>
      </c>
      <c r="H6623" s="2">
        <f t="shared" si="309"/>
        <v>248.65000000000146</v>
      </c>
      <c r="I6623" s="3">
        <f t="shared" si="310"/>
        <v>1.3491187186492072E-2</v>
      </c>
    </row>
    <row r="6624" spans="2:9" x14ac:dyDescent="0.25">
      <c r="B6624" s="1">
        <v>44894</v>
      </c>
      <c r="C6624" s="2">
        <v>18618.05</v>
      </c>
      <c r="D6624" s="2">
        <v>18552.45</v>
      </c>
      <c r="E6624" s="2">
        <v>18678.099999999999</v>
      </c>
      <c r="F6624" s="2">
        <v>18552.150000000001</v>
      </c>
      <c r="G6624" s="3">
        <f t="shared" si="311"/>
        <v>2.9790844567749719E-3</v>
      </c>
      <c r="H6624" s="2">
        <f t="shared" si="309"/>
        <v>125.94999999999709</v>
      </c>
      <c r="I6624" s="3">
        <f t="shared" si="310"/>
        <v>6.7888607704102199E-3</v>
      </c>
    </row>
    <row r="6625" spans="2:9" x14ac:dyDescent="0.25">
      <c r="B6625" s="1">
        <v>44895</v>
      </c>
      <c r="C6625" s="2">
        <v>18758.349999999999</v>
      </c>
      <c r="D6625" s="2">
        <v>18625.7</v>
      </c>
      <c r="E6625" s="2">
        <v>18816.05</v>
      </c>
      <c r="F6625" s="2">
        <v>18616.55</v>
      </c>
      <c r="G6625" s="3">
        <f t="shared" si="311"/>
        <v>7.5356978845797506E-3</v>
      </c>
      <c r="H6625" s="2">
        <f t="shared" si="309"/>
        <v>199.5</v>
      </c>
      <c r="I6625" s="3">
        <f t="shared" si="310"/>
        <v>1.0711006834642456E-2</v>
      </c>
    </row>
    <row r="6626" spans="2:9" x14ac:dyDescent="0.25">
      <c r="B6626" s="1">
        <v>44896</v>
      </c>
      <c r="C6626" s="2">
        <v>18812.5</v>
      </c>
      <c r="D6626" s="2">
        <v>18871.95</v>
      </c>
      <c r="E6626" s="2">
        <v>18887.599999999999</v>
      </c>
      <c r="F6626" s="2">
        <v>18778.2</v>
      </c>
      <c r="G6626" s="3">
        <f t="shared" si="311"/>
        <v>2.8867144498316843E-3</v>
      </c>
      <c r="H6626" s="2">
        <f t="shared" si="309"/>
        <v>109.39999999999782</v>
      </c>
      <c r="I6626" s="3">
        <f t="shared" si="310"/>
        <v>5.7969632178973456E-3</v>
      </c>
    </row>
    <row r="6627" spans="2:9" x14ac:dyDescent="0.25">
      <c r="B6627" s="1">
        <v>44897</v>
      </c>
      <c r="C6627" s="2">
        <v>18696.099999999999</v>
      </c>
      <c r="D6627" s="2">
        <v>18752.400000000001</v>
      </c>
      <c r="E6627" s="2">
        <v>18781.95</v>
      </c>
      <c r="F6627" s="2">
        <v>18639.2</v>
      </c>
      <c r="G6627" s="3">
        <f t="shared" si="311"/>
        <v>-6.18737541528247E-3</v>
      </c>
      <c r="H6627" s="2">
        <f t="shared" si="309"/>
        <v>142.75</v>
      </c>
      <c r="I6627" s="3">
        <f t="shared" si="310"/>
        <v>7.6123589513875552E-3</v>
      </c>
    </row>
    <row r="6628" spans="2:9" x14ac:dyDescent="0.25">
      <c r="B6628" s="1">
        <v>44900</v>
      </c>
      <c r="C6628" s="2">
        <v>18701.05</v>
      </c>
      <c r="D6628" s="2">
        <v>18719.55</v>
      </c>
      <c r="E6628" s="2">
        <v>18728.599999999999</v>
      </c>
      <c r="F6628" s="2">
        <v>18591.349999999999</v>
      </c>
      <c r="G6628" s="3">
        <f t="shared" si="311"/>
        <v>2.6476109990847263E-4</v>
      </c>
      <c r="H6628" s="2">
        <f t="shared" si="309"/>
        <v>137.25</v>
      </c>
      <c r="I6628" s="3">
        <f t="shared" si="310"/>
        <v>7.3319070169956015E-3</v>
      </c>
    </row>
    <row r="6629" spans="2:9" x14ac:dyDescent="0.25">
      <c r="B6629" s="1">
        <v>44901</v>
      </c>
      <c r="C6629" s="2">
        <v>18642.75</v>
      </c>
      <c r="D6629" s="2">
        <v>18600.650000000001</v>
      </c>
      <c r="E6629" s="2">
        <v>18654.900000000001</v>
      </c>
      <c r="F6629" s="2">
        <v>18577.900000000001</v>
      </c>
      <c r="G6629" s="3">
        <f t="shared" si="311"/>
        <v>-3.1174720136034617E-3</v>
      </c>
      <c r="H6629" s="2">
        <f t="shared" si="309"/>
        <v>77</v>
      </c>
      <c r="I6629" s="3">
        <f t="shared" si="310"/>
        <v>4.1396402813880153E-3</v>
      </c>
    </row>
    <row r="6630" spans="2:9" x14ac:dyDescent="0.25">
      <c r="B6630" s="1">
        <v>44902</v>
      </c>
      <c r="C6630" s="2">
        <v>18560.5</v>
      </c>
      <c r="D6630" s="2">
        <v>18638.849999999999</v>
      </c>
      <c r="E6630" s="2">
        <v>18668.3</v>
      </c>
      <c r="F6630" s="2">
        <v>18528.400000000001</v>
      </c>
      <c r="G6630" s="3">
        <f t="shared" si="311"/>
        <v>-4.4119027503989328E-3</v>
      </c>
      <c r="H6630" s="2">
        <f t="shared" si="309"/>
        <v>139.89999999999782</v>
      </c>
      <c r="I6630" s="3">
        <f t="shared" si="310"/>
        <v>7.505827881011856E-3</v>
      </c>
    </row>
    <row r="6631" spans="2:9" x14ac:dyDescent="0.25">
      <c r="B6631" s="1">
        <v>44903</v>
      </c>
      <c r="C6631" s="2">
        <v>18609.349999999999</v>
      </c>
      <c r="D6631" s="2">
        <v>18570.849999999999</v>
      </c>
      <c r="E6631" s="2">
        <v>18625</v>
      </c>
      <c r="F6631" s="2">
        <v>18536.95</v>
      </c>
      <c r="G6631" s="3">
        <f t="shared" si="311"/>
        <v>2.6319334069664357E-3</v>
      </c>
      <c r="H6631" s="2">
        <f t="shared" si="309"/>
        <v>88.049999999999272</v>
      </c>
      <c r="I6631" s="3">
        <f t="shared" si="310"/>
        <v>4.7413015559330494E-3</v>
      </c>
    </row>
    <row r="6632" spans="2:9" x14ac:dyDescent="0.25">
      <c r="B6632" s="1">
        <v>44904</v>
      </c>
      <c r="C6632" s="2">
        <v>18496.599999999999</v>
      </c>
      <c r="D6632" s="2">
        <v>18662.400000000001</v>
      </c>
      <c r="E6632" s="2">
        <v>18664.7</v>
      </c>
      <c r="F6632" s="2">
        <v>18410.099999999999</v>
      </c>
      <c r="G6632" s="3">
        <f t="shared" si="311"/>
        <v>-6.058782278800745E-3</v>
      </c>
      <c r="H6632" s="2">
        <f t="shared" si="309"/>
        <v>254.60000000000218</v>
      </c>
      <c r="I6632" s="3">
        <f t="shared" si="310"/>
        <v>1.3642403978052242E-2</v>
      </c>
    </row>
    <row r="6633" spans="2:9" x14ac:dyDescent="0.25">
      <c r="B6633" s="1">
        <v>44907</v>
      </c>
      <c r="C6633" s="2">
        <v>18497.150000000001</v>
      </c>
      <c r="D6633" s="2">
        <v>18402.150000000001</v>
      </c>
      <c r="E6633" s="2">
        <v>18521.55</v>
      </c>
      <c r="F6633" s="2">
        <v>18345.7</v>
      </c>
      <c r="G6633" s="3">
        <f t="shared" si="311"/>
        <v>2.9735194576385737E-5</v>
      </c>
      <c r="H6633" s="2">
        <f t="shared" si="309"/>
        <v>175.84999999999854</v>
      </c>
      <c r="I6633" s="3">
        <f t="shared" si="310"/>
        <v>9.5559486255681284E-3</v>
      </c>
    </row>
    <row r="6634" spans="2:9" x14ac:dyDescent="0.25">
      <c r="B6634" s="1">
        <v>44908</v>
      </c>
      <c r="C6634" s="2">
        <v>18608</v>
      </c>
      <c r="D6634" s="2">
        <v>18524.400000000001</v>
      </c>
      <c r="E6634" s="2">
        <v>18617.25</v>
      </c>
      <c r="F6634" s="2">
        <v>18490.2</v>
      </c>
      <c r="G6634" s="3">
        <f t="shared" si="311"/>
        <v>5.9928151093546767E-3</v>
      </c>
      <c r="H6634" s="2">
        <f t="shared" si="309"/>
        <v>127.04999999999927</v>
      </c>
      <c r="I6634" s="3">
        <f t="shared" si="310"/>
        <v>6.8585217334974011E-3</v>
      </c>
    </row>
    <row r="6635" spans="2:9" x14ac:dyDescent="0.25">
      <c r="B6635" s="1">
        <v>44909</v>
      </c>
      <c r="C6635" s="2">
        <v>18660.3</v>
      </c>
      <c r="D6635" s="2">
        <v>18671.25</v>
      </c>
      <c r="E6635" s="2">
        <v>18696.099999999999</v>
      </c>
      <c r="F6635" s="2">
        <v>18632.900000000001</v>
      </c>
      <c r="G6635" s="3">
        <f t="shared" si="311"/>
        <v>2.8106190885639482E-3</v>
      </c>
      <c r="H6635" s="2">
        <f t="shared" si="309"/>
        <v>63.19999999999709</v>
      </c>
      <c r="I6635" s="3">
        <f t="shared" si="310"/>
        <v>3.3848831760057356E-3</v>
      </c>
    </row>
    <row r="6636" spans="2:9" x14ac:dyDescent="0.25">
      <c r="B6636" s="1">
        <v>44910</v>
      </c>
      <c r="C6636" s="2">
        <v>18414.900000000001</v>
      </c>
      <c r="D6636" s="2">
        <v>18614.400000000001</v>
      </c>
      <c r="E6636" s="2">
        <v>18652.900000000001</v>
      </c>
      <c r="F6636" s="2">
        <v>18387.7</v>
      </c>
      <c r="G6636" s="3">
        <f t="shared" si="311"/>
        <v>-1.3150913972444056E-2</v>
      </c>
      <c r="H6636" s="2">
        <f t="shared" si="309"/>
        <v>265.20000000000073</v>
      </c>
      <c r="I6636" s="3">
        <f t="shared" si="310"/>
        <v>1.4247034553893798E-2</v>
      </c>
    </row>
    <row r="6637" spans="2:9" x14ac:dyDescent="0.25">
      <c r="B6637" s="1">
        <v>44911</v>
      </c>
      <c r="C6637" s="2">
        <v>18269</v>
      </c>
      <c r="D6637" s="2">
        <v>18319.099999999999</v>
      </c>
      <c r="E6637" s="2">
        <v>18440.95</v>
      </c>
      <c r="F6637" s="2">
        <v>18255.150000000001</v>
      </c>
      <c r="G6637" s="3">
        <f t="shared" si="311"/>
        <v>-7.9229319735649728E-3</v>
      </c>
      <c r="H6637" s="2">
        <f t="shared" si="309"/>
        <v>185.79999999999927</v>
      </c>
      <c r="I6637" s="3">
        <f t="shared" si="310"/>
        <v>1.0142419660354455E-2</v>
      </c>
    </row>
    <row r="6638" spans="2:9" x14ac:dyDescent="0.25">
      <c r="B6638" s="1">
        <v>44914</v>
      </c>
      <c r="C6638" s="2">
        <v>18420.45</v>
      </c>
      <c r="D6638" s="2">
        <v>18288.099999999999</v>
      </c>
      <c r="E6638" s="2">
        <v>18431.650000000001</v>
      </c>
      <c r="F6638" s="2">
        <v>18244.55</v>
      </c>
      <c r="G6638" s="3">
        <f t="shared" si="311"/>
        <v>8.2899994526246523E-3</v>
      </c>
      <c r="H6638" s="2">
        <f t="shared" si="309"/>
        <v>187.10000000000218</v>
      </c>
      <c r="I6638" s="3">
        <f t="shared" si="310"/>
        <v>1.0230696463820856E-2</v>
      </c>
    </row>
    <row r="6639" spans="2:9" x14ac:dyDescent="0.25">
      <c r="B6639" s="1">
        <v>44915</v>
      </c>
      <c r="C6639" s="2">
        <v>18385.3</v>
      </c>
      <c r="D6639" s="2">
        <v>18340.3</v>
      </c>
      <c r="E6639" s="2">
        <v>18404.900000000001</v>
      </c>
      <c r="F6639" s="2">
        <v>18202.650000000001</v>
      </c>
      <c r="G6639" s="3">
        <f t="shared" si="311"/>
        <v>-1.9082052827157359E-3</v>
      </c>
      <c r="H6639" s="2">
        <f t="shared" si="309"/>
        <v>202.25</v>
      </c>
      <c r="I6639" s="3">
        <f t="shared" si="310"/>
        <v>1.1027627683298529E-2</v>
      </c>
    </row>
    <row r="6640" spans="2:9" x14ac:dyDescent="0.25">
      <c r="B6640" s="1">
        <v>44916</v>
      </c>
      <c r="C6640" s="2">
        <v>18199.099999999999</v>
      </c>
      <c r="D6640" s="2">
        <v>18435.150000000001</v>
      </c>
      <c r="E6640" s="2">
        <v>18473.349999999999</v>
      </c>
      <c r="F6640" s="2">
        <v>18162.75</v>
      </c>
      <c r="G6640" s="3">
        <f t="shared" si="311"/>
        <v>-1.0127656334136592E-2</v>
      </c>
      <c r="H6640" s="2">
        <f t="shared" si="309"/>
        <v>310.59999999999854</v>
      </c>
      <c r="I6640" s="3">
        <f t="shared" si="310"/>
        <v>1.6848249132770741E-2</v>
      </c>
    </row>
    <row r="6641" spans="2:9" x14ac:dyDescent="0.25">
      <c r="B6641" s="1">
        <v>44917</v>
      </c>
      <c r="C6641" s="2">
        <v>18127.349999999999</v>
      </c>
      <c r="D6641" s="2">
        <v>18288.8</v>
      </c>
      <c r="E6641" s="2">
        <v>18318.75</v>
      </c>
      <c r="F6641" s="2">
        <v>18068.599999999999</v>
      </c>
      <c r="G6641" s="3">
        <f t="shared" si="311"/>
        <v>-3.9425026512299732E-3</v>
      </c>
      <c r="H6641" s="2">
        <f t="shared" si="309"/>
        <v>250.15000000000146</v>
      </c>
      <c r="I6641" s="3">
        <f t="shared" si="310"/>
        <v>1.3677770001312359E-2</v>
      </c>
    </row>
    <row r="6642" spans="2:9" x14ac:dyDescent="0.25">
      <c r="B6642" s="1">
        <v>44918</v>
      </c>
      <c r="C6642" s="2">
        <v>17806.8</v>
      </c>
      <c r="D6642" s="2">
        <v>17977.650000000001</v>
      </c>
      <c r="E6642" s="2">
        <v>18050.45</v>
      </c>
      <c r="F6642" s="2">
        <v>17779.5</v>
      </c>
      <c r="G6642" s="3">
        <f t="shared" si="311"/>
        <v>-1.7683224519855267E-2</v>
      </c>
      <c r="H6642" s="2">
        <f t="shared" si="309"/>
        <v>270.95000000000073</v>
      </c>
      <c r="I6642" s="3">
        <f t="shared" si="310"/>
        <v>1.507149154644799E-2</v>
      </c>
    </row>
    <row r="6643" spans="2:9" x14ac:dyDescent="0.25">
      <c r="B6643" s="1">
        <v>44921</v>
      </c>
      <c r="C6643" s="2">
        <v>18014.599999999999</v>
      </c>
      <c r="D6643" s="2">
        <v>17830.400000000001</v>
      </c>
      <c r="E6643" s="2">
        <v>18084.099999999999</v>
      </c>
      <c r="F6643" s="2">
        <v>17774.25</v>
      </c>
      <c r="G6643" s="3">
        <f t="shared" si="311"/>
        <v>1.1669699216029894E-2</v>
      </c>
      <c r="H6643" s="2">
        <f t="shared" si="309"/>
        <v>309.84999999999854</v>
      </c>
      <c r="I6643" s="3">
        <f t="shared" si="310"/>
        <v>1.7377624730796758E-2</v>
      </c>
    </row>
    <row r="6644" spans="2:9" x14ac:dyDescent="0.25">
      <c r="B6644" s="1">
        <v>44922</v>
      </c>
      <c r="C6644" s="2">
        <v>18132.3</v>
      </c>
      <c r="D6644" s="2">
        <v>18089.8</v>
      </c>
      <c r="E6644" s="2">
        <v>18149.25</v>
      </c>
      <c r="F6644" s="2">
        <v>17967.45</v>
      </c>
      <c r="G6644" s="3">
        <f t="shared" si="311"/>
        <v>6.5335894219133994E-3</v>
      </c>
      <c r="H6644" s="2">
        <f t="shared" si="309"/>
        <v>181.79999999999927</v>
      </c>
      <c r="I6644" s="3">
        <f t="shared" si="310"/>
        <v>1.0049862353370367E-2</v>
      </c>
    </row>
    <row r="6645" spans="2:9" x14ac:dyDescent="0.25">
      <c r="B6645" s="1">
        <v>44923</v>
      </c>
      <c r="C6645" s="2">
        <v>18122.5</v>
      </c>
      <c r="D6645" s="2">
        <v>18084.75</v>
      </c>
      <c r="E6645" s="2">
        <v>18173.099999999999</v>
      </c>
      <c r="F6645" s="2">
        <v>18068.349999999999</v>
      </c>
      <c r="G6645" s="3">
        <f t="shared" si="311"/>
        <v>-5.4047197542506087E-4</v>
      </c>
      <c r="H6645" s="2">
        <f t="shared" si="309"/>
        <v>104.75</v>
      </c>
      <c r="I6645" s="3">
        <f t="shared" si="310"/>
        <v>5.7921729634083964E-3</v>
      </c>
    </row>
    <row r="6646" spans="2:9" x14ac:dyDescent="0.25">
      <c r="B6646" s="1">
        <v>44924</v>
      </c>
      <c r="C6646" s="2">
        <v>18191</v>
      </c>
      <c r="D6646" s="2">
        <v>18045.7</v>
      </c>
      <c r="E6646" s="2">
        <v>18229.7</v>
      </c>
      <c r="F6646" s="2">
        <v>17992.8</v>
      </c>
      <c r="G6646" s="3">
        <f t="shared" si="311"/>
        <v>3.7798317009243299E-3</v>
      </c>
      <c r="H6646" s="2">
        <f t="shared" si="309"/>
        <v>236.90000000000146</v>
      </c>
      <c r="I6646" s="3">
        <f t="shared" si="310"/>
        <v>1.3127781133455696E-2</v>
      </c>
    </row>
    <row r="6647" spans="2:9" x14ac:dyDescent="0.25">
      <c r="B6647" s="1">
        <v>44925</v>
      </c>
      <c r="C6647" s="2">
        <v>18105.3</v>
      </c>
      <c r="D6647" s="2">
        <v>18259.099999999999</v>
      </c>
      <c r="E6647" s="2">
        <v>18265.25</v>
      </c>
      <c r="F6647" s="2">
        <v>18080.3</v>
      </c>
      <c r="G6647" s="3">
        <f t="shared" si="311"/>
        <v>-4.7111208839536456E-3</v>
      </c>
      <c r="H6647" s="2">
        <f t="shared" si="309"/>
        <v>184.95000000000073</v>
      </c>
      <c r="I6647" s="3">
        <f t="shared" si="310"/>
        <v>1.012919585302675E-2</v>
      </c>
    </row>
    <row r="6648" spans="2:9" x14ac:dyDescent="0.25">
      <c r="B6648" s="1">
        <v>44928</v>
      </c>
      <c r="C6648" s="2">
        <v>18197.45</v>
      </c>
      <c r="D6648" s="2">
        <v>18131.7</v>
      </c>
      <c r="E6648" s="2">
        <v>18215.150000000001</v>
      </c>
      <c r="F6648" s="2">
        <v>18086.5</v>
      </c>
      <c r="G6648" s="3">
        <f t="shared" si="311"/>
        <v>5.0896698756719427E-3</v>
      </c>
      <c r="H6648" s="2">
        <f t="shared" si="309"/>
        <v>128.65000000000146</v>
      </c>
      <c r="I6648" s="3">
        <f t="shared" si="310"/>
        <v>7.0953082171005171E-3</v>
      </c>
    </row>
    <row r="6649" spans="2:9" x14ac:dyDescent="0.25">
      <c r="B6649" s="1">
        <v>44929</v>
      </c>
      <c r="C6649" s="2">
        <v>18232.55</v>
      </c>
      <c r="D6649" s="2">
        <v>18163.2</v>
      </c>
      <c r="E6649" s="2">
        <v>18251.95</v>
      </c>
      <c r="F6649" s="2">
        <v>18149.8</v>
      </c>
      <c r="G6649" s="3">
        <f t="shared" si="311"/>
        <v>1.9288416783669327E-3</v>
      </c>
      <c r="H6649" s="2">
        <f t="shared" si="309"/>
        <v>102.15000000000146</v>
      </c>
      <c r="I6649" s="3">
        <f t="shared" si="310"/>
        <v>5.6240089852009258E-3</v>
      </c>
    </row>
    <row r="6650" spans="2:9" x14ac:dyDescent="0.25">
      <c r="B6650" s="1">
        <v>44930</v>
      </c>
      <c r="C6650" s="2">
        <v>18042.95</v>
      </c>
      <c r="D6650" s="2">
        <v>18230.650000000001</v>
      </c>
      <c r="E6650" s="2">
        <v>18243</v>
      </c>
      <c r="F6650" s="2">
        <v>18020.599999999999</v>
      </c>
      <c r="G6650" s="3">
        <f t="shared" si="311"/>
        <v>-1.0398984234240349E-2</v>
      </c>
      <c r="H6650" s="2">
        <f t="shared" si="309"/>
        <v>222.40000000000146</v>
      </c>
      <c r="I6650" s="3">
        <f t="shared" si="310"/>
        <v>1.2199235902175811E-2</v>
      </c>
    </row>
    <row r="6651" spans="2:9" x14ac:dyDescent="0.25">
      <c r="B6651" s="1">
        <v>44931</v>
      </c>
      <c r="C6651" s="2">
        <v>17992.150000000001</v>
      </c>
      <c r="D6651" s="2">
        <v>18101.95</v>
      </c>
      <c r="E6651" s="2">
        <v>18120.3</v>
      </c>
      <c r="F6651" s="2">
        <v>17892.599999999999</v>
      </c>
      <c r="G6651" s="3">
        <f t="shared" si="311"/>
        <v>-2.8155041165662809E-3</v>
      </c>
      <c r="H6651" s="2">
        <f t="shared" si="309"/>
        <v>227.70000000000073</v>
      </c>
      <c r="I6651" s="3">
        <f t="shared" si="310"/>
        <v>1.2578755327464761E-2</v>
      </c>
    </row>
    <row r="6652" spans="2:9" x14ac:dyDescent="0.25">
      <c r="B6652" s="1">
        <v>44932</v>
      </c>
      <c r="C6652" s="2">
        <v>17859.45</v>
      </c>
      <c r="D6652" s="2">
        <v>18008.05</v>
      </c>
      <c r="E6652" s="2">
        <v>18047.400000000001</v>
      </c>
      <c r="F6652" s="2">
        <v>17795.55</v>
      </c>
      <c r="G6652" s="3">
        <f t="shared" si="311"/>
        <v>-7.3754387330030591E-3</v>
      </c>
      <c r="H6652" s="2">
        <f t="shared" si="309"/>
        <v>251.85000000000218</v>
      </c>
      <c r="I6652" s="3">
        <f t="shared" si="310"/>
        <v>1.3985412079597857E-2</v>
      </c>
    </row>
    <row r="6653" spans="2:9" x14ac:dyDescent="0.25">
      <c r="B6653" s="1">
        <v>44935</v>
      </c>
      <c r="C6653" s="2">
        <v>18101.2</v>
      </c>
      <c r="D6653" s="2">
        <v>17952.55</v>
      </c>
      <c r="E6653" s="2">
        <v>18141.400000000001</v>
      </c>
      <c r="F6653" s="2">
        <v>17936.150000000001</v>
      </c>
      <c r="G6653" s="3">
        <f t="shared" si="311"/>
        <v>1.3536251116355702E-2</v>
      </c>
      <c r="H6653" s="2">
        <f t="shared" si="309"/>
        <v>205.25</v>
      </c>
      <c r="I6653" s="3">
        <f t="shared" si="310"/>
        <v>1.1432916215245189E-2</v>
      </c>
    </row>
    <row r="6654" spans="2:9" x14ac:dyDescent="0.25">
      <c r="B6654" s="1">
        <v>44936</v>
      </c>
      <c r="C6654" s="2">
        <v>17914.150000000001</v>
      </c>
      <c r="D6654" s="2">
        <v>18121.3</v>
      </c>
      <c r="E6654" s="2">
        <v>18127.599999999999</v>
      </c>
      <c r="F6654" s="2">
        <v>17856</v>
      </c>
      <c r="G6654" s="3">
        <f t="shared" si="311"/>
        <v>-1.0333569045146151E-2</v>
      </c>
      <c r="H6654" s="2">
        <f t="shared" si="309"/>
        <v>271.59999999999854</v>
      </c>
      <c r="I6654" s="3">
        <f t="shared" si="310"/>
        <v>1.4987887182486828E-2</v>
      </c>
    </row>
    <row r="6655" spans="2:9" x14ac:dyDescent="0.25">
      <c r="B6655" s="1">
        <v>44937</v>
      </c>
      <c r="C6655" s="2">
        <v>17895.7</v>
      </c>
      <c r="D6655" s="2">
        <v>17924.25</v>
      </c>
      <c r="E6655" s="2">
        <v>17976.349999999999</v>
      </c>
      <c r="F6655" s="2">
        <v>17824.349999999999</v>
      </c>
      <c r="G6655" s="3">
        <f t="shared" si="311"/>
        <v>-1.0299121085846075E-3</v>
      </c>
      <c r="H6655" s="2">
        <f t="shared" si="309"/>
        <v>152</v>
      </c>
      <c r="I6655" s="3">
        <f t="shared" si="310"/>
        <v>8.4801316652021695E-3</v>
      </c>
    </row>
    <row r="6656" spans="2:9" x14ac:dyDescent="0.25">
      <c r="B6656" s="1">
        <v>44938</v>
      </c>
      <c r="C6656" s="2">
        <v>17858.2</v>
      </c>
      <c r="D6656" s="2">
        <v>17920.849999999999</v>
      </c>
      <c r="E6656" s="2">
        <v>17945.8</v>
      </c>
      <c r="F6656" s="2">
        <v>17761.650000000001</v>
      </c>
      <c r="G6656" s="3">
        <f t="shared" si="311"/>
        <v>-2.0954754494096894E-3</v>
      </c>
      <c r="H6656" s="2">
        <f t="shared" si="309"/>
        <v>184.14999999999782</v>
      </c>
      <c r="I6656" s="3">
        <f t="shared" si="310"/>
        <v>1.0275740269016136E-2</v>
      </c>
    </row>
    <row r="6657" spans="2:9" x14ac:dyDescent="0.25">
      <c r="B6657" s="1">
        <v>44939</v>
      </c>
      <c r="C6657" s="2">
        <v>17956.599999999999</v>
      </c>
      <c r="D6657" s="2">
        <v>17867.5</v>
      </c>
      <c r="E6657" s="2">
        <v>17999.349999999999</v>
      </c>
      <c r="F6657" s="2">
        <v>17774.25</v>
      </c>
      <c r="G6657" s="3">
        <f t="shared" si="311"/>
        <v>5.5100738036306662E-3</v>
      </c>
      <c r="H6657" s="2">
        <f t="shared" si="309"/>
        <v>225.09999999999854</v>
      </c>
      <c r="I6657" s="3">
        <f t="shared" si="310"/>
        <v>1.2598292990065681E-2</v>
      </c>
    </row>
    <row r="6658" spans="2:9" x14ac:dyDescent="0.25">
      <c r="B6658" s="1">
        <v>44942</v>
      </c>
      <c r="C6658" s="2">
        <v>17894.849999999999</v>
      </c>
      <c r="D6658" s="2">
        <v>18033.150000000001</v>
      </c>
      <c r="E6658" s="2">
        <v>18049.650000000001</v>
      </c>
      <c r="F6658" s="2">
        <v>17853.650000000001</v>
      </c>
      <c r="G6658" s="3">
        <f t="shared" si="311"/>
        <v>-3.4388469977613134E-3</v>
      </c>
      <c r="H6658" s="2">
        <f t="shared" si="309"/>
        <v>196</v>
      </c>
      <c r="I6658" s="3">
        <f t="shared" si="310"/>
        <v>1.0868872049531002E-2</v>
      </c>
    </row>
    <row r="6659" spans="2:9" x14ac:dyDescent="0.25">
      <c r="B6659" s="1">
        <v>44943</v>
      </c>
      <c r="C6659" s="2">
        <v>18053.3</v>
      </c>
      <c r="D6659" s="2">
        <v>17922.8</v>
      </c>
      <c r="E6659" s="2">
        <v>18072.05</v>
      </c>
      <c r="F6659" s="2">
        <v>17886.95</v>
      </c>
      <c r="G6659" s="3">
        <f t="shared" si="311"/>
        <v>8.8545028318203212E-3</v>
      </c>
      <c r="H6659" s="2">
        <f t="shared" si="309"/>
        <v>185.09999999999854</v>
      </c>
      <c r="I6659" s="3">
        <f t="shared" si="310"/>
        <v>1.0327627379650419E-2</v>
      </c>
    </row>
    <row r="6660" spans="2:9" x14ac:dyDescent="0.25">
      <c r="B6660" s="1">
        <v>44944</v>
      </c>
      <c r="C6660" s="2">
        <v>18165.349999999999</v>
      </c>
      <c r="D6660" s="2">
        <v>18074.3</v>
      </c>
      <c r="E6660" s="2">
        <v>18183.75</v>
      </c>
      <c r="F6660" s="2">
        <v>18032.45</v>
      </c>
      <c r="G6660" s="3">
        <f t="shared" si="311"/>
        <v>6.2066215041016726E-3</v>
      </c>
      <c r="H6660" s="2">
        <f t="shared" si="309"/>
        <v>151.29999999999927</v>
      </c>
      <c r="I6660" s="3">
        <f t="shared" si="310"/>
        <v>8.3710019198530109E-3</v>
      </c>
    </row>
    <row r="6661" spans="2:9" x14ac:dyDescent="0.25">
      <c r="B6661" s="1">
        <v>44945</v>
      </c>
      <c r="C6661" s="2">
        <v>18107.849999999999</v>
      </c>
      <c r="D6661" s="2">
        <v>18119.8</v>
      </c>
      <c r="E6661" s="2">
        <v>18155.2</v>
      </c>
      <c r="F6661" s="2">
        <v>18063.75</v>
      </c>
      <c r="G6661" s="3">
        <f t="shared" si="311"/>
        <v>-3.1653670311885262E-3</v>
      </c>
      <c r="H6661" s="2">
        <f t="shared" ref="H6661:H6724" si="312">E6661-F6661</f>
        <v>91.450000000000728</v>
      </c>
      <c r="I6661" s="3">
        <f t="shared" si="310"/>
        <v>5.0469651982914124E-3</v>
      </c>
    </row>
    <row r="6662" spans="2:9" x14ac:dyDescent="0.25">
      <c r="B6662" s="1">
        <v>44946</v>
      </c>
      <c r="C6662" s="2">
        <v>18027.650000000001</v>
      </c>
      <c r="D6662" s="2">
        <v>18115.599999999999</v>
      </c>
      <c r="E6662" s="2">
        <v>18145.45</v>
      </c>
      <c r="F6662" s="2">
        <v>18016.2</v>
      </c>
      <c r="G6662" s="3">
        <f t="shared" si="311"/>
        <v>-4.4290183539181793E-3</v>
      </c>
      <c r="H6662" s="2">
        <f t="shared" si="312"/>
        <v>129.25</v>
      </c>
      <c r="I6662" s="3">
        <f t="shared" ref="I6662:I6725" si="313">H6662/D6662</f>
        <v>7.1347347037912078E-3</v>
      </c>
    </row>
    <row r="6663" spans="2:9" x14ac:dyDescent="0.25">
      <c r="B6663" s="1">
        <v>44949</v>
      </c>
      <c r="C6663" s="2">
        <v>18118.55</v>
      </c>
      <c r="D6663" s="2">
        <v>18118.45</v>
      </c>
      <c r="E6663" s="2">
        <v>18162.599999999999</v>
      </c>
      <c r="F6663" s="2">
        <v>18063.45</v>
      </c>
      <c r="G6663" s="3">
        <f t="shared" ref="G6663:G6726" si="314">C6663/C6662-1</f>
        <v>5.0422545367809768E-3</v>
      </c>
      <c r="H6663" s="2">
        <f t="shared" si="312"/>
        <v>99.149999999997817</v>
      </c>
      <c r="I6663" s="3">
        <f t="shared" si="313"/>
        <v>5.4723224116852058E-3</v>
      </c>
    </row>
    <row r="6664" spans="2:9" x14ac:dyDescent="0.25">
      <c r="B6664" s="1">
        <v>44950</v>
      </c>
      <c r="C6664" s="2">
        <v>18118.3</v>
      </c>
      <c r="D6664" s="2">
        <v>18183.95</v>
      </c>
      <c r="E6664" s="2">
        <v>18201.25</v>
      </c>
      <c r="F6664" s="2">
        <v>18078.650000000001</v>
      </c>
      <c r="G6664" s="3">
        <f t="shared" si="314"/>
        <v>-1.3798013637988937E-5</v>
      </c>
      <c r="H6664" s="2">
        <f t="shared" si="312"/>
        <v>122.59999999999854</v>
      </c>
      <c r="I6664" s="3">
        <f t="shared" si="313"/>
        <v>6.7422094759388655E-3</v>
      </c>
    </row>
    <row r="6665" spans="2:9" x14ac:dyDescent="0.25">
      <c r="B6665" s="1">
        <v>44951</v>
      </c>
      <c r="C6665" s="2">
        <v>17891.95</v>
      </c>
      <c r="D6665" s="2">
        <v>18093.349999999999</v>
      </c>
      <c r="E6665" s="2">
        <v>18100.599999999999</v>
      </c>
      <c r="F6665" s="2">
        <v>17846.150000000001</v>
      </c>
      <c r="G6665" s="3">
        <f t="shared" si="314"/>
        <v>-1.2492893924926696E-2</v>
      </c>
      <c r="H6665" s="2">
        <f t="shared" si="312"/>
        <v>254.44999999999709</v>
      </c>
      <c r="I6665" s="3">
        <f t="shared" si="313"/>
        <v>1.4063177907905232E-2</v>
      </c>
    </row>
    <row r="6666" spans="2:9" x14ac:dyDescent="0.25">
      <c r="B6666" s="1">
        <v>44953</v>
      </c>
      <c r="C6666" s="2">
        <v>17604.349999999999</v>
      </c>
      <c r="D6666" s="2">
        <v>17877.2</v>
      </c>
      <c r="E6666" s="2">
        <v>17884.75</v>
      </c>
      <c r="F6666" s="2">
        <v>17493.55</v>
      </c>
      <c r="G6666" s="3">
        <f t="shared" si="314"/>
        <v>-1.6074268036742945E-2</v>
      </c>
      <c r="H6666" s="2">
        <f t="shared" si="312"/>
        <v>391.20000000000073</v>
      </c>
      <c r="I6666" s="3">
        <f t="shared" si="313"/>
        <v>2.1882621439599081E-2</v>
      </c>
    </row>
    <row r="6667" spans="2:9" x14ac:dyDescent="0.25">
      <c r="B6667" s="1">
        <v>44956</v>
      </c>
      <c r="C6667" s="2">
        <v>17648.95</v>
      </c>
      <c r="D6667" s="2">
        <v>17541.95</v>
      </c>
      <c r="E6667" s="2">
        <v>17709.150000000001</v>
      </c>
      <c r="F6667" s="2">
        <v>17405.55</v>
      </c>
      <c r="G6667" s="3">
        <f t="shared" si="314"/>
        <v>2.5334647402490695E-3</v>
      </c>
      <c r="H6667" s="2">
        <f t="shared" si="312"/>
        <v>303.60000000000218</v>
      </c>
      <c r="I6667" s="3">
        <f t="shared" si="313"/>
        <v>1.7307083876080036E-2</v>
      </c>
    </row>
    <row r="6668" spans="2:9" x14ac:dyDescent="0.25">
      <c r="B6668" s="1">
        <v>44957</v>
      </c>
      <c r="C6668" s="2">
        <v>17662.150000000001</v>
      </c>
      <c r="D6668" s="2">
        <v>17731.45</v>
      </c>
      <c r="E6668" s="2">
        <v>17735.7</v>
      </c>
      <c r="F6668" s="2">
        <v>17537.55</v>
      </c>
      <c r="G6668" s="3">
        <f t="shared" si="314"/>
        <v>7.4791984792299537E-4</v>
      </c>
      <c r="H6668" s="2">
        <f t="shared" si="312"/>
        <v>198.15000000000146</v>
      </c>
      <c r="I6668" s="3">
        <f t="shared" si="313"/>
        <v>1.1175059005326775E-2</v>
      </c>
    </row>
    <row r="6669" spans="2:9" x14ac:dyDescent="0.25">
      <c r="B6669" s="1">
        <v>44958</v>
      </c>
      <c r="C6669" s="2">
        <v>17616.3</v>
      </c>
      <c r="D6669" s="2">
        <v>17811.599999999999</v>
      </c>
      <c r="E6669" s="2">
        <v>17972.2</v>
      </c>
      <c r="F6669" s="2">
        <v>17353.400000000001</v>
      </c>
      <c r="G6669" s="3">
        <f t="shared" si="314"/>
        <v>-2.5959466995808533E-3</v>
      </c>
      <c r="H6669" s="2">
        <f t="shared" si="312"/>
        <v>618.79999999999927</v>
      </c>
      <c r="I6669" s="3">
        <f t="shared" si="313"/>
        <v>3.4741404477980603E-2</v>
      </c>
    </row>
    <row r="6670" spans="2:9" x14ac:dyDescent="0.25">
      <c r="B6670" s="1">
        <v>44959</v>
      </c>
      <c r="C6670" s="2">
        <v>17610.400000000001</v>
      </c>
      <c r="D6670" s="2">
        <v>17517.099999999999</v>
      </c>
      <c r="E6670" s="2">
        <v>17653.900000000001</v>
      </c>
      <c r="F6670" s="2">
        <v>17445.95</v>
      </c>
      <c r="G6670" s="3">
        <f t="shared" si="314"/>
        <v>-3.3491709382771351E-4</v>
      </c>
      <c r="H6670" s="2">
        <f t="shared" si="312"/>
        <v>207.95000000000073</v>
      </c>
      <c r="I6670" s="3">
        <f t="shared" si="313"/>
        <v>1.1871257228650903E-2</v>
      </c>
    </row>
    <row r="6671" spans="2:9" x14ac:dyDescent="0.25">
      <c r="B6671" s="1">
        <v>44960</v>
      </c>
      <c r="C6671" s="2">
        <v>17854.05</v>
      </c>
      <c r="D6671" s="2">
        <v>17721.75</v>
      </c>
      <c r="E6671" s="2">
        <v>17870.3</v>
      </c>
      <c r="F6671" s="2">
        <v>17584.2</v>
      </c>
      <c r="G6671" s="3">
        <f t="shared" si="314"/>
        <v>1.3835574433289199E-2</v>
      </c>
      <c r="H6671" s="2">
        <f t="shared" si="312"/>
        <v>286.09999999999854</v>
      </c>
      <c r="I6671" s="3">
        <f t="shared" si="313"/>
        <v>1.6144003837092757E-2</v>
      </c>
    </row>
    <row r="6672" spans="2:9" x14ac:dyDescent="0.25">
      <c r="B6672" s="1">
        <v>44963</v>
      </c>
      <c r="C6672" s="2">
        <v>17764.599999999999</v>
      </c>
      <c r="D6672" s="2">
        <v>17818.55</v>
      </c>
      <c r="E6672" s="2">
        <v>17823.7</v>
      </c>
      <c r="F6672" s="2">
        <v>17698.349999999999</v>
      </c>
      <c r="G6672" s="3">
        <f t="shared" si="314"/>
        <v>-5.0100677437332486E-3</v>
      </c>
      <c r="H6672" s="2">
        <f t="shared" si="312"/>
        <v>125.35000000000218</v>
      </c>
      <c r="I6672" s="3">
        <f t="shared" si="313"/>
        <v>7.0348036175784329E-3</v>
      </c>
    </row>
    <row r="6673" spans="2:9" x14ac:dyDescent="0.25">
      <c r="B6673" s="1">
        <v>44964</v>
      </c>
      <c r="C6673" s="2">
        <v>17721.5</v>
      </c>
      <c r="D6673" s="2">
        <v>17790.099999999999</v>
      </c>
      <c r="E6673" s="2">
        <v>17811.150000000001</v>
      </c>
      <c r="F6673" s="2">
        <v>17652.55</v>
      </c>
      <c r="G6673" s="3">
        <f t="shared" si="314"/>
        <v>-2.4261734010334601E-3</v>
      </c>
      <c r="H6673" s="2">
        <f t="shared" si="312"/>
        <v>158.60000000000218</v>
      </c>
      <c r="I6673" s="3">
        <f t="shared" si="313"/>
        <v>8.9150707415923576E-3</v>
      </c>
    </row>
    <row r="6674" spans="2:9" x14ac:dyDescent="0.25">
      <c r="B6674" s="1">
        <v>44965</v>
      </c>
      <c r="C6674" s="2">
        <v>17871.7</v>
      </c>
      <c r="D6674" s="2">
        <v>17750.3</v>
      </c>
      <c r="E6674" s="2">
        <v>17898.7</v>
      </c>
      <c r="F6674" s="2">
        <v>17744.150000000001</v>
      </c>
      <c r="G6674" s="3">
        <f t="shared" si="314"/>
        <v>8.475580509550662E-3</v>
      </c>
      <c r="H6674" s="2">
        <f t="shared" si="312"/>
        <v>154.54999999999927</v>
      </c>
      <c r="I6674" s="3">
        <f t="shared" si="313"/>
        <v>8.706895094730752E-3</v>
      </c>
    </row>
    <row r="6675" spans="2:9" x14ac:dyDescent="0.25">
      <c r="B6675" s="1">
        <v>44966</v>
      </c>
      <c r="C6675" s="2">
        <v>17893.45</v>
      </c>
      <c r="D6675" s="2">
        <v>17885.5</v>
      </c>
      <c r="E6675" s="2">
        <v>17916.900000000001</v>
      </c>
      <c r="F6675" s="2">
        <v>17779.8</v>
      </c>
      <c r="G6675" s="3">
        <f t="shared" si="314"/>
        <v>1.2170078951638796E-3</v>
      </c>
      <c r="H6675" s="2">
        <f t="shared" si="312"/>
        <v>137.10000000000218</v>
      </c>
      <c r="I6675" s="3">
        <f t="shared" si="313"/>
        <v>7.6654273014454266E-3</v>
      </c>
    </row>
    <row r="6676" spans="2:9" x14ac:dyDescent="0.25">
      <c r="B6676" s="1">
        <v>44967</v>
      </c>
      <c r="C6676" s="2">
        <v>17856.5</v>
      </c>
      <c r="D6676" s="2">
        <v>17847.55</v>
      </c>
      <c r="E6676" s="2">
        <v>17876.95</v>
      </c>
      <c r="F6676" s="2">
        <v>17801</v>
      </c>
      <c r="G6676" s="3">
        <f t="shared" si="314"/>
        <v>-2.0650014390740656E-3</v>
      </c>
      <c r="H6676" s="2">
        <f t="shared" si="312"/>
        <v>75.950000000000728</v>
      </c>
      <c r="I6676" s="3">
        <f t="shared" si="313"/>
        <v>4.2554860471045453E-3</v>
      </c>
    </row>
    <row r="6677" spans="2:9" x14ac:dyDescent="0.25">
      <c r="B6677" s="1">
        <v>44970</v>
      </c>
      <c r="C6677" s="2">
        <v>17770.900000000001</v>
      </c>
      <c r="D6677" s="2">
        <v>17859.099999999999</v>
      </c>
      <c r="E6677" s="2">
        <v>17880.7</v>
      </c>
      <c r="F6677" s="2">
        <v>17719.75</v>
      </c>
      <c r="G6677" s="3">
        <f t="shared" si="314"/>
        <v>-4.7937725758125938E-3</v>
      </c>
      <c r="H6677" s="2">
        <f t="shared" si="312"/>
        <v>160.95000000000073</v>
      </c>
      <c r="I6677" s="3">
        <f t="shared" si="313"/>
        <v>9.0122122615361767E-3</v>
      </c>
    </row>
    <row r="6678" spans="2:9" x14ac:dyDescent="0.25">
      <c r="B6678" s="1">
        <v>44971</v>
      </c>
      <c r="C6678" s="2">
        <v>17929.849999999999</v>
      </c>
      <c r="D6678" s="2">
        <v>17840.349999999999</v>
      </c>
      <c r="E6678" s="2">
        <v>17954.55</v>
      </c>
      <c r="F6678" s="2">
        <v>17800.05</v>
      </c>
      <c r="G6678" s="3">
        <f t="shared" si="314"/>
        <v>8.9443978639234256E-3</v>
      </c>
      <c r="H6678" s="2">
        <f t="shared" si="312"/>
        <v>154.5</v>
      </c>
      <c r="I6678" s="3">
        <f t="shared" si="313"/>
        <v>8.6601439994170529E-3</v>
      </c>
    </row>
    <row r="6679" spans="2:9" x14ac:dyDescent="0.25">
      <c r="B6679" s="1">
        <v>44972</v>
      </c>
      <c r="C6679" s="2">
        <v>18015.849999999999</v>
      </c>
      <c r="D6679" s="2">
        <v>17896.599999999999</v>
      </c>
      <c r="E6679" s="2">
        <v>18034.099999999999</v>
      </c>
      <c r="F6679" s="2">
        <v>17853.8</v>
      </c>
      <c r="G6679" s="3">
        <f t="shared" si="314"/>
        <v>4.7964706899388254E-3</v>
      </c>
      <c r="H6679" s="2">
        <f t="shared" si="312"/>
        <v>180.29999999999927</v>
      </c>
      <c r="I6679" s="3">
        <f t="shared" si="313"/>
        <v>1.0074539297967172E-2</v>
      </c>
    </row>
    <row r="6680" spans="2:9" x14ac:dyDescent="0.25">
      <c r="B6680" s="1">
        <v>44973</v>
      </c>
      <c r="C6680" s="2">
        <v>18035.849999999999</v>
      </c>
      <c r="D6680" s="2">
        <v>18094.75</v>
      </c>
      <c r="E6680" s="2">
        <v>18134.75</v>
      </c>
      <c r="F6680" s="2">
        <v>18000.650000000001</v>
      </c>
      <c r="G6680" s="3">
        <f t="shared" si="314"/>
        <v>1.1101335768226583E-3</v>
      </c>
      <c r="H6680" s="2">
        <f t="shared" si="312"/>
        <v>134.09999999999854</v>
      </c>
      <c r="I6680" s="3">
        <f t="shared" si="313"/>
        <v>7.4109893753712287E-3</v>
      </c>
    </row>
    <row r="6681" spans="2:9" x14ac:dyDescent="0.25">
      <c r="B6681" s="1">
        <v>44974</v>
      </c>
      <c r="C6681" s="2">
        <v>17944.2</v>
      </c>
      <c r="D6681" s="2">
        <v>17974.849999999999</v>
      </c>
      <c r="E6681" s="2">
        <v>18034.25</v>
      </c>
      <c r="F6681" s="2">
        <v>17884.599999999999</v>
      </c>
      <c r="G6681" s="3">
        <f t="shared" si="314"/>
        <v>-5.0815459210404867E-3</v>
      </c>
      <c r="H6681" s="2">
        <f t="shared" si="312"/>
        <v>149.65000000000146</v>
      </c>
      <c r="I6681" s="3">
        <f t="shared" si="313"/>
        <v>8.325521492529922E-3</v>
      </c>
    </row>
    <row r="6682" spans="2:9" x14ac:dyDescent="0.25">
      <c r="B6682" s="1">
        <v>44977</v>
      </c>
      <c r="C6682" s="2">
        <v>17844.599999999999</v>
      </c>
      <c r="D6682" s="2">
        <v>17965.55</v>
      </c>
      <c r="E6682" s="2">
        <v>18004.349999999999</v>
      </c>
      <c r="F6682" s="2">
        <v>17818.400000000001</v>
      </c>
      <c r="G6682" s="3">
        <f t="shared" si="314"/>
        <v>-5.5505400073562194E-3</v>
      </c>
      <c r="H6682" s="2">
        <f t="shared" si="312"/>
        <v>185.94999999999709</v>
      </c>
      <c r="I6682" s="3">
        <f t="shared" si="313"/>
        <v>1.0350365004132748E-2</v>
      </c>
    </row>
    <row r="6683" spans="2:9" x14ac:dyDescent="0.25">
      <c r="B6683" s="1">
        <v>44978</v>
      </c>
      <c r="C6683" s="2">
        <v>17826.7</v>
      </c>
      <c r="D6683" s="2">
        <v>17905.8</v>
      </c>
      <c r="E6683" s="2">
        <v>17924.900000000001</v>
      </c>
      <c r="F6683" s="2">
        <v>17800.3</v>
      </c>
      <c r="G6683" s="3">
        <f t="shared" si="314"/>
        <v>-1.0031045806573324E-3</v>
      </c>
      <c r="H6683" s="2">
        <f t="shared" si="312"/>
        <v>124.60000000000218</v>
      </c>
      <c r="I6683" s="3">
        <f t="shared" si="313"/>
        <v>6.958639100179952E-3</v>
      </c>
    </row>
    <row r="6684" spans="2:9" x14ac:dyDescent="0.25">
      <c r="B6684" s="1">
        <v>44979</v>
      </c>
      <c r="C6684" s="2">
        <v>17554.3</v>
      </c>
      <c r="D6684" s="2">
        <v>17755.349999999999</v>
      </c>
      <c r="E6684" s="2">
        <v>17772.5</v>
      </c>
      <c r="F6684" s="2">
        <v>17529.45</v>
      </c>
      <c r="G6684" s="3">
        <f t="shared" si="314"/>
        <v>-1.528045011134993E-2</v>
      </c>
      <c r="H6684" s="2">
        <f t="shared" si="312"/>
        <v>243.04999999999927</v>
      </c>
      <c r="I6684" s="3">
        <f t="shared" si="313"/>
        <v>1.3688831816888954E-2</v>
      </c>
    </row>
    <row r="6685" spans="2:9" x14ac:dyDescent="0.25">
      <c r="B6685" s="1">
        <v>44980</v>
      </c>
      <c r="C6685" s="2">
        <v>17511.25</v>
      </c>
      <c r="D6685" s="2">
        <v>17574.650000000001</v>
      </c>
      <c r="E6685" s="2">
        <v>17620.05</v>
      </c>
      <c r="F6685" s="2">
        <v>17455.400000000001</v>
      </c>
      <c r="G6685" s="3">
        <f t="shared" si="314"/>
        <v>-2.4523905823643499E-3</v>
      </c>
      <c r="H6685" s="2">
        <f t="shared" si="312"/>
        <v>164.64999999999782</v>
      </c>
      <c r="I6685" s="3">
        <f t="shared" si="313"/>
        <v>9.3686076251872901E-3</v>
      </c>
    </row>
    <row r="6686" spans="2:9" x14ac:dyDescent="0.25">
      <c r="B6686" s="1">
        <v>44981</v>
      </c>
      <c r="C6686" s="2">
        <v>17465.8</v>
      </c>
      <c r="D6686" s="2">
        <v>17591.349999999999</v>
      </c>
      <c r="E6686" s="2">
        <v>17599.75</v>
      </c>
      <c r="F6686" s="2">
        <v>17421.8</v>
      </c>
      <c r="G6686" s="3">
        <f t="shared" si="314"/>
        <v>-2.5954743379256184E-3</v>
      </c>
      <c r="H6686" s="2">
        <f t="shared" si="312"/>
        <v>177.95000000000073</v>
      </c>
      <c r="I6686" s="3">
        <f t="shared" si="313"/>
        <v>1.0115767124183234E-2</v>
      </c>
    </row>
    <row r="6687" spans="2:9" x14ac:dyDescent="0.25">
      <c r="B6687" s="1">
        <v>44984</v>
      </c>
      <c r="C6687" s="2">
        <v>17392.7</v>
      </c>
      <c r="D6687" s="2">
        <v>17428.599999999999</v>
      </c>
      <c r="E6687" s="2">
        <v>17451.599999999999</v>
      </c>
      <c r="F6687" s="2">
        <v>17299</v>
      </c>
      <c r="G6687" s="3">
        <f t="shared" si="314"/>
        <v>-4.1853221724741374E-3</v>
      </c>
      <c r="H6687" s="2">
        <f t="shared" si="312"/>
        <v>152.59999999999854</v>
      </c>
      <c r="I6687" s="3">
        <f t="shared" si="313"/>
        <v>8.7557233512731113E-3</v>
      </c>
    </row>
    <row r="6688" spans="2:9" x14ac:dyDescent="0.25">
      <c r="B6688" s="1">
        <v>44985</v>
      </c>
      <c r="C6688" s="2">
        <v>17303.95</v>
      </c>
      <c r="D6688" s="2">
        <v>17383.25</v>
      </c>
      <c r="E6688" s="2">
        <v>17440.45</v>
      </c>
      <c r="F6688" s="2">
        <v>17255.2</v>
      </c>
      <c r="G6688" s="3">
        <f t="shared" si="314"/>
        <v>-5.1027155070805241E-3</v>
      </c>
      <c r="H6688" s="2">
        <f t="shared" si="312"/>
        <v>185.25</v>
      </c>
      <c r="I6688" s="3">
        <f t="shared" si="313"/>
        <v>1.0656810435332863E-2</v>
      </c>
    </row>
    <row r="6689" spans="2:9" x14ac:dyDescent="0.25">
      <c r="B6689" s="1">
        <v>44986</v>
      </c>
      <c r="C6689" s="2">
        <v>17450.900000000001</v>
      </c>
      <c r="D6689" s="2">
        <v>17360.099999999999</v>
      </c>
      <c r="E6689" s="2">
        <v>17467.75</v>
      </c>
      <c r="F6689" s="2">
        <v>17345.25</v>
      </c>
      <c r="G6689" s="3">
        <f t="shared" si="314"/>
        <v>8.4922806642413473E-3</v>
      </c>
      <c r="H6689" s="2">
        <f t="shared" si="312"/>
        <v>122.5</v>
      </c>
      <c r="I6689" s="3">
        <f t="shared" si="313"/>
        <v>7.0564109653746239E-3</v>
      </c>
    </row>
    <row r="6690" spans="2:9" x14ac:dyDescent="0.25">
      <c r="B6690" s="1">
        <v>44987</v>
      </c>
      <c r="C6690" s="2">
        <v>17321.900000000001</v>
      </c>
      <c r="D6690" s="2">
        <v>17421.5</v>
      </c>
      <c r="E6690" s="2">
        <v>17445.8</v>
      </c>
      <c r="F6690" s="2">
        <v>17306</v>
      </c>
      <c r="G6690" s="3">
        <f t="shared" si="314"/>
        <v>-7.3921688852723877E-3</v>
      </c>
      <c r="H6690" s="2">
        <f t="shared" si="312"/>
        <v>139.79999999999927</v>
      </c>
      <c r="I6690" s="3">
        <f t="shared" si="313"/>
        <v>8.0245673449472928E-3</v>
      </c>
    </row>
    <row r="6691" spans="2:9" x14ac:dyDescent="0.25">
      <c r="B6691" s="1">
        <v>44988</v>
      </c>
      <c r="C6691" s="2">
        <v>17594.349999999999</v>
      </c>
      <c r="D6691" s="2">
        <v>17451.25</v>
      </c>
      <c r="E6691" s="2">
        <v>17644.75</v>
      </c>
      <c r="F6691" s="2">
        <v>17427.7</v>
      </c>
      <c r="G6691" s="3">
        <f t="shared" si="314"/>
        <v>1.5728644086387522E-2</v>
      </c>
      <c r="H6691" s="2">
        <f t="shared" si="312"/>
        <v>217.04999999999927</v>
      </c>
      <c r="I6691" s="3">
        <f t="shared" si="313"/>
        <v>1.2437504476756638E-2</v>
      </c>
    </row>
    <row r="6692" spans="2:9" x14ac:dyDescent="0.25">
      <c r="B6692" s="1">
        <v>44991</v>
      </c>
      <c r="C6692" s="2">
        <v>17711.45</v>
      </c>
      <c r="D6692" s="2">
        <v>17680.349999999999</v>
      </c>
      <c r="E6692" s="2">
        <v>17799.95</v>
      </c>
      <c r="F6692" s="2">
        <v>17671.95</v>
      </c>
      <c r="G6692" s="3">
        <f t="shared" si="314"/>
        <v>6.6555456723325079E-3</v>
      </c>
      <c r="H6692" s="2">
        <f t="shared" si="312"/>
        <v>128</v>
      </c>
      <c r="I6692" s="3">
        <f t="shared" si="313"/>
        <v>7.2396756851532918E-3</v>
      </c>
    </row>
    <row r="6693" spans="2:9" x14ac:dyDescent="0.25">
      <c r="B6693" s="1">
        <v>44993</v>
      </c>
      <c r="C6693" s="2">
        <v>17754.400000000001</v>
      </c>
      <c r="D6693" s="2">
        <v>17665.75</v>
      </c>
      <c r="E6693" s="2">
        <v>17766.5</v>
      </c>
      <c r="F6693" s="2">
        <v>17602.25</v>
      </c>
      <c r="G6693" s="3">
        <f t="shared" si="314"/>
        <v>2.4249849673516621E-3</v>
      </c>
      <c r="H6693" s="2">
        <f t="shared" si="312"/>
        <v>164.25</v>
      </c>
      <c r="I6693" s="3">
        <f t="shared" si="313"/>
        <v>9.2976522366726572E-3</v>
      </c>
    </row>
    <row r="6694" spans="2:9" x14ac:dyDescent="0.25">
      <c r="B6694" s="1">
        <v>44994</v>
      </c>
      <c r="C6694" s="2">
        <v>17589.599999999999</v>
      </c>
      <c r="D6694" s="2">
        <v>17772.05</v>
      </c>
      <c r="E6694" s="2">
        <v>17772.349999999999</v>
      </c>
      <c r="F6694" s="2">
        <v>17573.599999999999</v>
      </c>
      <c r="G6694" s="3">
        <f t="shared" si="314"/>
        <v>-9.2822061010230383E-3</v>
      </c>
      <c r="H6694" s="2">
        <f t="shared" si="312"/>
        <v>198.75</v>
      </c>
      <c r="I6694" s="3">
        <f t="shared" si="313"/>
        <v>1.1183290616445487E-2</v>
      </c>
    </row>
    <row r="6695" spans="2:9" x14ac:dyDescent="0.25">
      <c r="B6695" s="1">
        <v>44995</v>
      </c>
      <c r="C6695" s="2">
        <v>17412.900000000001</v>
      </c>
      <c r="D6695" s="2">
        <v>17443.8</v>
      </c>
      <c r="E6695" s="2">
        <v>17451.5</v>
      </c>
      <c r="F6695" s="2">
        <v>17324.349999999999</v>
      </c>
      <c r="G6695" s="3">
        <f t="shared" si="314"/>
        <v>-1.0045708827943645E-2</v>
      </c>
      <c r="H6695" s="2">
        <f t="shared" si="312"/>
        <v>127.15000000000146</v>
      </c>
      <c r="I6695" s="3">
        <f t="shared" si="313"/>
        <v>7.2891227828799608E-3</v>
      </c>
    </row>
    <row r="6696" spans="2:9" x14ac:dyDescent="0.25">
      <c r="B6696" s="1">
        <v>44998</v>
      </c>
      <c r="C6696" s="2">
        <v>17154.3</v>
      </c>
      <c r="D6696" s="2">
        <v>17421.900000000001</v>
      </c>
      <c r="E6696" s="2">
        <v>17529.900000000001</v>
      </c>
      <c r="F6696" s="2">
        <v>17113.45</v>
      </c>
      <c r="G6696" s="3">
        <f t="shared" si="314"/>
        <v>-1.4851058697862074E-2</v>
      </c>
      <c r="H6696" s="2">
        <f t="shared" si="312"/>
        <v>416.45000000000073</v>
      </c>
      <c r="I6696" s="3">
        <f t="shared" si="313"/>
        <v>2.3903822200793293E-2</v>
      </c>
    </row>
    <row r="6697" spans="2:9" x14ac:dyDescent="0.25">
      <c r="B6697" s="1">
        <v>44999</v>
      </c>
      <c r="C6697" s="2">
        <v>17043.3</v>
      </c>
      <c r="D6697" s="2">
        <v>17160.55</v>
      </c>
      <c r="E6697" s="2">
        <v>17224.650000000001</v>
      </c>
      <c r="F6697" s="2">
        <v>16987.099999999999</v>
      </c>
      <c r="G6697" s="3">
        <f t="shared" si="314"/>
        <v>-6.4706808205522437E-3</v>
      </c>
      <c r="H6697" s="2">
        <f t="shared" si="312"/>
        <v>237.55000000000291</v>
      </c>
      <c r="I6697" s="3">
        <f t="shared" si="313"/>
        <v>1.3842796413868024E-2</v>
      </c>
    </row>
    <row r="6698" spans="2:9" x14ac:dyDescent="0.25">
      <c r="B6698" s="1">
        <v>45000</v>
      </c>
      <c r="C6698" s="2">
        <v>16972.150000000001</v>
      </c>
      <c r="D6698" s="2">
        <v>17166.45</v>
      </c>
      <c r="E6698" s="2">
        <v>17211.349999999999</v>
      </c>
      <c r="F6698" s="2">
        <v>16938.900000000001</v>
      </c>
      <c r="G6698" s="3">
        <f t="shared" si="314"/>
        <v>-4.1746610104849147E-3</v>
      </c>
      <c r="H6698" s="2">
        <f t="shared" si="312"/>
        <v>272.44999999999709</v>
      </c>
      <c r="I6698" s="3">
        <f t="shared" si="313"/>
        <v>1.5871074100935086E-2</v>
      </c>
    </row>
    <row r="6699" spans="2:9" x14ac:dyDescent="0.25">
      <c r="B6699" s="1">
        <v>45001</v>
      </c>
      <c r="C6699" s="2">
        <v>16985.599999999999</v>
      </c>
      <c r="D6699" s="2">
        <v>16994.650000000001</v>
      </c>
      <c r="E6699" s="2">
        <v>17062.45</v>
      </c>
      <c r="F6699" s="2">
        <v>16850.150000000001</v>
      </c>
      <c r="G6699" s="3">
        <f t="shared" si="314"/>
        <v>7.9247473066157426E-4</v>
      </c>
      <c r="H6699" s="2">
        <f t="shared" si="312"/>
        <v>212.29999999999927</v>
      </c>
      <c r="I6699" s="3">
        <f t="shared" si="313"/>
        <v>1.2492166652446462E-2</v>
      </c>
    </row>
    <row r="6700" spans="2:9" x14ac:dyDescent="0.25">
      <c r="B6700" s="1">
        <v>45002</v>
      </c>
      <c r="C6700" s="2">
        <v>17100.05</v>
      </c>
      <c r="D6700" s="2">
        <v>17111.8</v>
      </c>
      <c r="E6700" s="2">
        <v>17145.8</v>
      </c>
      <c r="F6700" s="2">
        <v>16958.150000000001</v>
      </c>
      <c r="G6700" s="3">
        <f t="shared" si="314"/>
        <v>6.7380604747551143E-3</v>
      </c>
      <c r="H6700" s="2">
        <f t="shared" si="312"/>
        <v>187.64999999999782</v>
      </c>
      <c r="I6700" s="3">
        <f t="shared" si="313"/>
        <v>1.0966116948538308E-2</v>
      </c>
    </row>
    <row r="6701" spans="2:9" x14ac:dyDescent="0.25">
      <c r="B6701" s="1">
        <v>45005</v>
      </c>
      <c r="C6701" s="2">
        <v>16988.400000000001</v>
      </c>
      <c r="D6701" s="2">
        <v>17066.599999999999</v>
      </c>
      <c r="E6701" s="2">
        <v>17066.599999999999</v>
      </c>
      <c r="F6701" s="2">
        <v>16828.349999999999</v>
      </c>
      <c r="G6701" s="3">
        <f t="shared" si="314"/>
        <v>-6.5292206747932235E-3</v>
      </c>
      <c r="H6701" s="2">
        <f t="shared" si="312"/>
        <v>238.25</v>
      </c>
      <c r="I6701" s="3">
        <f t="shared" si="313"/>
        <v>1.3960015468810425E-2</v>
      </c>
    </row>
    <row r="6702" spans="2:9" x14ac:dyDescent="0.25">
      <c r="B6702" s="1">
        <v>45006</v>
      </c>
      <c r="C6702" s="2">
        <v>17107.5</v>
      </c>
      <c r="D6702" s="2">
        <v>17060.400000000001</v>
      </c>
      <c r="E6702" s="2">
        <v>17127.7</v>
      </c>
      <c r="F6702" s="2">
        <v>17016</v>
      </c>
      <c r="G6702" s="3">
        <f t="shared" si="314"/>
        <v>7.0106661015751914E-3</v>
      </c>
      <c r="H6702" s="2">
        <f t="shared" si="312"/>
        <v>111.70000000000073</v>
      </c>
      <c r="I6702" s="3">
        <f t="shared" si="313"/>
        <v>6.5473259712551125E-3</v>
      </c>
    </row>
    <row r="6703" spans="2:9" x14ac:dyDescent="0.25">
      <c r="B6703" s="1">
        <v>45007</v>
      </c>
      <c r="C6703" s="2">
        <v>17151.900000000001</v>
      </c>
      <c r="D6703" s="2">
        <v>17177.45</v>
      </c>
      <c r="E6703" s="2">
        <v>17207.25</v>
      </c>
      <c r="F6703" s="2">
        <v>17107.849999999999</v>
      </c>
      <c r="G6703" s="3">
        <f t="shared" si="314"/>
        <v>2.5953529153881494E-3</v>
      </c>
      <c r="H6703" s="2">
        <f t="shared" si="312"/>
        <v>99.400000000001455</v>
      </c>
      <c r="I6703" s="3">
        <f t="shared" si="313"/>
        <v>5.7866563430544957E-3</v>
      </c>
    </row>
    <row r="6704" spans="2:9" x14ac:dyDescent="0.25">
      <c r="B6704" s="1">
        <v>45008</v>
      </c>
      <c r="C6704" s="2">
        <v>17076.900000000001</v>
      </c>
      <c r="D6704" s="2">
        <v>17097.400000000001</v>
      </c>
      <c r="E6704" s="2">
        <v>17205.400000000001</v>
      </c>
      <c r="F6704" s="2">
        <v>17045.3</v>
      </c>
      <c r="G6704" s="3">
        <f t="shared" si="314"/>
        <v>-4.3726934042292998E-3</v>
      </c>
      <c r="H6704" s="2">
        <f t="shared" si="312"/>
        <v>160.10000000000218</v>
      </c>
      <c r="I6704" s="3">
        <f t="shared" si="313"/>
        <v>9.363996865020539E-3</v>
      </c>
    </row>
    <row r="6705" spans="2:9" x14ac:dyDescent="0.25">
      <c r="B6705" s="1">
        <v>45009</v>
      </c>
      <c r="C6705" s="2">
        <v>16945.05</v>
      </c>
      <c r="D6705" s="2">
        <v>17076.2</v>
      </c>
      <c r="E6705" s="2">
        <v>17109.45</v>
      </c>
      <c r="F6705" s="2">
        <v>16917.349999999999</v>
      </c>
      <c r="G6705" s="3">
        <f t="shared" si="314"/>
        <v>-7.7209563796709624E-3</v>
      </c>
      <c r="H6705" s="2">
        <f t="shared" si="312"/>
        <v>192.10000000000218</v>
      </c>
      <c r="I6705" s="3">
        <f t="shared" si="313"/>
        <v>1.1249575432473393E-2</v>
      </c>
    </row>
    <row r="6706" spans="2:9" x14ac:dyDescent="0.25">
      <c r="B6706" s="1">
        <v>45012</v>
      </c>
      <c r="C6706" s="2">
        <v>16985.7</v>
      </c>
      <c r="D6706" s="2">
        <v>16984.3</v>
      </c>
      <c r="E6706" s="2">
        <v>17091</v>
      </c>
      <c r="F6706" s="2">
        <v>16918.55</v>
      </c>
      <c r="G6706" s="3">
        <f t="shared" si="314"/>
        <v>2.3989306611666983E-3</v>
      </c>
      <c r="H6706" s="2">
        <f t="shared" si="312"/>
        <v>172.45000000000073</v>
      </c>
      <c r="I6706" s="3">
        <f t="shared" si="313"/>
        <v>1.0153494698044708E-2</v>
      </c>
    </row>
    <row r="6707" spans="2:9" x14ac:dyDescent="0.25">
      <c r="B6707" s="1">
        <v>45013</v>
      </c>
      <c r="C6707" s="2">
        <v>16951.7</v>
      </c>
      <c r="D6707" s="2">
        <v>17031.75</v>
      </c>
      <c r="E6707" s="2">
        <v>17061.75</v>
      </c>
      <c r="F6707" s="2">
        <v>16913.75</v>
      </c>
      <c r="G6707" s="3">
        <f t="shared" si="314"/>
        <v>-2.0016837692883316E-3</v>
      </c>
      <c r="H6707" s="2">
        <f t="shared" si="312"/>
        <v>148</v>
      </c>
      <c r="I6707" s="3">
        <f t="shared" si="313"/>
        <v>8.689653147797495E-3</v>
      </c>
    </row>
    <row r="6708" spans="2:9" x14ac:dyDescent="0.25">
      <c r="B6708" s="1">
        <v>45014</v>
      </c>
      <c r="C6708" s="2">
        <v>17080.7</v>
      </c>
      <c r="D6708" s="2">
        <v>16977.3</v>
      </c>
      <c r="E6708" s="2">
        <v>17126.150000000001</v>
      </c>
      <c r="F6708" s="2">
        <v>16940.599999999999</v>
      </c>
      <c r="G6708" s="3">
        <f t="shared" si="314"/>
        <v>7.6098562386073265E-3</v>
      </c>
      <c r="H6708" s="2">
        <f t="shared" si="312"/>
        <v>185.55000000000291</v>
      </c>
      <c r="I6708" s="3">
        <f t="shared" si="313"/>
        <v>1.0929299711968507E-2</v>
      </c>
    </row>
    <row r="6709" spans="2:9" x14ac:dyDescent="0.25">
      <c r="B6709" s="1">
        <v>45016</v>
      </c>
      <c r="C6709" s="2">
        <v>17359.75</v>
      </c>
      <c r="D6709" s="2">
        <v>17210.349999999999</v>
      </c>
      <c r="E6709" s="2">
        <v>17381.599999999999</v>
      </c>
      <c r="F6709" s="2">
        <v>17204.650000000001</v>
      </c>
      <c r="G6709" s="3">
        <f t="shared" si="314"/>
        <v>1.6337152458622883E-2</v>
      </c>
      <c r="H6709" s="2">
        <f t="shared" si="312"/>
        <v>176.94999999999709</v>
      </c>
      <c r="I6709" s="3">
        <f t="shared" si="313"/>
        <v>1.0281603802362945E-2</v>
      </c>
    </row>
    <row r="6710" spans="2:9" x14ac:dyDescent="0.25">
      <c r="B6710" s="1">
        <v>45019</v>
      </c>
      <c r="C6710" s="2">
        <v>17398.05</v>
      </c>
      <c r="D6710" s="2">
        <v>17427.95</v>
      </c>
      <c r="E6710" s="2">
        <v>17428.05</v>
      </c>
      <c r="F6710" s="2">
        <v>17312.75</v>
      </c>
      <c r="G6710" s="3">
        <f t="shared" si="314"/>
        <v>2.2062529702329137E-3</v>
      </c>
      <c r="H6710" s="2">
        <f t="shared" si="312"/>
        <v>115.29999999999927</v>
      </c>
      <c r="I6710" s="3">
        <f t="shared" si="313"/>
        <v>6.6158096620657775E-3</v>
      </c>
    </row>
    <row r="6711" spans="2:9" x14ac:dyDescent="0.25">
      <c r="B6711" s="1">
        <v>45021</v>
      </c>
      <c r="C6711" s="2">
        <v>17557.05</v>
      </c>
      <c r="D6711" s="2">
        <v>17422.3</v>
      </c>
      <c r="E6711" s="2">
        <v>17570.55</v>
      </c>
      <c r="F6711" s="2">
        <v>17402.7</v>
      </c>
      <c r="G6711" s="3">
        <f t="shared" si="314"/>
        <v>9.1389552277409969E-3</v>
      </c>
      <c r="H6711" s="2">
        <f t="shared" si="312"/>
        <v>167.84999999999854</v>
      </c>
      <c r="I6711" s="3">
        <f t="shared" si="313"/>
        <v>9.6342044391382626E-3</v>
      </c>
    </row>
    <row r="6712" spans="2:9" x14ac:dyDescent="0.25">
      <c r="B6712" s="1">
        <v>45022</v>
      </c>
      <c r="C6712" s="2">
        <v>17599.150000000001</v>
      </c>
      <c r="D6712" s="2">
        <v>17533.849999999999</v>
      </c>
      <c r="E6712" s="2">
        <v>17638.7</v>
      </c>
      <c r="F6712" s="2">
        <v>17502.849999999999</v>
      </c>
      <c r="G6712" s="3">
        <f t="shared" si="314"/>
        <v>2.3978971410345551E-3</v>
      </c>
      <c r="H6712" s="2">
        <f t="shared" si="312"/>
        <v>135.85000000000218</v>
      </c>
      <c r="I6712" s="3">
        <f t="shared" si="313"/>
        <v>7.7478705475410243E-3</v>
      </c>
    </row>
    <row r="6713" spans="2:9" x14ac:dyDescent="0.25">
      <c r="B6713" s="1">
        <v>45026</v>
      </c>
      <c r="C6713" s="2">
        <v>17624.05</v>
      </c>
      <c r="D6713" s="2">
        <v>17634.900000000001</v>
      </c>
      <c r="E6713" s="2">
        <v>17694.099999999999</v>
      </c>
      <c r="F6713" s="2">
        <v>17597.95</v>
      </c>
      <c r="G6713" s="3">
        <f t="shared" si="314"/>
        <v>1.4148410576646508E-3</v>
      </c>
      <c r="H6713" s="2">
        <f t="shared" si="312"/>
        <v>96.149999999997817</v>
      </c>
      <c r="I6713" s="3">
        <f t="shared" si="313"/>
        <v>5.4522566048005837E-3</v>
      </c>
    </row>
    <row r="6714" spans="2:9" x14ac:dyDescent="0.25">
      <c r="B6714" s="1">
        <v>45027</v>
      </c>
      <c r="C6714" s="2">
        <v>17722.3</v>
      </c>
      <c r="D6714" s="2">
        <v>17704.8</v>
      </c>
      <c r="E6714" s="2">
        <v>17748.75</v>
      </c>
      <c r="F6714" s="2">
        <v>17655.150000000001</v>
      </c>
      <c r="G6714" s="3">
        <f t="shared" si="314"/>
        <v>5.5747685690858972E-3</v>
      </c>
      <c r="H6714" s="2">
        <f t="shared" si="312"/>
        <v>93.599999999998545</v>
      </c>
      <c r="I6714" s="3">
        <f t="shared" si="313"/>
        <v>5.2867019113459939E-3</v>
      </c>
    </row>
    <row r="6715" spans="2:9" x14ac:dyDescent="0.25">
      <c r="B6715" s="1">
        <v>45028</v>
      </c>
      <c r="C6715" s="2">
        <v>17812.400000000001</v>
      </c>
      <c r="D6715" s="2">
        <v>17759.55</v>
      </c>
      <c r="E6715" s="2">
        <v>17825.75</v>
      </c>
      <c r="F6715" s="2">
        <v>17717.25</v>
      </c>
      <c r="G6715" s="3">
        <f t="shared" si="314"/>
        <v>5.083990227002344E-3</v>
      </c>
      <c r="H6715" s="2">
        <f t="shared" si="312"/>
        <v>108.5</v>
      </c>
      <c r="I6715" s="3">
        <f t="shared" si="313"/>
        <v>6.1093890329428392E-3</v>
      </c>
    </row>
    <row r="6716" spans="2:9" x14ac:dyDescent="0.25">
      <c r="B6716" s="1">
        <v>45029</v>
      </c>
      <c r="C6716" s="2">
        <v>17828</v>
      </c>
      <c r="D6716" s="2">
        <v>17807.3</v>
      </c>
      <c r="E6716" s="2">
        <v>17842.150000000001</v>
      </c>
      <c r="F6716" s="2">
        <v>17729.650000000001</v>
      </c>
      <c r="G6716" s="3">
        <f t="shared" si="314"/>
        <v>8.7579439042451135E-4</v>
      </c>
      <c r="H6716" s="2">
        <f t="shared" si="312"/>
        <v>112.5</v>
      </c>
      <c r="I6716" s="3">
        <f t="shared" si="313"/>
        <v>6.3176337794050757E-3</v>
      </c>
    </row>
    <row r="6717" spans="2:9" x14ac:dyDescent="0.25">
      <c r="B6717" s="1">
        <v>45033</v>
      </c>
      <c r="C6717" s="2">
        <v>17706.849999999999</v>
      </c>
      <c r="D6717" s="2">
        <v>17863</v>
      </c>
      <c r="E6717" s="2">
        <v>17863</v>
      </c>
      <c r="F6717" s="2">
        <v>17574.05</v>
      </c>
      <c r="G6717" s="3">
        <f t="shared" si="314"/>
        <v>-6.7954902400718664E-3</v>
      </c>
      <c r="H6717" s="2">
        <f t="shared" si="312"/>
        <v>288.95000000000073</v>
      </c>
      <c r="I6717" s="3">
        <f t="shared" si="313"/>
        <v>1.6175894306667455E-2</v>
      </c>
    </row>
    <row r="6718" spans="2:9" x14ac:dyDescent="0.25">
      <c r="B6718" s="1">
        <v>45034</v>
      </c>
      <c r="C6718" s="2">
        <v>17660.150000000001</v>
      </c>
      <c r="D6718" s="2">
        <v>17766.599999999999</v>
      </c>
      <c r="E6718" s="2">
        <v>17766.599999999999</v>
      </c>
      <c r="F6718" s="2">
        <v>17610.2</v>
      </c>
      <c r="G6718" s="3">
        <f t="shared" si="314"/>
        <v>-2.6373973914048943E-3</v>
      </c>
      <c r="H6718" s="2">
        <f t="shared" si="312"/>
        <v>156.39999999999782</v>
      </c>
      <c r="I6718" s="3">
        <f t="shared" si="313"/>
        <v>8.8030349081984084E-3</v>
      </c>
    </row>
    <row r="6719" spans="2:9" x14ac:dyDescent="0.25">
      <c r="B6719" s="1">
        <v>45035</v>
      </c>
      <c r="C6719" s="2">
        <v>17618.75</v>
      </c>
      <c r="D6719" s="2">
        <v>17653.349999999999</v>
      </c>
      <c r="E6719" s="2">
        <v>17666.150000000001</v>
      </c>
      <c r="F6719" s="2">
        <v>17579.849999999999</v>
      </c>
      <c r="G6719" s="3">
        <f t="shared" si="314"/>
        <v>-2.3442609490860189E-3</v>
      </c>
      <c r="H6719" s="2">
        <f t="shared" si="312"/>
        <v>86.30000000000291</v>
      </c>
      <c r="I6719" s="3">
        <f t="shared" si="313"/>
        <v>4.8885905508021374E-3</v>
      </c>
    </row>
    <row r="6720" spans="2:9" x14ac:dyDescent="0.25">
      <c r="B6720" s="1">
        <v>45036</v>
      </c>
      <c r="C6720" s="2">
        <v>17624.45</v>
      </c>
      <c r="D6720" s="2">
        <v>17638.599999999999</v>
      </c>
      <c r="E6720" s="2">
        <v>17684.45</v>
      </c>
      <c r="F6720" s="2">
        <v>17584.349999999999</v>
      </c>
      <c r="G6720" s="3">
        <f t="shared" si="314"/>
        <v>3.2351897836124799E-4</v>
      </c>
      <c r="H6720" s="2">
        <f t="shared" si="312"/>
        <v>100.10000000000218</v>
      </c>
      <c r="I6720" s="3">
        <f t="shared" si="313"/>
        <v>5.6750535756807342E-3</v>
      </c>
    </row>
    <row r="6721" spans="2:9" x14ac:dyDescent="0.25">
      <c r="B6721" s="1">
        <v>45037</v>
      </c>
      <c r="C6721" s="2">
        <v>17624.05</v>
      </c>
      <c r="D6721" s="2">
        <v>17639.75</v>
      </c>
      <c r="E6721" s="2">
        <v>17663.2</v>
      </c>
      <c r="F6721" s="2">
        <v>17553.95</v>
      </c>
      <c r="G6721" s="3">
        <f t="shared" si="314"/>
        <v>-2.2695743697065396E-5</v>
      </c>
      <c r="H6721" s="2">
        <f t="shared" si="312"/>
        <v>109.25</v>
      </c>
      <c r="I6721" s="3">
        <f t="shared" si="313"/>
        <v>6.1933984325174673E-3</v>
      </c>
    </row>
    <row r="6722" spans="2:9" x14ac:dyDescent="0.25">
      <c r="B6722" s="1">
        <v>45040</v>
      </c>
      <c r="C6722" s="2">
        <v>17743.400000000001</v>
      </c>
      <c r="D6722" s="2">
        <v>17707.55</v>
      </c>
      <c r="E6722" s="2">
        <v>17754.5</v>
      </c>
      <c r="F6722" s="2">
        <v>17612.5</v>
      </c>
      <c r="G6722" s="3">
        <f t="shared" si="314"/>
        <v>6.7719962210730511E-3</v>
      </c>
      <c r="H6722" s="2">
        <f t="shared" si="312"/>
        <v>142</v>
      </c>
      <c r="I6722" s="3">
        <f t="shared" si="313"/>
        <v>8.0191782601206837E-3</v>
      </c>
    </row>
    <row r="6723" spans="2:9" x14ac:dyDescent="0.25">
      <c r="B6723" s="1">
        <v>45041</v>
      </c>
      <c r="C6723" s="2">
        <v>17769.25</v>
      </c>
      <c r="D6723" s="2">
        <v>17761.55</v>
      </c>
      <c r="E6723" s="2">
        <v>17807.45</v>
      </c>
      <c r="F6723" s="2">
        <v>17716.849999999999</v>
      </c>
      <c r="G6723" s="3">
        <f t="shared" si="314"/>
        <v>1.4568797411995682E-3</v>
      </c>
      <c r="H6723" s="2">
        <f t="shared" si="312"/>
        <v>90.600000000002183</v>
      </c>
      <c r="I6723" s="3">
        <f t="shared" si="313"/>
        <v>5.1009061709142607E-3</v>
      </c>
    </row>
    <row r="6724" spans="2:9" x14ac:dyDescent="0.25">
      <c r="B6724" s="1">
        <v>45042</v>
      </c>
      <c r="C6724" s="2">
        <v>17813.599999999999</v>
      </c>
      <c r="D6724" s="2">
        <v>17767.3</v>
      </c>
      <c r="E6724" s="2">
        <v>17827.75</v>
      </c>
      <c r="F6724" s="2">
        <v>17711.2</v>
      </c>
      <c r="G6724" s="3">
        <f t="shared" si="314"/>
        <v>2.4958847447134058E-3</v>
      </c>
      <c r="H6724" s="2">
        <f t="shared" si="312"/>
        <v>116.54999999999927</v>
      </c>
      <c r="I6724" s="3">
        <f t="shared" si="313"/>
        <v>6.5598036842963916E-3</v>
      </c>
    </row>
    <row r="6725" spans="2:9" x14ac:dyDescent="0.25">
      <c r="B6725" s="1">
        <v>45043</v>
      </c>
      <c r="C6725" s="2">
        <v>17915.05</v>
      </c>
      <c r="D6725" s="2">
        <v>17813.099999999999</v>
      </c>
      <c r="E6725" s="2">
        <v>17931.599999999999</v>
      </c>
      <c r="F6725" s="2">
        <v>17797.900000000001</v>
      </c>
      <c r="G6725" s="3">
        <f t="shared" si="314"/>
        <v>5.6950868998968396E-3</v>
      </c>
      <c r="H6725" s="2">
        <f t="shared" ref="H6725:H6788" si="315">E6725-F6725</f>
        <v>133.69999999999709</v>
      </c>
      <c r="I6725" s="3">
        <f t="shared" si="313"/>
        <v>7.5057120882944068E-3</v>
      </c>
    </row>
    <row r="6726" spans="2:9" x14ac:dyDescent="0.25">
      <c r="B6726" s="1">
        <v>45044</v>
      </c>
      <c r="C6726" s="2">
        <v>18065</v>
      </c>
      <c r="D6726" s="2">
        <v>17950.400000000001</v>
      </c>
      <c r="E6726" s="2">
        <v>18089.150000000001</v>
      </c>
      <c r="F6726" s="2">
        <v>17885.3</v>
      </c>
      <c r="G6726" s="3">
        <f t="shared" si="314"/>
        <v>8.3700575772884811E-3</v>
      </c>
      <c r="H6726" s="2">
        <f t="shared" si="315"/>
        <v>203.85000000000218</v>
      </c>
      <c r="I6726" s="3">
        <f t="shared" ref="I6726:I6789" si="316">H6726/D6726</f>
        <v>1.1356292895980155E-2</v>
      </c>
    </row>
    <row r="6727" spans="2:9" x14ac:dyDescent="0.25">
      <c r="B6727" s="1">
        <v>45048</v>
      </c>
      <c r="C6727" s="2">
        <v>18147.650000000001</v>
      </c>
      <c r="D6727" s="2">
        <v>18124.8</v>
      </c>
      <c r="E6727" s="2">
        <v>18180.25</v>
      </c>
      <c r="F6727" s="2">
        <v>18101.75</v>
      </c>
      <c r="G6727" s="3">
        <f t="shared" ref="G6727:G6790" si="317">C6727/C6726-1</f>
        <v>4.5751453086078087E-3</v>
      </c>
      <c r="H6727" s="2">
        <f t="shared" si="315"/>
        <v>78.5</v>
      </c>
      <c r="I6727" s="3">
        <f t="shared" si="316"/>
        <v>4.3310822740112997E-3</v>
      </c>
    </row>
    <row r="6728" spans="2:9" x14ac:dyDescent="0.25">
      <c r="B6728" s="1">
        <v>45049</v>
      </c>
      <c r="C6728" s="2">
        <v>18089.849999999999</v>
      </c>
      <c r="D6728" s="2">
        <v>18113.8</v>
      </c>
      <c r="E6728" s="2">
        <v>18116.349999999999</v>
      </c>
      <c r="F6728" s="2">
        <v>18042.400000000001</v>
      </c>
      <c r="G6728" s="3">
        <f t="shared" si="317"/>
        <v>-3.1849853837826458E-3</v>
      </c>
      <c r="H6728" s="2">
        <f t="shared" si="315"/>
        <v>73.94999999999709</v>
      </c>
      <c r="I6728" s="3">
        <f t="shared" si="316"/>
        <v>4.0825227174859551E-3</v>
      </c>
    </row>
    <row r="6729" spans="2:9" x14ac:dyDescent="0.25">
      <c r="B6729" s="1">
        <v>45050</v>
      </c>
      <c r="C6729" s="2">
        <v>18255.8</v>
      </c>
      <c r="D6729" s="2">
        <v>18081</v>
      </c>
      <c r="E6729" s="2">
        <v>18267.45</v>
      </c>
      <c r="F6729" s="2">
        <v>18066.7</v>
      </c>
      <c r="G6729" s="3">
        <f t="shared" si="317"/>
        <v>9.1736526284076358E-3</v>
      </c>
      <c r="H6729" s="2">
        <f t="shared" si="315"/>
        <v>200.75</v>
      </c>
      <c r="I6729" s="3">
        <f t="shared" si="316"/>
        <v>1.110281510978375E-2</v>
      </c>
    </row>
    <row r="6730" spans="2:9" x14ac:dyDescent="0.25">
      <c r="B6730" s="1">
        <v>45051</v>
      </c>
      <c r="C6730" s="2">
        <v>18069</v>
      </c>
      <c r="D6730" s="2">
        <v>18117.3</v>
      </c>
      <c r="E6730" s="2">
        <v>18216.95</v>
      </c>
      <c r="F6730" s="2">
        <v>18055.45</v>
      </c>
      <c r="G6730" s="3">
        <f t="shared" si="317"/>
        <v>-1.0232364508813596E-2</v>
      </c>
      <c r="H6730" s="2">
        <f t="shared" si="315"/>
        <v>161.5</v>
      </c>
      <c r="I6730" s="3">
        <f t="shared" si="316"/>
        <v>8.9141317966805207E-3</v>
      </c>
    </row>
    <row r="6731" spans="2:9" x14ac:dyDescent="0.25">
      <c r="B6731" s="1">
        <v>45054</v>
      </c>
      <c r="C6731" s="2">
        <v>18264.400000000001</v>
      </c>
      <c r="D6731" s="2">
        <v>18120.599999999999</v>
      </c>
      <c r="E6731" s="2">
        <v>18286.95</v>
      </c>
      <c r="F6731" s="2">
        <v>18100.3</v>
      </c>
      <c r="G6731" s="3">
        <f t="shared" si="317"/>
        <v>1.0814101499806439E-2</v>
      </c>
      <c r="H6731" s="2">
        <f t="shared" si="315"/>
        <v>186.65000000000146</v>
      </c>
      <c r="I6731" s="3">
        <f t="shared" si="316"/>
        <v>1.0300431553039164E-2</v>
      </c>
    </row>
    <row r="6732" spans="2:9" x14ac:dyDescent="0.25">
      <c r="B6732" s="1">
        <v>45055</v>
      </c>
      <c r="C6732" s="2">
        <v>18265.95</v>
      </c>
      <c r="D6732" s="2">
        <v>18303.400000000001</v>
      </c>
      <c r="E6732" s="2">
        <v>18344.2</v>
      </c>
      <c r="F6732" s="2">
        <v>18229.650000000001</v>
      </c>
      <c r="G6732" s="3">
        <f t="shared" si="317"/>
        <v>8.4864545235596722E-5</v>
      </c>
      <c r="H6732" s="2">
        <f t="shared" si="315"/>
        <v>114.54999999999927</v>
      </c>
      <c r="I6732" s="3">
        <f t="shared" si="316"/>
        <v>6.2584000786738677E-3</v>
      </c>
    </row>
    <row r="6733" spans="2:9" x14ac:dyDescent="0.25">
      <c r="B6733" s="1">
        <v>45056</v>
      </c>
      <c r="C6733" s="2">
        <v>18315.099999999999</v>
      </c>
      <c r="D6733" s="2">
        <v>18313.599999999999</v>
      </c>
      <c r="E6733" s="2">
        <v>18326.75</v>
      </c>
      <c r="F6733" s="2">
        <v>18211.95</v>
      </c>
      <c r="G6733" s="3">
        <f t="shared" si="317"/>
        <v>2.6907990003255389E-3</v>
      </c>
      <c r="H6733" s="2">
        <f t="shared" si="315"/>
        <v>114.79999999999927</v>
      </c>
      <c r="I6733" s="3">
        <f t="shared" si="316"/>
        <v>6.2685654377074565E-3</v>
      </c>
    </row>
    <row r="6734" spans="2:9" x14ac:dyDescent="0.25">
      <c r="B6734" s="1">
        <v>45057</v>
      </c>
      <c r="C6734" s="2">
        <v>18297</v>
      </c>
      <c r="D6734" s="2">
        <v>18357.8</v>
      </c>
      <c r="E6734" s="2">
        <v>18389.7</v>
      </c>
      <c r="F6734" s="2">
        <v>18270.400000000001</v>
      </c>
      <c r="G6734" s="3">
        <f t="shared" si="317"/>
        <v>-9.8825559238002736E-4</v>
      </c>
      <c r="H6734" s="2">
        <f t="shared" si="315"/>
        <v>119.29999999999927</v>
      </c>
      <c r="I6734" s="3">
        <f t="shared" si="316"/>
        <v>6.4986000501148986E-3</v>
      </c>
    </row>
    <row r="6735" spans="2:9" x14ac:dyDescent="0.25">
      <c r="B6735" s="1">
        <v>45058</v>
      </c>
      <c r="C6735" s="2">
        <v>18314.8</v>
      </c>
      <c r="D6735" s="2">
        <v>18273.75</v>
      </c>
      <c r="E6735" s="2">
        <v>18342.75</v>
      </c>
      <c r="F6735" s="2">
        <v>18194.55</v>
      </c>
      <c r="G6735" s="3">
        <f t="shared" si="317"/>
        <v>9.7283707711648404E-4</v>
      </c>
      <c r="H6735" s="2">
        <f t="shared" si="315"/>
        <v>148.20000000000073</v>
      </c>
      <c r="I6735" s="3">
        <f t="shared" si="316"/>
        <v>8.1099938436281944E-3</v>
      </c>
    </row>
    <row r="6736" spans="2:9" x14ac:dyDescent="0.25">
      <c r="B6736" s="1">
        <v>45061</v>
      </c>
      <c r="C6736" s="2">
        <v>18398.849999999999</v>
      </c>
      <c r="D6736" s="2">
        <v>18339.3</v>
      </c>
      <c r="E6736" s="2">
        <v>18458.900000000001</v>
      </c>
      <c r="F6736" s="2">
        <v>18287.900000000001</v>
      </c>
      <c r="G6736" s="3">
        <f t="shared" si="317"/>
        <v>4.5891847030816724E-3</v>
      </c>
      <c r="H6736" s="2">
        <f t="shared" si="315"/>
        <v>171</v>
      </c>
      <c r="I6736" s="3">
        <f t="shared" si="316"/>
        <v>9.3242381115964078E-3</v>
      </c>
    </row>
    <row r="6737" spans="2:9" x14ac:dyDescent="0.25">
      <c r="B6737" s="1">
        <v>45062</v>
      </c>
      <c r="C6737" s="2">
        <v>18286.5</v>
      </c>
      <c r="D6737" s="2">
        <v>18432.349999999999</v>
      </c>
      <c r="E6737" s="2">
        <v>18432.349999999999</v>
      </c>
      <c r="F6737" s="2">
        <v>18264.349999999999</v>
      </c>
      <c r="G6737" s="3">
        <f t="shared" si="317"/>
        <v>-6.1063599083637232E-3</v>
      </c>
      <c r="H6737" s="2">
        <f t="shared" si="315"/>
        <v>168</v>
      </c>
      <c r="I6737" s="3">
        <f t="shared" si="316"/>
        <v>9.1144102623919362E-3</v>
      </c>
    </row>
    <row r="6738" spans="2:9" x14ac:dyDescent="0.25">
      <c r="B6738" s="1">
        <v>45063</v>
      </c>
      <c r="C6738" s="2">
        <v>18181.75</v>
      </c>
      <c r="D6738" s="2">
        <v>18300.45</v>
      </c>
      <c r="E6738" s="2">
        <v>18309</v>
      </c>
      <c r="F6738" s="2">
        <v>18115.349999999999</v>
      </c>
      <c r="G6738" s="3">
        <f t="shared" si="317"/>
        <v>-5.7282694884204233E-3</v>
      </c>
      <c r="H6738" s="2">
        <f t="shared" si="315"/>
        <v>193.65000000000146</v>
      </c>
      <c r="I6738" s="3">
        <f t="shared" si="316"/>
        <v>1.0581707007204819E-2</v>
      </c>
    </row>
    <row r="6739" spans="2:9" x14ac:dyDescent="0.25">
      <c r="B6739" s="1">
        <v>45064</v>
      </c>
      <c r="C6739" s="2">
        <v>18129.95</v>
      </c>
      <c r="D6739" s="2">
        <v>18287.5</v>
      </c>
      <c r="E6739" s="2">
        <v>18297.2</v>
      </c>
      <c r="F6739" s="2">
        <v>18104.849999999999</v>
      </c>
      <c r="G6739" s="3">
        <f t="shared" si="317"/>
        <v>-2.8490106837900653E-3</v>
      </c>
      <c r="H6739" s="2">
        <f t="shared" si="315"/>
        <v>192.35000000000218</v>
      </c>
      <c r="I6739" s="3">
        <f t="shared" si="316"/>
        <v>1.0518113465482006E-2</v>
      </c>
    </row>
    <row r="6740" spans="2:9" x14ac:dyDescent="0.25">
      <c r="B6740" s="1">
        <v>45065</v>
      </c>
      <c r="C6740" s="2">
        <v>18203.400000000001</v>
      </c>
      <c r="D6740" s="2">
        <v>18186.150000000001</v>
      </c>
      <c r="E6740" s="2">
        <v>18218.099999999999</v>
      </c>
      <c r="F6740" s="2">
        <v>18060.400000000001</v>
      </c>
      <c r="G6740" s="3">
        <f t="shared" si="317"/>
        <v>4.0513073670915833E-3</v>
      </c>
      <c r="H6740" s="2">
        <f t="shared" si="315"/>
        <v>157.69999999999709</v>
      </c>
      <c r="I6740" s="3">
        <f t="shared" si="316"/>
        <v>8.6714340308419909E-3</v>
      </c>
    </row>
    <row r="6741" spans="2:9" x14ac:dyDescent="0.25">
      <c r="B6741" s="1">
        <v>45068</v>
      </c>
      <c r="C6741" s="2">
        <v>18314.400000000001</v>
      </c>
      <c r="D6741" s="2">
        <v>18201.099999999999</v>
      </c>
      <c r="E6741" s="2">
        <v>18335.25</v>
      </c>
      <c r="F6741" s="2">
        <v>18178.849999999999</v>
      </c>
      <c r="G6741" s="3">
        <f t="shared" si="317"/>
        <v>6.0977619565576457E-3</v>
      </c>
      <c r="H6741" s="2">
        <f t="shared" si="315"/>
        <v>156.40000000000146</v>
      </c>
      <c r="I6741" s="3">
        <f t="shared" si="316"/>
        <v>8.5928872430787954E-3</v>
      </c>
    </row>
    <row r="6742" spans="2:9" x14ac:dyDescent="0.25">
      <c r="B6742" s="1">
        <v>45069</v>
      </c>
      <c r="C6742" s="2">
        <v>18348</v>
      </c>
      <c r="D6742" s="2">
        <v>18362.900000000001</v>
      </c>
      <c r="E6742" s="2">
        <v>18419.75</v>
      </c>
      <c r="F6742" s="2">
        <v>18324.2</v>
      </c>
      <c r="G6742" s="3">
        <f t="shared" si="317"/>
        <v>1.834621936836589E-3</v>
      </c>
      <c r="H6742" s="2">
        <f t="shared" si="315"/>
        <v>95.549999999999272</v>
      </c>
      <c r="I6742" s="3">
        <f t="shared" si="316"/>
        <v>5.2034264740318395E-3</v>
      </c>
    </row>
    <row r="6743" spans="2:9" x14ac:dyDescent="0.25">
      <c r="B6743" s="1">
        <v>45070</v>
      </c>
      <c r="C6743" s="2">
        <v>18285.400000000001</v>
      </c>
      <c r="D6743" s="2">
        <v>18294.8</v>
      </c>
      <c r="E6743" s="2">
        <v>18392.599999999999</v>
      </c>
      <c r="F6743" s="2">
        <v>18262.95</v>
      </c>
      <c r="G6743" s="3">
        <f t="shared" si="317"/>
        <v>-3.4118160017440058E-3</v>
      </c>
      <c r="H6743" s="2">
        <f t="shared" si="315"/>
        <v>129.64999999999782</v>
      </c>
      <c r="I6743" s="3">
        <f t="shared" si="316"/>
        <v>7.0867131643963218E-3</v>
      </c>
    </row>
    <row r="6744" spans="2:9" x14ac:dyDescent="0.25">
      <c r="B6744" s="1">
        <v>45071</v>
      </c>
      <c r="C6744" s="2">
        <v>18321.150000000001</v>
      </c>
      <c r="D6744" s="2">
        <v>18268.900000000001</v>
      </c>
      <c r="E6744" s="2">
        <v>18338.099999999999</v>
      </c>
      <c r="F6744" s="2">
        <v>18202.400000000001</v>
      </c>
      <c r="G6744" s="3">
        <f t="shared" si="317"/>
        <v>1.955111728482839E-3</v>
      </c>
      <c r="H6744" s="2">
        <f t="shared" si="315"/>
        <v>135.69999999999709</v>
      </c>
      <c r="I6744" s="3">
        <f t="shared" si="316"/>
        <v>7.4279239582020311E-3</v>
      </c>
    </row>
    <row r="6745" spans="2:9" x14ac:dyDescent="0.25">
      <c r="B6745" s="1">
        <v>45072</v>
      </c>
      <c r="C6745" s="2">
        <v>18499.349999999999</v>
      </c>
      <c r="D6745" s="2">
        <v>18368.349999999999</v>
      </c>
      <c r="E6745" s="2">
        <v>18508.55</v>
      </c>
      <c r="F6745" s="2">
        <v>18333.150000000001</v>
      </c>
      <c r="G6745" s="3">
        <f t="shared" si="317"/>
        <v>9.7264636772254054E-3</v>
      </c>
      <c r="H6745" s="2">
        <f t="shared" si="315"/>
        <v>175.39999999999782</v>
      </c>
      <c r="I6745" s="3">
        <f t="shared" si="316"/>
        <v>9.5490340721947169E-3</v>
      </c>
    </row>
    <row r="6746" spans="2:9" x14ac:dyDescent="0.25">
      <c r="B6746" s="1">
        <v>45075</v>
      </c>
      <c r="C6746" s="2">
        <v>18598.650000000001</v>
      </c>
      <c r="D6746" s="2">
        <v>18619.150000000001</v>
      </c>
      <c r="E6746" s="2">
        <v>18641.2</v>
      </c>
      <c r="F6746" s="2">
        <v>18581.25</v>
      </c>
      <c r="G6746" s="3">
        <f t="shared" si="317"/>
        <v>5.3677561644058791E-3</v>
      </c>
      <c r="H6746" s="2">
        <f t="shared" si="315"/>
        <v>59.950000000000728</v>
      </c>
      <c r="I6746" s="3">
        <f t="shared" si="316"/>
        <v>3.2198032670664729E-3</v>
      </c>
    </row>
    <row r="6747" spans="2:9" x14ac:dyDescent="0.25">
      <c r="B6747" s="1">
        <v>45076</v>
      </c>
      <c r="C6747" s="2">
        <v>18633.849999999999</v>
      </c>
      <c r="D6747" s="2">
        <v>18606.650000000001</v>
      </c>
      <c r="E6747" s="2">
        <v>18662.45</v>
      </c>
      <c r="F6747" s="2">
        <v>18575.5</v>
      </c>
      <c r="G6747" s="3">
        <f t="shared" si="317"/>
        <v>1.8926104851695325E-3</v>
      </c>
      <c r="H6747" s="2">
        <f t="shared" si="315"/>
        <v>86.950000000000728</v>
      </c>
      <c r="I6747" s="3">
        <f t="shared" si="316"/>
        <v>4.6730604380692238E-3</v>
      </c>
    </row>
    <row r="6748" spans="2:9" x14ac:dyDescent="0.25">
      <c r="B6748" s="1">
        <v>45077</v>
      </c>
      <c r="C6748" s="2">
        <v>18534.400000000001</v>
      </c>
      <c r="D6748" s="2">
        <v>18594.2</v>
      </c>
      <c r="E6748" s="2">
        <v>18603.900000000001</v>
      </c>
      <c r="F6748" s="2">
        <v>18483.849999999999</v>
      </c>
      <c r="G6748" s="3">
        <f t="shared" si="317"/>
        <v>-5.3370613158310043E-3</v>
      </c>
      <c r="H6748" s="2">
        <f t="shared" si="315"/>
        <v>120.05000000000291</v>
      </c>
      <c r="I6748" s="3">
        <f t="shared" si="316"/>
        <v>6.4563143345776055E-3</v>
      </c>
    </row>
    <row r="6749" spans="2:9" x14ac:dyDescent="0.25">
      <c r="B6749" s="1">
        <v>45078</v>
      </c>
      <c r="C6749" s="2">
        <v>18487.75</v>
      </c>
      <c r="D6749" s="2">
        <v>18579.400000000001</v>
      </c>
      <c r="E6749" s="2">
        <v>18580.3</v>
      </c>
      <c r="F6749" s="2">
        <v>18464.55</v>
      </c>
      <c r="G6749" s="3">
        <f t="shared" si="317"/>
        <v>-2.5169414709945714E-3</v>
      </c>
      <c r="H6749" s="2">
        <f t="shared" si="315"/>
        <v>115.75</v>
      </c>
      <c r="I6749" s="3">
        <f t="shared" si="316"/>
        <v>6.2300181921913509E-3</v>
      </c>
    </row>
    <row r="6750" spans="2:9" x14ac:dyDescent="0.25">
      <c r="B6750" s="1">
        <v>45079</v>
      </c>
      <c r="C6750" s="2">
        <v>18534.099999999999</v>
      </c>
      <c r="D6750" s="2">
        <v>18550.849999999999</v>
      </c>
      <c r="E6750" s="2">
        <v>18573.7</v>
      </c>
      <c r="F6750" s="2">
        <v>18478.400000000001</v>
      </c>
      <c r="G6750" s="3">
        <f t="shared" si="317"/>
        <v>2.507065489310456E-3</v>
      </c>
      <c r="H6750" s="2">
        <f t="shared" si="315"/>
        <v>95.299999999999272</v>
      </c>
      <c r="I6750" s="3">
        <f t="shared" si="316"/>
        <v>5.1372309085567121E-3</v>
      </c>
    </row>
    <row r="6751" spans="2:9" x14ac:dyDescent="0.25">
      <c r="B6751" s="1">
        <v>45082</v>
      </c>
      <c r="C6751" s="2">
        <v>18593.849999999999</v>
      </c>
      <c r="D6751" s="2">
        <v>18612</v>
      </c>
      <c r="E6751" s="2">
        <v>18640.150000000001</v>
      </c>
      <c r="F6751" s="2">
        <v>18582.8</v>
      </c>
      <c r="G6751" s="3">
        <f t="shared" si="317"/>
        <v>3.223787505193032E-3</v>
      </c>
      <c r="H6751" s="2">
        <f t="shared" si="315"/>
        <v>57.350000000002183</v>
      </c>
      <c r="I6751" s="3">
        <f t="shared" si="316"/>
        <v>3.0813453685795285E-3</v>
      </c>
    </row>
    <row r="6752" spans="2:9" x14ac:dyDescent="0.25">
      <c r="B6752" s="1">
        <v>45083</v>
      </c>
      <c r="C6752" s="2">
        <v>18599</v>
      </c>
      <c r="D6752" s="2">
        <v>18600.8</v>
      </c>
      <c r="E6752" s="2">
        <v>18622.75</v>
      </c>
      <c r="F6752" s="2">
        <v>18531.599999999999</v>
      </c>
      <c r="G6752" s="3">
        <f t="shared" si="317"/>
        <v>2.7697330031184464E-4</v>
      </c>
      <c r="H6752" s="2">
        <f t="shared" si="315"/>
        <v>91.150000000001455</v>
      </c>
      <c r="I6752" s="3">
        <f t="shared" si="316"/>
        <v>4.9003268676616847E-3</v>
      </c>
    </row>
    <row r="6753" spans="2:9" x14ac:dyDescent="0.25">
      <c r="B6753" s="1">
        <v>45084</v>
      </c>
      <c r="C6753" s="2">
        <v>18726.400000000001</v>
      </c>
      <c r="D6753" s="2">
        <v>18665.599999999999</v>
      </c>
      <c r="E6753" s="2">
        <v>18738.95</v>
      </c>
      <c r="F6753" s="2">
        <v>18636</v>
      </c>
      <c r="G6753" s="3">
        <f t="shared" si="317"/>
        <v>6.8498306360558203E-3</v>
      </c>
      <c r="H6753" s="2">
        <f t="shared" si="315"/>
        <v>102.95000000000073</v>
      </c>
      <c r="I6753" s="3">
        <f t="shared" si="316"/>
        <v>5.5154937424996111E-3</v>
      </c>
    </row>
    <row r="6754" spans="2:9" x14ac:dyDescent="0.25">
      <c r="B6754" s="1">
        <v>45085</v>
      </c>
      <c r="C6754" s="2">
        <v>18634.55</v>
      </c>
      <c r="D6754" s="2">
        <v>18725.349999999999</v>
      </c>
      <c r="E6754" s="2">
        <v>18777.900000000001</v>
      </c>
      <c r="F6754" s="2">
        <v>18615.599999999999</v>
      </c>
      <c r="G6754" s="3">
        <f t="shared" si="317"/>
        <v>-4.9048402255640333E-3</v>
      </c>
      <c r="H6754" s="2">
        <f t="shared" si="315"/>
        <v>162.30000000000291</v>
      </c>
      <c r="I6754" s="3">
        <f t="shared" si="316"/>
        <v>8.6673947349450303E-3</v>
      </c>
    </row>
    <row r="6755" spans="2:9" x14ac:dyDescent="0.25">
      <c r="B6755" s="1">
        <v>45086</v>
      </c>
      <c r="C6755" s="2">
        <v>18563.400000000001</v>
      </c>
      <c r="D6755" s="2">
        <v>18655.900000000001</v>
      </c>
      <c r="E6755" s="2">
        <v>18676.650000000001</v>
      </c>
      <c r="F6755" s="2">
        <v>18555.400000000001</v>
      </c>
      <c r="G6755" s="3">
        <f t="shared" si="317"/>
        <v>-3.8181764518058214E-3</v>
      </c>
      <c r="H6755" s="2">
        <f t="shared" si="315"/>
        <v>121.25</v>
      </c>
      <c r="I6755" s="3">
        <f t="shared" si="316"/>
        <v>6.4992844086857234E-3</v>
      </c>
    </row>
    <row r="6756" spans="2:9" x14ac:dyDescent="0.25">
      <c r="B6756" s="1">
        <v>45089</v>
      </c>
      <c r="C6756" s="2">
        <v>18601.5</v>
      </c>
      <c r="D6756" s="2">
        <v>18595.05</v>
      </c>
      <c r="E6756" s="2">
        <v>18633.599999999999</v>
      </c>
      <c r="F6756" s="2">
        <v>18559.75</v>
      </c>
      <c r="G6756" s="3">
        <f t="shared" si="317"/>
        <v>2.0524257409741953E-3</v>
      </c>
      <c r="H6756" s="2">
        <f t="shared" si="315"/>
        <v>73.849999999998545</v>
      </c>
      <c r="I6756" s="3">
        <f t="shared" si="316"/>
        <v>3.9714870355281942E-3</v>
      </c>
    </row>
    <row r="6757" spans="2:9" x14ac:dyDescent="0.25">
      <c r="B6757" s="1">
        <v>45090</v>
      </c>
      <c r="C6757" s="2">
        <v>18716.150000000001</v>
      </c>
      <c r="D6757" s="2">
        <v>18631.8</v>
      </c>
      <c r="E6757" s="2">
        <v>18728.900000000001</v>
      </c>
      <c r="F6757" s="2">
        <v>18631.8</v>
      </c>
      <c r="G6757" s="3">
        <f t="shared" si="317"/>
        <v>6.1634814396689386E-3</v>
      </c>
      <c r="H6757" s="2">
        <f t="shared" si="315"/>
        <v>97.100000000002183</v>
      </c>
      <c r="I6757" s="3">
        <f t="shared" si="316"/>
        <v>5.2115200893097921E-3</v>
      </c>
    </row>
    <row r="6758" spans="2:9" x14ac:dyDescent="0.25">
      <c r="B6758" s="1">
        <v>45091</v>
      </c>
      <c r="C6758" s="2">
        <v>18755.900000000001</v>
      </c>
      <c r="D6758" s="2">
        <v>18744.599999999999</v>
      </c>
      <c r="E6758" s="2">
        <v>18769.7</v>
      </c>
      <c r="F6758" s="2">
        <v>18690</v>
      </c>
      <c r="G6758" s="3">
        <f t="shared" si="317"/>
        <v>2.123834228727528E-3</v>
      </c>
      <c r="H6758" s="2">
        <f t="shared" si="315"/>
        <v>79.700000000000728</v>
      </c>
      <c r="I6758" s="3">
        <f t="shared" si="316"/>
        <v>4.2518912113355704E-3</v>
      </c>
    </row>
    <row r="6759" spans="2:9" x14ac:dyDescent="0.25">
      <c r="B6759" s="1">
        <v>45092</v>
      </c>
      <c r="C6759" s="2">
        <v>18688.099999999999</v>
      </c>
      <c r="D6759" s="2">
        <v>18774.45</v>
      </c>
      <c r="E6759" s="2">
        <v>18794.099999999999</v>
      </c>
      <c r="F6759" s="2">
        <v>18669.05</v>
      </c>
      <c r="G6759" s="3">
        <f t="shared" si="317"/>
        <v>-3.6148625232594878E-3</v>
      </c>
      <c r="H6759" s="2">
        <f t="shared" si="315"/>
        <v>125.04999999999927</v>
      </c>
      <c r="I6759" s="3">
        <f t="shared" si="316"/>
        <v>6.6606478485387996E-3</v>
      </c>
    </row>
    <row r="6760" spans="2:9" x14ac:dyDescent="0.25">
      <c r="B6760" s="1">
        <v>45093</v>
      </c>
      <c r="C6760" s="2">
        <v>18826</v>
      </c>
      <c r="D6760" s="2">
        <v>18723.3</v>
      </c>
      <c r="E6760" s="2">
        <v>18864.7</v>
      </c>
      <c r="F6760" s="2">
        <v>18710.5</v>
      </c>
      <c r="G6760" s="3">
        <f t="shared" si="317"/>
        <v>7.3790272954448177E-3</v>
      </c>
      <c r="H6760" s="2">
        <f t="shared" si="315"/>
        <v>154.20000000000073</v>
      </c>
      <c r="I6760" s="3">
        <f t="shared" si="316"/>
        <v>8.2357276762109639E-3</v>
      </c>
    </row>
    <row r="6761" spans="2:9" x14ac:dyDescent="0.25">
      <c r="B6761" s="1">
        <v>45096</v>
      </c>
      <c r="C6761" s="2">
        <v>18755.45</v>
      </c>
      <c r="D6761" s="2">
        <v>18873.3</v>
      </c>
      <c r="E6761" s="2">
        <v>18881.45</v>
      </c>
      <c r="F6761" s="2">
        <v>18719.150000000001</v>
      </c>
      <c r="G6761" s="3">
        <f t="shared" si="317"/>
        <v>-3.7474768936576197E-3</v>
      </c>
      <c r="H6761" s="2">
        <f t="shared" si="315"/>
        <v>162.29999999999927</v>
      </c>
      <c r="I6761" s="3">
        <f t="shared" si="316"/>
        <v>8.5994500166902063E-3</v>
      </c>
    </row>
    <row r="6762" spans="2:9" x14ac:dyDescent="0.25">
      <c r="B6762" s="1">
        <v>45097</v>
      </c>
      <c r="C6762" s="2">
        <v>18816.7</v>
      </c>
      <c r="D6762" s="2">
        <v>18752.349999999999</v>
      </c>
      <c r="E6762" s="2">
        <v>18839.7</v>
      </c>
      <c r="F6762" s="2">
        <v>18660.650000000001</v>
      </c>
      <c r="G6762" s="3">
        <f t="shared" si="317"/>
        <v>3.2657174314665305E-3</v>
      </c>
      <c r="H6762" s="2">
        <f t="shared" si="315"/>
        <v>179.04999999999927</v>
      </c>
      <c r="I6762" s="3">
        <f t="shared" si="316"/>
        <v>9.5481366335418913E-3</v>
      </c>
    </row>
    <row r="6763" spans="2:9" x14ac:dyDescent="0.25">
      <c r="B6763" s="1">
        <v>45098</v>
      </c>
      <c r="C6763" s="2">
        <v>18856.849999999999</v>
      </c>
      <c r="D6763" s="2">
        <v>18849.400000000001</v>
      </c>
      <c r="E6763" s="2">
        <v>18875.900000000001</v>
      </c>
      <c r="F6763" s="2">
        <v>18794.849999999999</v>
      </c>
      <c r="G6763" s="3">
        <f t="shared" si="317"/>
        <v>2.1337428985952478E-3</v>
      </c>
      <c r="H6763" s="2">
        <f t="shared" si="315"/>
        <v>81.05000000000291</v>
      </c>
      <c r="I6763" s="3">
        <f t="shared" si="316"/>
        <v>4.2998716139507308E-3</v>
      </c>
    </row>
    <row r="6764" spans="2:9" x14ac:dyDescent="0.25">
      <c r="B6764" s="1">
        <v>45099</v>
      </c>
      <c r="C6764" s="2">
        <v>18771.25</v>
      </c>
      <c r="D6764" s="2">
        <v>18853.599999999999</v>
      </c>
      <c r="E6764" s="2">
        <v>18886.599999999999</v>
      </c>
      <c r="F6764" s="2">
        <v>18759.5</v>
      </c>
      <c r="G6764" s="3">
        <f t="shared" si="317"/>
        <v>-4.5394644386521632E-3</v>
      </c>
      <c r="H6764" s="2">
        <f t="shared" si="315"/>
        <v>127.09999999999854</v>
      </c>
      <c r="I6764" s="3">
        <f t="shared" si="316"/>
        <v>6.7414180846097592E-3</v>
      </c>
    </row>
    <row r="6765" spans="2:9" x14ac:dyDescent="0.25">
      <c r="B6765" s="1">
        <v>45100</v>
      </c>
      <c r="C6765" s="2">
        <v>18665.5</v>
      </c>
      <c r="D6765" s="2">
        <v>18741.849999999999</v>
      </c>
      <c r="E6765" s="2">
        <v>18756.400000000001</v>
      </c>
      <c r="F6765" s="2">
        <v>18647.099999999999</v>
      </c>
      <c r="G6765" s="3">
        <f t="shared" si="317"/>
        <v>-5.6336152360657588E-3</v>
      </c>
      <c r="H6765" s="2">
        <f t="shared" si="315"/>
        <v>109.30000000000291</v>
      </c>
      <c r="I6765" s="3">
        <f t="shared" si="316"/>
        <v>5.8318682520670543E-3</v>
      </c>
    </row>
    <row r="6766" spans="2:9" x14ac:dyDescent="0.25">
      <c r="B6766" s="1">
        <v>45103</v>
      </c>
      <c r="C6766" s="2">
        <v>18691.2</v>
      </c>
      <c r="D6766" s="2">
        <v>18682.349999999999</v>
      </c>
      <c r="E6766" s="2">
        <v>18722.05</v>
      </c>
      <c r="F6766" s="2">
        <v>18646.7</v>
      </c>
      <c r="G6766" s="3">
        <f t="shared" si="317"/>
        <v>1.3768717687712151E-3</v>
      </c>
      <c r="H6766" s="2">
        <f t="shared" si="315"/>
        <v>75.349999999998545</v>
      </c>
      <c r="I6766" s="3">
        <f t="shared" si="316"/>
        <v>4.0332185190834428E-3</v>
      </c>
    </row>
    <row r="6767" spans="2:9" x14ac:dyDescent="0.25">
      <c r="B6767" s="1">
        <v>45104</v>
      </c>
      <c r="C6767" s="2">
        <v>18817.400000000001</v>
      </c>
      <c r="D6767" s="2">
        <v>18748.55</v>
      </c>
      <c r="E6767" s="2">
        <v>18829.25</v>
      </c>
      <c r="F6767" s="2">
        <v>18714.25</v>
      </c>
      <c r="G6767" s="3">
        <f t="shared" si="317"/>
        <v>6.7518404382811426E-3</v>
      </c>
      <c r="H6767" s="2">
        <f t="shared" si="315"/>
        <v>115</v>
      </c>
      <c r="I6767" s="3">
        <f t="shared" si="316"/>
        <v>6.133807681127341E-3</v>
      </c>
    </row>
    <row r="6768" spans="2:9" x14ac:dyDescent="0.25">
      <c r="B6768" s="1">
        <v>45105</v>
      </c>
      <c r="C6768" s="2">
        <v>18972.099999999999</v>
      </c>
      <c r="D6768" s="2">
        <v>18908.150000000001</v>
      </c>
      <c r="E6768" s="2">
        <v>19011.25</v>
      </c>
      <c r="F6768" s="2">
        <v>18861.349999999999</v>
      </c>
      <c r="G6768" s="3">
        <f t="shared" si="317"/>
        <v>8.2211145004089659E-3</v>
      </c>
      <c r="H6768" s="2">
        <f t="shared" si="315"/>
        <v>149.90000000000146</v>
      </c>
      <c r="I6768" s="3">
        <f t="shared" si="316"/>
        <v>7.9277983303496866E-3</v>
      </c>
    </row>
    <row r="6769" spans="2:9" x14ac:dyDescent="0.25">
      <c r="B6769" s="1">
        <v>45107</v>
      </c>
      <c r="C6769" s="2">
        <v>19189.05</v>
      </c>
      <c r="D6769" s="2">
        <v>19076.849999999999</v>
      </c>
      <c r="E6769" s="2">
        <v>19201.7</v>
      </c>
      <c r="F6769" s="2">
        <v>19024.599999999999</v>
      </c>
      <c r="G6769" s="3">
        <f t="shared" si="317"/>
        <v>1.1435212759789426E-2</v>
      </c>
      <c r="H6769" s="2">
        <f t="shared" si="315"/>
        <v>177.10000000000218</v>
      </c>
      <c r="I6769" s="3">
        <f t="shared" si="316"/>
        <v>9.2835033037426094E-3</v>
      </c>
    </row>
    <row r="6770" spans="2:9" x14ac:dyDescent="0.25">
      <c r="B6770" s="1">
        <v>45110</v>
      </c>
      <c r="C6770" s="2">
        <v>19322.55</v>
      </c>
      <c r="D6770" s="2">
        <v>19246.5</v>
      </c>
      <c r="E6770" s="2">
        <v>19345.099999999999</v>
      </c>
      <c r="F6770" s="2">
        <v>19234.400000000001</v>
      </c>
      <c r="G6770" s="3">
        <f t="shared" si="317"/>
        <v>6.9570927169402275E-3</v>
      </c>
      <c r="H6770" s="2">
        <f t="shared" si="315"/>
        <v>110.69999999999709</v>
      </c>
      <c r="I6770" s="3">
        <f t="shared" si="316"/>
        <v>5.7516951133970897E-3</v>
      </c>
    </row>
    <row r="6771" spans="2:9" x14ac:dyDescent="0.25">
      <c r="B6771" s="1">
        <v>45111</v>
      </c>
      <c r="C6771" s="2">
        <v>19389</v>
      </c>
      <c r="D6771" s="2">
        <v>19406.599999999999</v>
      </c>
      <c r="E6771" s="2">
        <v>19434.150000000001</v>
      </c>
      <c r="F6771" s="2">
        <v>19300</v>
      </c>
      <c r="G6771" s="3">
        <f t="shared" si="317"/>
        <v>3.4389870902133968E-3</v>
      </c>
      <c r="H6771" s="2">
        <f t="shared" si="315"/>
        <v>134.15000000000146</v>
      </c>
      <c r="I6771" s="3">
        <f t="shared" si="316"/>
        <v>6.9125967454371946E-3</v>
      </c>
    </row>
    <row r="6772" spans="2:9" x14ac:dyDescent="0.25">
      <c r="B6772" s="1">
        <v>45112</v>
      </c>
      <c r="C6772" s="2">
        <v>19398.5</v>
      </c>
      <c r="D6772" s="2">
        <v>19405.95</v>
      </c>
      <c r="E6772" s="2">
        <v>19421.599999999999</v>
      </c>
      <c r="F6772" s="2">
        <v>19339.599999999999</v>
      </c>
      <c r="G6772" s="3">
        <f t="shared" si="317"/>
        <v>4.8996853886218439E-4</v>
      </c>
      <c r="H6772" s="2">
        <f t="shared" si="315"/>
        <v>82</v>
      </c>
      <c r="I6772" s="3">
        <f t="shared" si="316"/>
        <v>4.2255081560036998E-3</v>
      </c>
    </row>
    <row r="6773" spans="2:9" x14ac:dyDescent="0.25">
      <c r="B6773" s="1">
        <v>45113</v>
      </c>
      <c r="C6773" s="2">
        <v>19497.3</v>
      </c>
      <c r="D6773" s="2">
        <v>19385.7</v>
      </c>
      <c r="E6773" s="2">
        <v>19512.2</v>
      </c>
      <c r="F6773" s="2">
        <v>19373</v>
      </c>
      <c r="G6773" s="3">
        <f t="shared" si="317"/>
        <v>5.0931773075237885E-3</v>
      </c>
      <c r="H6773" s="2">
        <f t="shared" si="315"/>
        <v>139.20000000000073</v>
      </c>
      <c r="I6773" s="3">
        <f t="shared" si="316"/>
        <v>7.1805506120491249E-3</v>
      </c>
    </row>
    <row r="6774" spans="2:9" x14ac:dyDescent="0.25">
      <c r="B6774" s="1">
        <v>45114</v>
      </c>
      <c r="C6774" s="2">
        <v>19331.8</v>
      </c>
      <c r="D6774" s="2">
        <v>19422.8</v>
      </c>
      <c r="E6774" s="2">
        <v>19523.599999999999</v>
      </c>
      <c r="F6774" s="2">
        <v>19303.599999999999</v>
      </c>
      <c r="G6774" s="3">
        <f t="shared" si="317"/>
        <v>-8.4883547978438223E-3</v>
      </c>
      <c r="H6774" s="2">
        <f t="shared" si="315"/>
        <v>220</v>
      </c>
      <c r="I6774" s="3">
        <f t="shared" si="316"/>
        <v>1.1326894165619788E-2</v>
      </c>
    </row>
    <row r="6775" spans="2:9" x14ac:dyDescent="0.25">
      <c r="B6775" s="1">
        <v>45117</v>
      </c>
      <c r="C6775" s="2">
        <v>19355.900000000001</v>
      </c>
      <c r="D6775" s="2">
        <v>19400.349999999999</v>
      </c>
      <c r="E6775" s="2">
        <v>19435.849999999999</v>
      </c>
      <c r="F6775" s="2">
        <v>19327.099999999999</v>
      </c>
      <c r="G6775" s="3">
        <f t="shared" si="317"/>
        <v>1.2466505964268126E-3</v>
      </c>
      <c r="H6775" s="2">
        <f t="shared" si="315"/>
        <v>108.75</v>
      </c>
      <c r="I6775" s="3">
        <f t="shared" si="316"/>
        <v>5.6055689716938105E-3</v>
      </c>
    </row>
    <row r="6776" spans="2:9" x14ac:dyDescent="0.25">
      <c r="B6776" s="1">
        <v>45118</v>
      </c>
      <c r="C6776" s="2">
        <v>19439.400000000001</v>
      </c>
      <c r="D6776" s="2">
        <v>19427.099999999999</v>
      </c>
      <c r="E6776" s="2">
        <v>19515.099999999999</v>
      </c>
      <c r="F6776" s="2">
        <v>19406.45</v>
      </c>
      <c r="G6776" s="3">
        <f t="shared" si="317"/>
        <v>4.3139301194985435E-3</v>
      </c>
      <c r="H6776" s="2">
        <f t="shared" si="315"/>
        <v>108.64999999999782</v>
      </c>
      <c r="I6776" s="3">
        <f t="shared" si="316"/>
        <v>5.5927029767694524E-3</v>
      </c>
    </row>
    <row r="6777" spans="2:9" x14ac:dyDescent="0.25">
      <c r="B6777" s="1">
        <v>45119</v>
      </c>
      <c r="C6777" s="2">
        <v>19384.3</v>
      </c>
      <c r="D6777" s="2">
        <v>19497.45</v>
      </c>
      <c r="E6777" s="2">
        <v>19507.7</v>
      </c>
      <c r="F6777" s="2">
        <v>19361.75</v>
      </c>
      <c r="G6777" s="3">
        <f t="shared" si="317"/>
        <v>-2.8344496229308902E-3</v>
      </c>
      <c r="H6777" s="2">
        <f t="shared" si="315"/>
        <v>145.95000000000073</v>
      </c>
      <c r="I6777" s="3">
        <f t="shared" si="316"/>
        <v>7.4855942700199629E-3</v>
      </c>
    </row>
    <row r="6778" spans="2:9" x14ac:dyDescent="0.25">
      <c r="B6778" s="1">
        <v>45120</v>
      </c>
      <c r="C6778" s="2">
        <v>19413.75</v>
      </c>
      <c r="D6778" s="2">
        <v>19495.2</v>
      </c>
      <c r="E6778" s="2">
        <v>19567</v>
      </c>
      <c r="F6778" s="2">
        <v>19385.8</v>
      </c>
      <c r="G6778" s="3">
        <f t="shared" si="317"/>
        <v>1.5192707500399916E-3</v>
      </c>
      <c r="H6778" s="2">
        <f t="shared" si="315"/>
        <v>181.20000000000073</v>
      </c>
      <c r="I6778" s="3">
        <f t="shared" si="316"/>
        <v>9.2945955927613323E-3</v>
      </c>
    </row>
    <row r="6779" spans="2:9" x14ac:dyDescent="0.25">
      <c r="B6779" s="1">
        <v>45121</v>
      </c>
      <c r="C6779" s="2">
        <v>19564.5</v>
      </c>
      <c r="D6779" s="2">
        <v>19493.45</v>
      </c>
      <c r="E6779" s="2">
        <v>19595.349999999999</v>
      </c>
      <c r="F6779" s="2">
        <v>19433.5</v>
      </c>
      <c r="G6779" s="3">
        <f t="shared" si="317"/>
        <v>7.7651149314275081E-3</v>
      </c>
      <c r="H6779" s="2">
        <f t="shared" si="315"/>
        <v>161.84999999999854</v>
      </c>
      <c r="I6779" s="3">
        <f t="shared" si="316"/>
        <v>8.3027888854973614E-3</v>
      </c>
    </row>
    <row r="6780" spans="2:9" x14ac:dyDescent="0.25">
      <c r="B6780" s="1">
        <v>45124</v>
      </c>
      <c r="C6780" s="2">
        <v>19711.45</v>
      </c>
      <c r="D6780" s="2">
        <v>19612.150000000001</v>
      </c>
      <c r="E6780" s="2">
        <v>19731.849999999999</v>
      </c>
      <c r="F6780" s="2">
        <v>19562.95</v>
      </c>
      <c r="G6780" s="3">
        <f t="shared" si="317"/>
        <v>7.5110531830611116E-3</v>
      </c>
      <c r="H6780" s="2">
        <f t="shared" si="315"/>
        <v>168.89999999999782</v>
      </c>
      <c r="I6780" s="3">
        <f t="shared" si="316"/>
        <v>8.6120083723608982E-3</v>
      </c>
    </row>
    <row r="6781" spans="2:9" x14ac:dyDescent="0.25">
      <c r="B6781" s="1">
        <v>45125</v>
      </c>
      <c r="C6781" s="2">
        <v>19749.25</v>
      </c>
      <c r="D6781" s="2">
        <v>19787.5</v>
      </c>
      <c r="E6781" s="2">
        <v>19819.45</v>
      </c>
      <c r="F6781" s="2">
        <v>19690.2</v>
      </c>
      <c r="G6781" s="3">
        <f t="shared" si="317"/>
        <v>1.9176671427012515E-3</v>
      </c>
      <c r="H6781" s="2">
        <f t="shared" si="315"/>
        <v>129.25</v>
      </c>
      <c r="I6781" s="3">
        <f t="shared" si="316"/>
        <v>6.5319014529374607E-3</v>
      </c>
    </row>
    <row r="6782" spans="2:9" x14ac:dyDescent="0.25">
      <c r="B6782" s="1">
        <v>45126</v>
      </c>
      <c r="C6782" s="2">
        <v>19833.150000000001</v>
      </c>
      <c r="D6782" s="2">
        <v>19802.95</v>
      </c>
      <c r="E6782" s="2">
        <v>19851.7</v>
      </c>
      <c r="F6782" s="2">
        <v>19727.45</v>
      </c>
      <c r="G6782" s="3">
        <f t="shared" si="317"/>
        <v>4.248262592250418E-3</v>
      </c>
      <c r="H6782" s="2">
        <f t="shared" si="315"/>
        <v>124.25</v>
      </c>
      <c r="I6782" s="3">
        <f t="shared" si="316"/>
        <v>6.274317715289893E-3</v>
      </c>
    </row>
    <row r="6783" spans="2:9" x14ac:dyDescent="0.25">
      <c r="B6783" s="1">
        <v>45127</v>
      </c>
      <c r="C6783" s="2">
        <v>19979.150000000001</v>
      </c>
      <c r="D6783" s="2">
        <v>19831.7</v>
      </c>
      <c r="E6783" s="2">
        <v>19991.849999999999</v>
      </c>
      <c r="F6783" s="2">
        <v>19758.400000000001</v>
      </c>
      <c r="G6783" s="3">
        <f t="shared" si="317"/>
        <v>7.3614125844860823E-3</v>
      </c>
      <c r="H6783" s="2">
        <f t="shared" si="315"/>
        <v>233.44999999999709</v>
      </c>
      <c r="I6783" s="3">
        <f t="shared" si="316"/>
        <v>1.1771557657689309E-2</v>
      </c>
    </row>
    <row r="6784" spans="2:9" x14ac:dyDescent="0.25">
      <c r="B6784" s="1">
        <v>45128</v>
      </c>
      <c r="C6784" s="2">
        <v>19745</v>
      </c>
      <c r="D6784" s="2">
        <v>19800.45</v>
      </c>
      <c r="E6784" s="2">
        <v>19887.400000000001</v>
      </c>
      <c r="F6784" s="2">
        <v>19700</v>
      </c>
      <c r="G6784" s="3">
        <f t="shared" si="317"/>
        <v>-1.1719717805812602E-2</v>
      </c>
      <c r="H6784" s="2">
        <f t="shared" si="315"/>
        <v>187.40000000000146</v>
      </c>
      <c r="I6784" s="3">
        <f t="shared" si="316"/>
        <v>9.4644313639337205E-3</v>
      </c>
    </row>
    <row r="6785" spans="2:9" x14ac:dyDescent="0.25">
      <c r="B6785" s="1">
        <v>45131</v>
      </c>
      <c r="C6785" s="2">
        <v>19672.349999999999</v>
      </c>
      <c r="D6785" s="2">
        <v>19748.45</v>
      </c>
      <c r="E6785" s="2">
        <v>19782.75</v>
      </c>
      <c r="F6785" s="2">
        <v>19658.3</v>
      </c>
      <c r="G6785" s="3">
        <f t="shared" si="317"/>
        <v>-3.679412509496105E-3</v>
      </c>
      <c r="H6785" s="2">
        <f t="shared" si="315"/>
        <v>124.45000000000073</v>
      </c>
      <c r="I6785" s="3">
        <f t="shared" si="316"/>
        <v>6.3017603913218872E-3</v>
      </c>
    </row>
    <row r="6786" spans="2:9" x14ac:dyDescent="0.25">
      <c r="B6786" s="1">
        <v>45132</v>
      </c>
      <c r="C6786" s="2">
        <v>19680.599999999999</v>
      </c>
      <c r="D6786" s="2">
        <v>19729.349999999999</v>
      </c>
      <c r="E6786" s="2">
        <v>19729.349999999999</v>
      </c>
      <c r="F6786" s="2">
        <v>19615.95</v>
      </c>
      <c r="G6786" s="3">
        <f t="shared" si="317"/>
        <v>4.1937033450500927E-4</v>
      </c>
      <c r="H6786" s="2">
        <f t="shared" si="315"/>
        <v>113.39999999999782</v>
      </c>
      <c r="I6786" s="3">
        <f t="shared" si="316"/>
        <v>5.7477818579931839E-3</v>
      </c>
    </row>
    <row r="6787" spans="2:9" x14ac:dyDescent="0.25">
      <c r="B6787" s="1">
        <v>45133</v>
      </c>
      <c r="C6787" s="2">
        <v>19778.3</v>
      </c>
      <c r="D6787" s="2">
        <v>19733.349999999999</v>
      </c>
      <c r="E6787" s="2">
        <v>19825.599999999999</v>
      </c>
      <c r="F6787" s="2">
        <v>19716.7</v>
      </c>
      <c r="G6787" s="3">
        <f t="shared" si="317"/>
        <v>4.9642795443227694E-3</v>
      </c>
      <c r="H6787" s="2">
        <f t="shared" si="315"/>
        <v>108.89999999999782</v>
      </c>
      <c r="I6787" s="3">
        <f t="shared" si="316"/>
        <v>5.5185764201211565E-3</v>
      </c>
    </row>
    <row r="6788" spans="2:9" x14ac:dyDescent="0.25">
      <c r="B6788" s="1">
        <v>45134</v>
      </c>
      <c r="C6788" s="2">
        <v>19659.900000000001</v>
      </c>
      <c r="D6788" s="2">
        <v>19850.900000000001</v>
      </c>
      <c r="E6788" s="2">
        <v>19867.55</v>
      </c>
      <c r="F6788" s="2">
        <v>19603.55</v>
      </c>
      <c r="G6788" s="3">
        <f t="shared" si="317"/>
        <v>-5.9863587871554769E-3</v>
      </c>
      <c r="H6788" s="2">
        <f t="shared" si="315"/>
        <v>264</v>
      </c>
      <c r="I6788" s="3">
        <f t="shared" si="316"/>
        <v>1.3299145126921196E-2</v>
      </c>
    </row>
    <row r="6789" spans="2:9" x14ac:dyDescent="0.25">
      <c r="B6789" s="1">
        <v>45135</v>
      </c>
      <c r="C6789" s="2">
        <v>19646.05</v>
      </c>
      <c r="D6789" s="2">
        <v>19659.75</v>
      </c>
      <c r="E6789" s="2">
        <v>19695.900000000001</v>
      </c>
      <c r="F6789" s="2">
        <v>19563.099999999999</v>
      </c>
      <c r="G6789" s="3">
        <f t="shared" si="317"/>
        <v>-7.044796769059003E-4</v>
      </c>
      <c r="H6789" s="2">
        <f t="shared" ref="H6789:H6852" si="318">E6789-F6789</f>
        <v>132.80000000000291</v>
      </c>
      <c r="I6789" s="3">
        <f t="shared" si="316"/>
        <v>6.7549180432102604E-3</v>
      </c>
    </row>
    <row r="6790" spans="2:9" x14ac:dyDescent="0.25">
      <c r="B6790" s="1">
        <v>45138</v>
      </c>
      <c r="C6790" s="2">
        <v>19753.8</v>
      </c>
      <c r="D6790" s="2">
        <v>19666.349999999999</v>
      </c>
      <c r="E6790" s="2">
        <v>19772.75</v>
      </c>
      <c r="F6790" s="2">
        <v>19597.599999999999</v>
      </c>
      <c r="G6790" s="3">
        <f t="shared" si="317"/>
        <v>5.4845630546598301E-3</v>
      </c>
      <c r="H6790" s="2">
        <f t="shared" si="318"/>
        <v>175.15000000000146</v>
      </c>
      <c r="I6790" s="3">
        <f t="shared" ref="I6790:I6853" si="319">H6790/D6790</f>
        <v>8.9060756063022092E-3</v>
      </c>
    </row>
    <row r="6791" spans="2:9" x14ac:dyDescent="0.25">
      <c r="B6791" s="1">
        <v>45139</v>
      </c>
      <c r="C6791" s="2">
        <v>19733.55</v>
      </c>
      <c r="D6791" s="2">
        <v>19784</v>
      </c>
      <c r="E6791" s="2">
        <v>19795.599999999999</v>
      </c>
      <c r="F6791" s="2">
        <v>19704.599999999999</v>
      </c>
      <c r="G6791" s="3">
        <f t="shared" ref="G6791:G6854" si="320">C6791/C6790-1</f>
        <v>-1.0251192175683155E-3</v>
      </c>
      <c r="H6791" s="2">
        <f t="shared" si="318"/>
        <v>91</v>
      </c>
      <c r="I6791" s="3">
        <f t="shared" si="319"/>
        <v>4.5996765062676914E-3</v>
      </c>
    </row>
    <row r="6792" spans="2:9" x14ac:dyDescent="0.25">
      <c r="B6792" s="1">
        <v>45140</v>
      </c>
      <c r="C6792" s="2">
        <v>19526.55</v>
      </c>
      <c r="D6792" s="2">
        <v>19655.400000000001</v>
      </c>
      <c r="E6792" s="2">
        <v>19678.25</v>
      </c>
      <c r="F6792" s="2">
        <v>19423.55</v>
      </c>
      <c r="G6792" s="3">
        <f t="shared" si="320"/>
        <v>-1.0489749690248296E-2</v>
      </c>
      <c r="H6792" s="2">
        <f t="shared" si="318"/>
        <v>254.70000000000073</v>
      </c>
      <c r="I6792" s="3">
        <f t="shared" si="319"/>
        <v>1.2958271009493611E-2</v>
      </c>
    </row>
    <row r="6793" spans="2:9" x14ac:dyDescent="0.25">
      <c r="B6793" s="1">
        <v>45141</v>
      </c>
      <c r="C6793" s="2">
        <v>19381.650000000001</v>
      </c>
      <c r="D6793" s="2">
        <v>19463.75</v>
      </c>
      <c r="E6793" s="2">
        <v>19537.650000000001</v>
      </c>
      <c r="F6793" s="2">
        <v>19296.45</v>
      </c>
      <c r="G6793" s="3">
        <f t="shared" si="320"/>
        <v>-7.4206657089961325E-3</v>
      </c>
      <c r="H6793" s="2">
        <f t="shared" si="318"/>
        <v>241.20000000000073</v>
      </c>
      <c r="I6793" s="3">
        <f t="shared" si="319"/>
        <v>1.2392267677092067E-2</v>
      </c>
    </row>
    <row r="6794" spans="2:9" x14ac:dyDescent="0.25">
      <c r="B6794" s="1">
        <v>45142</v>
      </c>
      <c r="C6794" s="2">
        <v>19517</v>
      </c>
      <c r="D6794" s="2">
        <v>19462.8</v>
      </c>
      <c r="E6794" s="2">
        <v>19538.849999999999</v>
      </c>
      <c r="F6794" s="2">
        <v>19436.45</v>
      </c>
      <c r="G6794" s="3">
        <f t="shared" si="320"/>
        <v>6.983409565233023E-3</v>
      </c>
      <c r="H6794" s="2">
        <f t="shared" si="318"/>
        <v>102.39999999999782</v>
      </c>
      <c r="I6794" s="3">
        <f t="shared" si="319"/>
        <v>5.2613190291221114E-3</v>
      </c>
    </row>
    <row r="6795" spans="2:9" x14ac:dyDescent="0.25">
      <c r="B6795" s="1">
        <v>45145</v>
      </c>
      <c r="C6795" s="2">
        <v>19597.3</v>
      </c>
      <c r="D6795" s="2">
        <v>19576.849999999999</v>
      </c>
      <c r="E6795" s="2">
        <v>19620.45</v>
      </c>
      <c r="F6795" s="2">
        <v>19524.8</v>
      </c>
      <c r="G6795" s="3">
        <f t="shared" si="320"/>
        <v>4.1143618383971958E-3</v>
      </c>
      <c r="H6795" s="2">
        <f t="shared" si="318"/>
        <v>95.650000000001455</v>
      </c>
      <c r="I6795" s="3">
        <f t="shared" si="319"/>
        <v>4.8858728549282171E-3</v>
      </c>
    </row>
    <row r="6796" spans="2:9" x14ac:dyDescent="0.25">
      <c r="B6796" s="1">
        <v>45146</v>
      </c>
      <c r="C6796" s="2">
        <v>19570.849999999999</v>
      </c>
      <c r="D6796" s="2">
        <v>19627.2</v>
      </c>
      <c r="E6796" s="2">
        <v>19634.400000000001</v>
      </c>
      <c r="F6796" s="2">
        <v>19533.099999999999</v>
      </c>
      <c r="G6796" s="3">
        <f t="shared" si="320"/>
        <v>-1.3496757206350463E-3</v>
      </c>
      <c r="H6796" s="2">
        <f t="shared" si="318"/>
        <v>101.30000000000291</v>
      </c>
      <c r="I6796" s="3">
        <f t="shared" si="319"/>
        <v>5.1612048585637739E-3</v>
      </c>
    </row>
    <row r="6797" spans="2:9" x14ac:dyDescent="0.25">
      <c r="B6797" s="1">
        <v>45147</v>
      </c>
      <c r="C6797" s="2">
        <v>19632.55</v>
      </c>
      <c r="D6797" s="2">
        <v>19578.8</v>
      </c>
      <c r="E6797" s="2">
        <v>19645.5</v>
      </c>
      <c r="F6797" s="2">
        <v>19467.5</v>
      </c>
      <c r="G6797" s="3">
        <f t="shared" si="320"/>
        <v>3.152647943242215E-3</v>
      </c>
      <c r="H6797" s="2">
        <f t="shared" si="318"/>
        <v>178</v>
      </c>
      <c r="I6797" s="3">
        <f t="shared" si="319"/>
        <v>9.0914662798537195E-3</v>
      </c>
    </row>
    <row r="6798" spans="2:9" x14ac:dyDescent="0.25">
      <c r="B6798" s="1">
        <v>45148</v>
      </c>
      <c r="C6798" s="2">
        <v>19543.099999999999</v>
      </c>
      <c r="D6798" s="2">
        <v>19605.55</v>
      </c>
      <c r="E6798" s="2">
        <v>19623.599999999999</v>
      </c>
      <c r="F6798" s="2">
        <v>19495.400000000001</v>
      </c>
      <c r="G6798" s="3">
        <f t="shared" si="320"/>
        <v>-4.5562089489139534E-3</v>
      </c>
      <c r="H6798" s="2">
        <f t="shared" si="318"/>
        <v>128.19999999999709</v>
      </c>
      <c r="I6798" s="3">
        <f t="shared" si="319"/>
        <v>6.5389647319252509E-3</v>
      </c>
    </row>
    <row r="6799" spans="2:9" x14ac:dyDescent="0.25">
      <c r="B6799" s="1">
        <v>45149</v>
      </c>
      <c r="C6799" s="2">
        <v>19428.3</v>
      </c>
      <c r="D6799" s="2">
        <v>19554.25</v>
      </c>
      <c r="E6799" s="2">
        <v>19557.75</v>
      </c>
      <c r="F6799" s="2">
        <v>19412.75</v>
      </c>
      <c r="G6799" s="3">
        <f t="shared" si="320"/>
        <v>-5.8741960077981492E-3</v>
      </c>
      <c r="H6799" s="2">
        <f t="shared" si="318"/>
        <v>145</v>
      </c>
      <c r="I6799" s="3">
        <f t="shared" si="319"/>
        <v>7.4152677806614926E-3</v>
      </c>
    </row>
    <row r="6800" spans="2:9" x14ac:dyDescent="0.25">
      <c r="B6800" s="1">
        <v>45152</v>
      </c>
      <c r="C6800" s="2">
        <v>19434.55</v>
      </c>
      <c r="D6800" s="2">
        <v>19383.95</v>
      </c>
      <c r="E6800" s="2">
        <v>19465.849999999999</v>
      </c>
      <c r="F6800" s="2">
        <v>19257.900000000001</v>
      </c>
      <c r="G6800" s="3">
        <f t="shared" si="320"/>
        <v>3.2169567074835648E-4</v>
      </c>
      <c r="H6800" s="2">
        <f t="shared" si="318"/>
        <v>207.94999999999709</v>
      </c>
      <c r="I6800" s="3">
        <f t="shared" si="319"/>
        <v>1.0727947606137917E-2</v>
      </c>
    </row>
    <row r="6801" spans="2:9" x14ac:dyDescent="0.25">
      <c r="B6801" s="1">
        <v>45154</v>
      </c>
      <c r="C6801" s="2">
        <v>19465</v>
      </c>
      <c r="D6801" s="2">
        <v>19369</v>
      </c>
      <c r="E6801" s="2">
        <v>19482.75</v>
      </c>
      <c r="F6801" s="2">
        <v>19317.2</v>
      </c>
      <c r="G6801" s="3">
        <f t="shared" si="320"/>
        <v>1.5667972759854099E-3</v>
      </c>
      <c r="H6801" s="2">
        <f t="shared" si="318"/>
        <v>165.54999999999927</v>
      </c>
      <c r="I6801" s="3">
        <f t="shared" si="319"/>
        <v>8.5471629924105154E-3</v>
      </c>
    </row>
    <row r="6802" spans="2:9" x14ac:dyDescent="0.25">
      <c r="B6802" s="1">
        <v>45155</v>
      </c>
      <c r="C6802" s="2">
        <v>19365.25</v>
      </c>
      <c r="D6802" s="2">
        <v>19450.55</v>
      </c>
      <c r="E6802" s="2">
        <v>19461.55</v>
      </c>
      <c r="F6802" s="2">
        <v>19326.25</v>
      </c>
      <c r="G6802" s="3">
        <f t="shared" si="320"/>
        <v>-5.1245825841254034E-3</v>
      </c>
      <c r="H6802" s="2">
        <f t="shared" si="318"/>
        <v>135.29999999999927</v>
      </c>
      <c r="I6802" s="3">
        <f t="shared" si="319"/>
        <v>6.9561014984151747E-3</v>
      </c>
    </row>
    <row r="6803" spans="2:9" x14ac:dyDescent="0.25">
      <c r="B6803" s="1">
        <v>45156</v>
      </c>
      <c r="C6803" s="2">
        <v>19310.150000000001</v>
      </c>
      <c r="D6803" s="2">
        <v>19301.75</v>
      </c>
      <c r="E6803" s="2">
        <v>19373.8</v>
      </c>
      <c r="F6803" s="2">
        <v>19253.599999999999</v>
      </c>
      <c r="G6803" s="3">
        <f t="shared" si="320"/>
        <v>-2.8453027975366973E-3</v>
      </c>
      <c r="H6803" s="2">
        <f t="shared" si="318"/>
        <v>120.20000000000073</v>
      </c>
      <c r="I6803" s="3">
        <f t="shared" si="319"/>
        <v>6.2274146126646921E-3</v>
      </c>
    </row>
    <row r="6804" spans="2:9" x14ac:dyDescent="0.25">
      <c r="B6804" s="1">
        <v>45159</v>
      </c>
      <c r="C6804" s="2">
        <v>19393.599999999999</v>
      </c>
      <c r="D6804" s="2">
        <v>19320.650000000001</v>
      </c>
      <c r="E6804" s="2">
        <v>19425.95</v>
      </c>
      <c r="F6804" s="2">
        <v>19296.3</v>
      </c>
      <c r="G6804" s="3">
        <f t="shared" si="320"/>
        <v>4.3215614586109563E-3</v>
      </c>
      <c r="H6804" s="2">
        <f t="shared" si="318"/>
        <v>129.65000000000146</v>
      </c>
      <c r="I6804" s="3">
        <f t="shared" si="319"/>
        <v>6.7104367606680652E-3</v>
      </c>
    </row>
    <row r="6805" spans="2:9" x14ac:dyDescent="0.25">
      <c r="B6805" s="1">
        <v>45160</v>
      </c>
      <c r="C6805" s="2">
        <v>19396.45</v>
      </c>
      <c r="D6805" s="2">
        <v>19417.099999999999</v>
      </c>
      <c r="E6805" s="2">
        <v>19443.5</v>
      </c>
      <c r="F6805" s="2">
        <v>19381.3</v>
      </c>
      <c r="G6805" s="3">
        <f t="shared" si="320"/>
        <v>1.4695569672484865E-4</v>
      </c>
      <c r="H6805" s="2">
        <f t="shared" si="318"/>
        <v>62.200000000000728</v>
      </c>
      <c r="I6805" s="3">
        <f t="shared" si="319"/>
        <v>3.2033619850544487E-3</v>
      </c>
    </row>
    <row r="6806" spans="2:9" x14ac:dyDescent="0.25">
      <c r="B6806" s="1">
        <v>45161</v>
      </c>
      <c r="C6806" s="2">
        <v>19444</v>
      </c>
      <c r="D6806" s="2">
        <v>19439.2</v>
      </c>
      <c r="E6806" s="2">
        <v>19472.05</v>
      </c>
      <c r="F6806" s="2">
        <v>19366.599999999999</v>
      </c>
      <c r="G6806" s="3">
        <f t="shared" si="320"/>
        <v>2.4514795233148146E-3</v>
      </c>
      <c r="H6806" s="2">
        <f t="shared" si="318"/>
        <v>105.45000000000073</v>
      </c>
      <c r="I6806" s="3">
        <f t="shared" si="319"/>
        <v>5.4246059508622126E-3</v>
      </c>
    </row>
    <row r="6807" spans="2:9" x14ac:dyDescent="0.25">
      <c r="B6807" s="1">
        <v>45162</v>
      </c>
      <c r="C6807" s="2">
        <v>19386.7</v>
      </c>
      <c r="D6807" s="2">
        <v>19535.150000000001</v>
      </c>
      <c r="E6807" s="2">
        <v>19584.45</v>
      </c>
      <c r="F6807" s="2">
        <v>19369</v>
      </c>
      <c r="G6807" s="3">
        <f t="shared" si="320"/>
        <v>-2.9469245011314316E-3</v>
      </c>
      <c r="H6807" s="2">
        <f t="shared" si="318"/>
        <v>215.45000000000073</v>
      </c>
      <c r="I6807" s="3">
        <f t="shared" si="319"/>
        <v>1.1028837761675785E-2</v>
      </c>
    </row>
    <row r="6808" spans="2:9" x14ac:dyDescent="0.25">
      <c r="B6808" s="1">
        <v>45163</v>
      </c>
      <c r="C6808" s="2">
        <v>19265.8</v>
      </c>
      <c r="D6808" s="2">
        <v>19297.400000000001</v>
      </c>
      <c r="E6808" s="2">
        <v>19339.55</v>
      </c>
      <c r="F6808" s="2">
        <v>19229.7</v>
      </c>
      <c r="G6808" s="3">
        <f t="shared" si="320"/>
        <v>-6.2362341192674364E-3</v>
      </c>
      <c r="H6808" s="2">
        <f t="shared" si="318"/>
        <v>109.84999999999854</v>
      </c>
      <c r="I6808" s="3">
        <f t="shared" si="319"/>
        <v>5.6924767067065268E-3</v>
      </c>
    </row>
    <row r="6809" spans="2:9" x14ac:dyDescent="0.25">
      <c r="B6809" s="1">
        <v>45166</v>
      </c>
      <c r="C6809" s="2">
        <v>19306.05</v>
      </c>
      <c r="D6809" s="2">
        <v>19298.349999999999</v>
      </c>
      <c r="E6809" s="2">
        <v>19366.849999999999</v>
      </c>
      <c r="F6809" s="2">
        <v>19249.7</v>
      </c>
      <c r="G6809" s="3">
        <f t="shared" si="320"/>
        <v>2.0891943236200916E-3</v>
      </c>
      <c r="H6809" s="2">
        <f t="shared" si="318"/>
        <v>117.14999999999782</v>
      </c>
      <c r="I6809" s="3">
        <f t="shared" si="319"/>
        <v>6.0704671642911349E-3</v>
      </c>
    </row>
    <row r="6810" spans="2:9" x14ac:dyDescent="0.25">
      <c r="B6810" s="1">
        <v>45167</v>
      </c>
      <c r="C6810" s="2">
        <v>19342.650000000001</v>
      </c>
      <c r="D6810" s="2">
        <v>19374.849999999999</v>
      </c>
      <c r="E6810" s="2">
        <v>19377.900000000001</v>
      </c>
      <c r="F6810" s="2">
        <v>19309.099999999999</v>
      </c>
      <c r="G6810" s="3">
        <f t="shared" si="320"/>
        <v>1.8957787843707496E-3</v>
      </c>
      <c r="H6810" s="2">
        <f t="shared" si="318"/>
        <v>68.80000000000291</v>
      </c>
      <c r="I6810" s="3">
        <f t="shared" si="319"/>
        <v>3.5509952335116357E-3</v>
      </c>
    </row>
    <row r="6811" spans="2:9" x14ac:dyDescent="0.25">
      <c r="B6811" s="1">
        <v>45168</v>
      </c>
      <c r="C6811" s="2">
        <v>19347.45</v>
      </c>
      <c r="D6811" s="2">
        <v>19433.45</v>
      </c>
      <c r="E6811" s="2">
        <v>19452.8</v>
      </c>
      <c r="F6811" s="2">
        <v>19334.75</v>
      </c>
      <c r="G6811" s="3">
        <f t="shared" si="320"/>
        <v>2.4815627641494586E-4</v>
      </c>
      <c r="H6811" s="2">
        <f t="shared" si="318"/>
        <v>118.04999999999927</v>
      </c>
      <c r="I6811" s="3">
        <f t="shared" si="319"/>
        <v>6.074577596875453E-3</v>
      </c>
    </row>
    <row r="6812" spans="2:9" x14ac:dyDescent="0.25">
      <c r="B6812" s="1">
        <v>45169</v>
      </c>
      <c r="C6812" s="2">
        <v>19253.8</v>
      </c>
      <c r="D6812" s="2">
        <v>19375.55</v>
      </c>
      <c r="E6812" s="2">
        <v>19388.2</v>
      </c>
      <c r="F6812" s="2">
        <v>19223.650000000001</v>
      </c>
      <c r="G6812" s="3">
        <f t="shared" si="320"/>
        <v>-4.840431167931758E-3</v>
      </c>
      <c r="H6812" s="2">
        <f t="shared" si="318"/>
        <v>164.54999999999927</v>
      </c>
      <c r="I6812" s="3">
        <f t="shared" si="319"/>
        <v>8.492662143784269E-3</v>
      </c>
    </row>
    <row r="6813" spans="2:9" x14ac:dyDescent="0.25">
      <c r="B6813" s="1">
        <v>45170</v>
      </c>
      <c r="C6813" s="2">
        <v>19435.3</v>
      </c>
      <c r="D6813" s="2">
        <v>19258.150000000001</v>
      </c>
      <c r="E6813" s="2">
        <v>19458.55</v>
      </c>
      <c r="F6813" s="2">
        <v>19255.7</v>
      </c>
      <c r="G6813" s="3">
        <f t="shared" si="320"/>
        <v>9.4267105714196386E-3</v>
      </c>
      <c r="H6813" s="2">
        <f t="shared" si="318"/>
        <v>202.84999999999854</v>
      </c>
      <c r="I6813" s="3">
        <f t="shared" si="319"/>
        <v>1.0533202825816526E-2</v>
      </c>
    </row>
    <row r="6814" spans="2:9" x14ac:dyDescent="0.25">
      <c r="B6814" s="1">
        <v>45173</v>
      </c>
      <c r="C6814" s="2">
        <v>19528.8</v>
      </c>
      <c r="D6814" s="2">
        <v>19525.05</v>
      </c>
      <c r="E6814" s="2">
        <v>19545.150000000001</v>
      </c>
      <c r="F6814" s="2">
        <v>19432.849999999999</v>
      </c>
      <c r="G6814" s="3">
        <f t="shared" si="320"/>
        <v>4.8108338950261231E-3</v>
      </c>
      <c r="H6814" s="2">
        <f t="shared" si="318"/>
        <v>112.30000000000291</v>
      </c>
      <c r="I6814" s="3">
        <f t="shared" si="319"/>
        <v>5.7515857833912287E-3</v>
      </c>
    </row>
    <row r="6815" spans="2:9" x14ac:dyDescent="0.25">
      <c r="B6815" s="1">
        <v>45174</v>
      </c>
      <c r="C6815" s="2">
        <v>19574.900000000001</v>
      </c>
      <c r="D6815" s="2">
        <v>19564.650000000001</v>
      </c>
      <c r="E6815" s="2">
        <v>19587.05</v>
      </c>
      <c r="F6815" s="2">
        <v>19525.75</v>
      </c>
      <c r="G6815" s="3">
        <f t="shared" si="320"/>
        <v>2.3606161156857208E-3</v>
      </c>
      <c r="H6815" s="2">
        <f t="shared" si="318"/>
        <v>61.299999999999272</v>
      </c>
      <c r="I6815" s="3">
        <f t="shared" si="319"/>
        <v>3.1332019739683187E-3</v>
      </c>
    </row>
    <row r="6816" spans="2:9" x14ac:dyDescent="0.25">
      <c r="B6816" s="1">
        <v>45175</v>
      </c>
      <c r="C6816" s="2">
        <v>19611.05</v>
      </c>
      <c r="D6816" s="2">
        <v>19581.2</v>
      </c>
      <c r="E6816" s="2">
        <v>19636.45</v>
      </c>
      <c r="F6816" s="2">
        <v>19491.5</v>
      </c>
      <c r="G6816" s="3">
        <f t="shared" si="320"/>
        <v>1.8467527292602703E-3</v>
      </c>
      <c r="H6816" s="2">
        <f t="shared" si="318"/>
        <v>144.95000000000073</v>
      </c>
      <c r="I6816" s="3">
        <f t="shared" si="319"/>
        <v>7.4025085285886827E-3</v>
      </c>
    </row>
    <row r="6817" spans="2:9" x14ac:dyDescent="0.25">
      <c r="B6817" s="1">
        <v>45176</v>
      </c>
      <c r="C6817" s="2">
        <v>19727.05</v>
      </c>
      <c r="D6817" s="2">
        <v>19598.650000000001</v>
      </c>
      <c r="E6817" s="2">
        <v>19737</v>
      </c>
      <c r="F6817" s="2">
        <v>19550.05</v>
      </c>
      <c r="G6817" s="3">
        <f t="shared" si="320"/>
        <v>5.91503259641879E-3</v>
      </c>
      <c r="H6817" s="2">
        <f t="shared" si="318"/>
        <v>186.95000000000073</v>
      </c>
      <c r="I6817" s="3">
        <f t="shared" si="319"/>
        <v>9.5389223237315173E-3</v>
      </c>
    </row>
    <row r="6818" spans="2:9" x14ac:dyDescent="0.25">
      <c r="B6818" s="1">
        <v>45177</v>
      </c>
      <c r="C6818" s="2">
        <v>19819.95</v>
      </c>
      <c r="D6818" s="2">
        <v>19774.8</v>
      </c>
      <c r="E6818" s="2">
        <v>19867.150000000001</v>
      </c>
      <c r="F6818" s="2">
        <v>19727.05</v>
      </c>
      <c r="G6818" s="3">
        <f t="shared" si="320"/>
        <v>4.7092697590365162E-3</v>
      </c>
      <c r="H6818" s="2">
        <f t="shared" si="318"/>
        <v>140.10000000000218</v>
      </c>
      <c r="I6818" s="3">
        <f t="shared" si="319"/>
        <v>7.0847745615633126E-3</v>
      </c>
    </row>
    <row r="6819" spans="2:9" x14ac:dyDescent="0.25">
      <c r="B6819" s="1">
        <v>45180</v>
      </c>
      <c r="C6819" s="2">
        <v>19996.349999999999</v>
      </c>
      <c r="D6819" s="2">
        <v>19890</v>
      </c>
      <c r="E6819" s="2">
        <v>20008.150000000001</v>
      </c>
      <c r="F6819" s="2">
        <v>19865.349999999999</v>
      </c>
      <c r="G6819" s="3">
        <f t="shared" si="320"/>
        <v>8.9001233605532359E-3</v>
      </c>
      <c r="H6819" s="2">
        <f t="shared" si="318"/>
        <v>142.80000000000291</v>
      </c>
      <c r="I6819" s="3">
        <f t="shared" si="319"/>
        <v>7.1794871794873261E-3</v>
      </c>
    </row>
    <row r="6820" spans="2:9" x14ac:dyDescent="0.25">
      <c r="B6820" s="1">
        <v>45181</v>
      </c>
      <c r="C6820" s="2">
        <v>19993.2</v>
      </c>
      <c r="D6820" s="2">
        <v>20110.150000000001</v>
      </c>
      <c r="E6820" s="2">
        <v>20110.349999999999</v>
      </c>
      <c r="F6820" s="2">
        <v>19914.650000000001</v>
      </c>
      <c r="G6820" s="3">
        <f t="shared" si="320"/>
        <v>-1.5752874899654934E-4</v>
      </c>
      <c r="H6820" s="2">
        <f t="shared" si="318"/>
        <v>195.69999999999709</v>
      </c>
      <c r="I6820" s="3">
        <f t="shared" si="319"/>
        <v>9.7314042908678983E-3</v>
      </c>
    </row>
    <row r="6821" spans="2:9" x14ac:dyDescent="0.25">
      <c r="B6821" s="1">
        <v>45182</v>
      </c>
      <c r="C6821" s="2">
        <v>20070</v>
      </c>
      <c r="D6821" s="2">
        <v>19989.5</v>
      </c>
      <c r="E6821" s="2">
        <v>20096.900000000001</v>
      </c>
      <c r="F6821" s="2">
        <v>19944.099999999999</v>
      </c>
      <c r="G6821" s="3">
        <f t="shared" si="320"/>
        <v>3.8413060440549707E-3</v>
      </c>
      <c r="H6821" s="2">
        <f t="shared" si="318"/>
        <v>152.80000000000291</v>
      </c>
      <c r="I6821" s="3">
        <f t="shared" si="319"/>
        <v>7.644013106881258E-3</v>
      </c>
    </row>
    <row r="6822" spans="2:9" x14ac:dyDescent="0.25">
      <c r="B6822" s="1">
        <v>45183</v>
      </c>
      <c r="C6822" s="2">
        <v>20103.099999999999</v>
      </c>
      <c r="D6822" s="2">
        <v>20127.95</v>
      </c>
      <c r="E6822" s="2">
        <v>20167.650000000001</v>
      </c>
      <c r="F6822" s="2">
        <v>20043.45</v>
      </c>
      <c r="G6822" s="3">
        <f t="shared" si="320"/>
        <v>1.6492277030393243E-3</v>
      </c>
      <c r="H6822" s="2">
        <f t="shared" si="318"/>
        <v>124.20000000000073</v>
      </c>
      <c r="I6822" s="3">
        <f t="shared" si="319"/>
        <v>6.1705240722478303E-3</v>
      </c>
    </row>
    <row r="6823" spans="2:9" x14ac:dyDescent="0.25">
      <c r="B6823" s="1">
        <v>45184</v>
      </c>
      <c r="C6823" s="2">
        <v>20192.349999999999</v>
      </c>
      <c r="D6823" s="2">
        <v>20156.45</v>
      </c>
      <c r="E6823" s="2">
        <v>20222.45</v>
      </c>
      <c r="F6823" s="2">
        <v>20129.7</v>
      </c>
      <c r="G6823" s="3">
        <f t="shared" si="320"/>
        <v>4.4396137909079592E-3</v>
      </c>
      <c r="H6823" s="2">
        <f t="shared" si="318"/>
        <v>92.75</v>
      </c>
      <c r="I6823" s="3">
        <f t="shared" si="319"/>
        <v>4.6015047292553993E-3</v>
      </c>
    </row>
    <row r="6824" spans="2:9" x14ac:dyDescent="0.25">
      <c r="B6824" s="1">
        <v>45187</v>
      </c>
      <c r="C6824" s="2">
        <v>20133.3</v>
      </c>
      <c r="D6824" s="2">
        <v>20155.95</v>
      </c>
      <c r="E6824" s="2">
        <v>20195.349999999999</v>
      </c>
      <c r="F6824" s="2">
        <v>20115.7</v>
      </c>
      <c r="G6824" s="3">
        <f t="shared" si="320"/>
        <v>-2.9243748251194246E-3</v>
      </c>
      <c r="H6824" s="2">
        <f t="shared" si="318"/>
        <v>79.649999999997817</v>
      </c>
      <c r="I6824" s="3">
        <f t="shared" si="319"/>
        <v>3.9516867227790209E-3</v>
      </c>
    </row>
    <row r="6825" spans="2:9" x14ac:dyDescent="0.25">
      <c r="B6825" s="1">
        <v>45189</v>
      </c>
      <c r="C6825" s="2">
        <v>19901.400000000001</v>
      </c>
      <c r="D6825" s="2">
        <v>19980.75</v>
      </c>
      <c r="E6825" s="2">
        <v>20050.650000000001</v>
      </c>
      <c r="F6825" s="2">
        <v>19878.849999999999</v>
      </c>
      <c r="G6825" s="3">
        <f t="shared" si="320"/>
        <v>-1.1518230990448575E-2</v>
      </c>
      <c r="H6825" s="2">
        <f t="shared" si="318"/>
        <v>171.80000000000291</v>
      </c>
      <c r="I6825" s="3">
        <f t="shared" si="319"/>
        <v>8.5982758404966227E-3</v>
      </c>
    </row>
    <row r="6826" spans="2:9" x14ac:dyDescent="0.25">
      <c r="B6826" s="1">
        <v>45190</v>
      </c>
      <c r="C6826" s="2">
        <v>19742.349999999999</v>
      </c>
      <c r="D6826" s="2">
        <v>19840.55</v>
      </c>
      <c r="E6826" s="2">
        <v>19848.75</v>
      </c>
      <c r="F6826" s="2">
        <v>19709.95</v>
      </c>
      <c r="G6826" s="3">
        <f t="shared" si="320"/>
        <v>-7.9919000673320806E-3</v>
      </c>
      <c r="H6826" s="2">
        <f t="shared" si="318"/>
        <v>138.79999999999927</v>
      </c>
      <c r="I6826" s="3">
        <f t="shared" si="319"/>
        <v>6.99577380667367E-3</v>
      </c>
    </row>
    <row r="6827" spans="2:9" x14ac:dyDescent="0.25">
      <c r="B6827" s="1">
        <v>45191</v>
      </c>
      <c r="C6827" s="2">
        <v>19674.25</v>
      </c>
      <c r="D6827" s="2">
        <v>19744.849999999999</v>
      </c>
      <c r="E6827" s="2">
        <v>19798.650000000001</v>
      </c>
      <c r="F6827" s="2">
        <v>19657.5</v>
      </c>
      <c r="G6827" s="3">
        <f t="shared" si="320"/>
        <v>-3.4494373770092013E-3</v>
      </c>
      <c r="H6827" s="2">
        <f t="shared" si="318"/>
        <v>141.15000000000146</v>
      </c>
      <c r="I6827" s="3">
        <f t="shared" si="319"/>
        <v>7.1486995343090203E-3</v>
      </c>
    </row>
    <row r="6828" spans="2:9" x14ac:dyDescent="0.25">
      <c r="B6828" s="1">
        <v>45194</v>
      </c>
      <c r="C6828" s="2">
        <v>19674.55</v>
      </c>
      <c r="D6828" s="2">
        <v>19678.2</v>
      </c>
      <c r="E6828" s="2">
        <v>19734.150000000001</v>
      </c>
      <c r="F6828" s="2">
        <v>19601.55</v>
      </c>
      <c r="G6828" s="3">
        <f t="shared" si="320"/>
        <v>1.5248357624786379E-5</v>
      </c>
      <c r="H6828" s="2">
        <f t="shared" si="318"/>
        <v>132.60000000000218</v>
      </c>
      <c r="I6828" s="3">
        <f t="shared" si="319"/>
        <v>6.7384211970608178E-3</v>
      </c>
    </row>
    <row r="6829" spans="2:9" x14ac:dyDescent="0.25">
      <c r="B6829" s="1">
        <v>45195</v>
      </c>
      <c r="C6829" s="2">
        <v>19664.7</v>
      </c>
      <c r="D6829" s="2">
        <v>19682.8</v>
      </c>
      <c r="E6829" s="2">
        <v>19699.349999999999</v>
      </c>
      <c r="F6829" s="2">
        <v>19637.45</v>
      </c>
      <c r="G6829" s="3">
        <f t="shared" si="320"/>
        <v>-5.0064677464023433E-4</v>
      </c>
      <c r="H6829" s="2">
        <f t="shared" si="318"/>
        <v>61.899999999997817</v>
      </c>
      <c r="I6829" s="3">
        <f t="shared" si="319"/>
        <v>3.1448777612940139E-3</v>
      </c>
    </row>
    <row r="6830" spans="2:9" x14ac:dyDescent="0.25">
      <c r="B6830" s="1">
        <v>45196</v>
      </c>
      <c r="C6830" s="2">
        <v>19716.45</v>
      </c>
      <c r="D6830" s="2">
        <v>19637.05</v>
      </c>
      <c r="E6830" s="2">
        <v>19730.7</v>
      </c>
      <c r="F6830" s="2">
        <v>19554</v>
      </c>
      <c r="G6830" s="3">
        <f t="shared" si="320"/>
        <v>2.6316190941126916E-3</v>
      </c>
      <c r="H6830" s="2">
        <f t="shared" si="318"/>
        <v>176.70000000000073</v>
      </c>
      <c r="I6830" s="3">
        <f t="shared" si="319"/>
        <v>8.9982965873183982E-3</v>
      </c>
    </row>
    <row r="6831" spans="2:9" x14ac:dyDescent="0.25">
      <c r="B6831" s="1">
        <v>45197</v>
      </c>
      <c r="C6831" s="2">
        <v>19523.55</v>
      </c>
      <c r="D6831" s="2">
        <v>19761.8</v>
      </c>
      <c r="E6831" s="2">
        <v>19766.650000000001</v>
      </c>
      <c r="F6831" s="2">
        <v>19492.099999999999</v>
      </c>
      <c r="G6831" s="3">
        <f t="shared" si="320"/>
        <v>-9.7837085276508695E-3</v>
      </c>
      <c r="H6831" s="2">
        <f t="shared" si="318"/>
        <v>274.55000000000291</v>
      </c>
      <c r="I6831" s="3">
        <f t="shared" si="319"/>
        <v>1.3892965215719364E-2</v>
      </c>
    </row>
    <row r="6832" spans="2:9" x14ac:dyDescent="0.25">
      <c r="B6832" s="1">
        <v>45198</v>
      </c>
      <c r="C6832" s="2">
        <v>19638.3</v>
      </c>
      <c r="D6832" s="2">
        <v>19581.2</v>
      </c>
      <c r="E6832" s="2">
        <v>19726.25</v>
      </c>
      <c r="F6832" s="2">
        <v>19551.05</v>
      </c>
      <c r="G6832" s="3">
        <f t="shared" si="320"/>
        <v>5.8775171523621772E-3</v>
      </c>
      <c r="H6832" s="2">
        <f t="shared" si="318"/>
        <v>175.20000000000073</v>
      </c>
      <c r="I6832" s="3">
        <f t="shared" si="319"/>
        <v>8.9473576696014918E-3</v>
      </c>
    </row>
    <row r="6833" spans="2:9" x14ac:dyDescent="0.25">
      <c r="B6833" s="1">
        <v>45202</v>
      </c>
      <c r="C6833" s="2">
        <v>19528.75</v>
      </c>
      <c r="D6833" s="2">
        <v>19622.400000000001</v>
      </c>
      <c r="E6833" s="2">
        <v>19623.2</v>
      </c>
      <c r="F6833" s="2">
        <v>19479.650000000001</v>
      </c>
      <c r="G6833" s="3">
        <f t="shared" si="320"/>
        <v>-5.5783850944327584E-3</v>
      </c>
      <c r="H6833" s="2">
        <f t="shared" si="318"/>
        <v>143.54999999999927</v>
      </c>
      <c r="I6833" s="3">
        <f t="shared" si="319"/>
        <v>7.3156188845400795E-3</v>
      </c>
    </row>
    <row r="6834" spans="2:9" x14ac:dyDescent="0.25">
      <c r="B6834" s="1">
        <v>45203</v>
      </c>
      <c r="C6834" s="2">
        <v>19436.099999999999</v>
      </c>
      <c r="D6834" s="2">
        <v>19446.3</v>
      </c>
      <c r="E6834" s="2">
        <v>19457.8</v>
      </c>
      <c r="F6834" s="2">
        <v>19333.599999999999</v>
      </c>
      <c r="G6834" s="3">
        <f t="shared" si="320"/>
        <v>-4.7442872687705195E-3</v>
      </c>
      <c r="H6834" s="2">
        <f t="shared" si="318"/>
        <v>124.20000000000073</v>
      </c>
      <c r="I6834" s="3">
        <f t="shared" si="319"/>
        <v>6.3868190864072201E-3</v>
      </c>
    </row>
    <row r="6835" spans="2:9" x14ac:dyDescent="0.25">
      <c r="B6835" s="1">
        <v>45204</v>
      </c>
      <c r="C6835" s="2">
        <v>19545.75</v>
      </c>
      <c r="D6835" s="2">
        <v>19521.849999999999</v>
      </c>
      <c r="E6835" s="2">
        <v>19576.95</v>
      </c>
      <c r="F6835" s="2">
        <v>19487.3</v>
      </c>
      <c r="G6835" s="3">
        <f t="shared" si="320"/>
        <v>5.6415638939910639E-3</v>
      </c>
      <c r="H6835" s="2">
        <f t="shared" si="318"/>
        <v>89.650000000001455</v>
      </c>
      <c r="I6835" s="3">
        <f t="shared" si="319"/>
        <v>4.5922901774166618E-3</v>
      </c>
    </row>
    <row r="6836" spans="2:9" x14ac:dyDescent="0.25">
      <c r="B6836" s="1">
        <v>45205</v>
      </c>
      <c r="C6836" s="2">
        <v>19653.5</v>
      </c>
      <c r="D6836" s="2">
        <v>19621.2</v>
      </c>
      <c r="E6836" s="2">
        <v>19675.75</v>
      </c>
      <c r="F6836" s="2">
        <v>19589.400000000001</v>
      </c>
      <c r="G6836" s="3">
        <f t="shared" si="320"/>
        <v>5.5127073660514725E-3</v>
      </c>
      <c r="H6836" s="2">
        <f t="shared" si="318"/>
        <v>86.349999999998545</v>
      </c>
      <c r="I6836" s="3">
        <f t="shared" si="319"/>
        <v>4.4008521395224832E-3</v>
      </c>
    </row>
    <row r="6837" spans="2:9" x14ac:dyDescent="0.25">
      <c r="B6837" s="1">
        <v>45208</v>
      </c>
      <c r="C6837" s="2">
        <v>19512.349999999999</v>
      </c>
      <c r="D6837" s="2">
        <v>19539.45</v>
      </c>
      <c r="E6837" s="2">
        <v>19588.95</v>
      </c>
      <c r="F6837" s="2">
        <v>19480.5</v>
      </c>
      <c r="G6837" s="3">
        <f t="shared" si="320"/>
        <v>-7.1819268832524763E-3</v>
      </c>
      <c r="H6837" s="2">
        <f t="shared" si="318"/>
        <v>108.45000000000073</v>
      </c>
      <c r="I6837" s="3">
        <f t="shared" si="319"/>
        <v>5.5503097579512588E-3</v>
      </c>
    </row>
    <row r="6838" spans="2:9" x14ac:dyDescent="0.25">
      <c r="B6838" s="1">
        <v>45209</v>
      </c>
      <c r="C6838" s="2">
        <v>19689.849999999999</v>
      </c>
      <c r="D6838" s="2">
        <v>19565.599999999999</v>
      </c>
      <c r="E6838" s="2">
        <v>19717.8</v>
      </c>
      <c r="F6838" s="2">
        <v>19565.45</v>
      </c>
      <c r="G6838" s="3">
        <f t="shared" si="320"/>
        <v>9.096802794127834E-3</v>
      </c>
      <c r="H6838" s="2">
        <f t="shared" si="318"/>
        <v>152.34999999999854</v>
      </c>
      <c r="I6838" s="3">
        <f t="shared" si="319"/>
        <v>7.7866255059900313E-3</v>
      </c>
    </row>
    <row r="6839" spans="2:9" x14ac:dyDescent="0.25">
      <c r="B6839" s="1">
        <v>45210</v>
      </c>
      <c r="C6839" s="2">
        <v>19811.349999999999</v>
      </c>
      <c r="D6839" s="2">
        <v>19767</v>
      </c>
      <c r="E6839" s="2">
        <v>19839.2</v>
      </c>
      <c r="F6839" s="2">
        <v>19756.95</v>
      </c>
      <c r="G6839" s="3">
        <f t="shared" si="320"/>
        <v>6.1706920062876147E-3</v>
      </c>
      <c r="H6839" s="2">
        <f t="shared" si="318"/>
        <v>82.25</v>
      </c>
      <c r="I6839" s="3">
        <f t="shared" si="319"/>
        <v>4.1609753629787017E-3</v>
      </c>
    </row>
    <row r="6840" spans="2:9" x14ac:dyDescent="0.25">
      <c r="B6840" s="1">
        <v>45211</v>
      </c>
      <c r="C6840" s="2">
        <v>19794</v>
      </c>
      <c r="D6840" s="2">
        <v>19822.7</v>
      </c>
      <c r="E6840" s="2">
        <v>19843.3</v>
      </c>
      <c r="F6840" s="2">
        <v>19772.650000000001</v>
      </c>
      <c r="G6840" s="3">
        <f t="shared" si="320"/>
        <v>-8.7576061197236488E-4</v>
      </c>
      <c r="H6840" s="2">
        <f t="shared" si="318"/>
        <v>70.649999999997817</v>
      </c>
      <c r="I6840" s="3">
        <f t="shared" si="319"/>
        <v>3.5640957084553475E-3</v>
      </c>
    </row>
    <row r="6841" spans="2:9" x14ac:dyDescent="0.25">
      <c r="B6841" s="1">
        <v>45212</v>
      </c>
      <c r="C6841" s="2">
        <v>19751.05</v>
      </c>
      <c r="D6841" s="2">
        <v>19654.55</v>
      </c>
      <c r="E6841" s="2">
        <v>19805.400000000001</v>
      </c>
      <c r="F6841" s="2">
        <v>19635.3</v>
      </c>
      <c r="G6841" s="3">
        <f t="shared" si="320"/>
        <v>-2.1698494493280762E-3</v>
      </c>
      <c r="H6841" s="2">
        <f t="shared" si="318"/>
        <v>170.10000000000218</v>
      </c>
      <c r="I6841" s="3">
        <f t="shared" si="319"/>
        <v>8.6544845849944249E-3</v>
      </c>
    </row>
    <row r="6842" spans="2:9" x14ac:dyDescent="0.25">
      <c r="B6842" s="1">
        <v>45215</v>
      </c>
      <c r="C6842" s="2">
        <v>19731.75</v>
      </c>
      <c r="D6842" s="2">
        <v>19737.25</v>
      </c>
      <c r="E6842" s="2">
        <v>19781.3</v>
      </c>
      <c r="F6842" s="2">
        <v>19691.849999999999</v>
      </c>
      <c r="G6842" s="3">
        <f t="shared" si="320"/>
        <v>-9.7716323942265149E-4</v>
      </c>
      <c r="H6842" s="2">
        <f t="shared" si="318"/>
        <v>89.450000000000728</v>
      </c>
      <c r="I6842" s="3">
        <f t="shared" si="319"/>
        <v>4.532039671180166E-3</v>
      </c>
    </row>
    <row r="6843" spans="2:9" x14ac:dyDescent="0.25">
      <c r="B6843" s="1">
        <v>45216</v>
      </c>
      <c r="C6843" s="2">
        <v>19811.5</v>
      </c>
      <c r="D6843" s="2">
        <v>19843.2</v>
      </c>
      <c r="E6843" s="2">
        <v>19849.75</v>
      </c>
      <c r="F6843" s="2">
        <v>19775.650000000001</v>
      </c>
      <c r="G6843" s="3">
        <f t="shared" si="320"/>
        <v>4.0417094276989918E-3</v>
      </c>
      <c r="H6843" s="2">
        <f t="shared" si="318"/>
        <v>74.099999999998545</v>
      </c>
      <c r="I6843" s="3">
        <f t="shared" si="319"/>
        <v>3.7342767295596747E-3</v>
      </c>
    </row>
    <row r="6844" spans="2:9" x14ac:dyDescent="0.25">
      <c r="B6844" s="1">
        <v>45217</v>
      </c>
      <c r="C6844" s="2">
        <v>19671.099999999999</v>
      </c>
      <c r="D6844" s="2">
        <v>19820.45</v>
      </c>
      <c r="E6844" s="2">
        <v>19840.95</v>
      </c>
      <c r="F6844" s="2">
        <v>19659.95</v>
      </c>
      <c r="G6844" s="3">
        <f t="shared" si="320"/>
        <v>-7.0867930242536348E-3</v>
      </c>
      <c r="H6844" s="2">
        <f t="shared" si="318"/>
        <v>181</v>
      </c>
      <c r="I6844" s="3">
        <f t="shared" si="319"/>
        <v>9.131982371742316E-3</v>
      </c>
    </row>
    <row r="6845" spans="2:9" x14ac:dyDescent="0.25">
      <c r="B6845" s="1">
        <v>45218</v>
      </c>
      <c r="C6845" s="2">
        <v>19624.7</v>
      </c>
      <c r="D6845" s="2">
        <v>19545.2</v>
      </c>
      <c r="E6845" s="2">
        <v>19681.8</v>
      </c>
      <c r="F6845" s="2">
        <v>19512.349999999999</v>
      </c>
      <c r="G6845" s="3">
        <f t="shared" si="320"/>
        <v>-2.358790306591807E-3</v>
      </c>
      <c r="H6845" s="2">
        <f t="shared" si="318"/>
        <v>169.45000000000073</v>
      </c>
      <c r="I6845" s="3">
        <f t="shared" si="319"/>
        <v>8.6696477907619637E-3</v>
      </c>
    </row>
    <row r="6846" spans="2:9" x14ac:dyDescent="0.25">
      <c r="B6846" s="1">
        <v>45219</v>
      </c>
      <c r="C6846" s="2">
        <v>19542.650000000001</v>
      </c>
      <c r="D6846" s="2">
        <v>19542.150000000001</v>
      </c>
      <c r="E6846" s="2">
        <v>19593.8</v>
      </c>
      <c r="F6846" s="2">
        <v>19518.7</v>
      </c>
      <c r="G6846" s="3">
        <f t="shared" si="320"/>
        <v>-4.1809556324428065E-3</v>
      </c>
      <c r="H6846" s="2">
        <f t="shared" si="318"/>
        <v>75.099999999998545</v>
      </c>
      <c r="I6846" s="3">
        <f t="shared" si="319"/>
        <v>3.8429753123376156E-3</v>
      </c>
    </row>
    <row r="6847" spans="2:9" x14ac:dyDescent="0.25">
      <c r="B6847" s="1">
        <v>45222</v>
      </c>
      <c r="C6847" s="2">
        <v>19281.75</v>
      </c>
      <c r="D6847" s="2">
        <v>19521.599999999999</v>
      </c>
      <c r="E6847" s="2">
        <v>19556.849999999999</v>
      </c>
      <c r="F6847" s="2">
        <v>19257.849999999999</v>
      </c>
      <c r="G6847" s="3">
        <f t="shared" si="320"/>
        <v>-1.3350287704072983E-2</v>
      </c>
      <c r="H6847" s="2">
        <f t="shared" si="318"/>
        <v>299</v>
      </c>
      <c r="I6847" s="3">
        <f t="shared" si="319"/>
        <v>1.5316367510859767E-2</v>
      </c>
    </row>
    <row r="6848" spans="2:9" x14ac:dyDescent="0.25">
      <c r="B6848" s="1">
        <v>45224</v>
      </c>
      <c r="C6848" s="2">
        <v>19122.150000000001</v>
      </c>
      <c r="D6848" s="2">
        <v>19286.45</v>
      </c>
      <c r="E6848" s="2">
        <v>19347.3</v>
      </c>
      <c r="F6848" s="2">
        <v>19074.150000000001</v>
      </c>
      <c r="G6848" s="3">
        <f t="shared" si="320"/>
        <v>-8.2772569917148875E-3</v>
      </c>
      <c r="H6848" s="2">
        <f t="shared" si="318"/>
        <v>273.14999999999782</v>
      </c>
      <c r="I6848" s="3">
        <f t="shared" si="319"/>
        <v>1.4162793049005794E-2</v>
      </c>
    </row>
    <row r="6849" spans="2:9" x14ac:dyDescent="0.25">
      <c r="B6849" s="1">
        <v>45225</v>
      </c>
      <c r="C6849" s="2">
        <v>18857.25</v>
      </c>
      <c r="D6849" s="2">
        <v>19027.25</v>
      </c>
      <c r="E6849" s="2">
        <v>19041.7</v>
      </c>
      <c r="F6849" s="2">
        <v>18837.849999999999</v>
      </c>
      <c r="G6849" s="3">
        <f t="shared" si="320"/>
        <v>-1.3853044767455636E-2</v>
      </c>
      <c r="H6849" s="2">
        <f t="shared" si="318"/>
        <v>203.85000000000218</v>
      </c>
      <c r="I6849" s="3">
        <f t="shared" si="319"/>
        <v>1.0713581836576603E-2</v>
      </c>
    </row>
    <row r="6850" spans="2:9" x14ac:dyDescent="0.25">
      <c r="B6850" s="1">
        <v>45226</v>
      </c>
      <c r="C6850" s="2">
        <v>19047.25</v>
      </c>
      <c r="D6850" s="2">
        <v>18928.75</v>
      </c>
      <c r="E6850" s="2">
        <v>19076.150000000001</v>
      </c>
      <c r="F6850" s="2">
        <v>18926.650000000001</v>
      </c>
      <c r="G6850" s="3">
        <f t="shared" si="320"/>
        <v>1.0075700327460302E-2</v>
      </c>
      <c r="H6850" s="2">
        <f t="shared" si="318"/>
        <v>149.5</v>
      </c>
      <c r="I6850" s="3">
        <f t="shared" si="319"/>
        <v>7.8980386977481349E-3</v>
      </c>
    </row>
    <row r="6851" spans="2:9" x14ac:dyDescent="0.25">
      <c r="B6851" s="1">
        <v>45229</v>
      </c>
      <c r="C6851" s="2">
        <v>19140.900000000001</v>
      </c>
      <c r="D6851" s="2">
        <v>19053.400000000001</v>
      </c>
      <c r="E6851" s="2">
        <v>19158.5</v>
      </c>
      <c r="F6851" s="2">
        <v>18940</v>
      </c>
      <c r="G6851" s="3">
        <f t="shared" si="320"/>
        <v>4.9167202614550654E-3</v>
      </c>
      <c r="H6851" s="2">
        <f t="shared" si="318"/>
        <v>218.5</v>
      </c>
      <c r="I6851" s="3">
        <f t="shared" si="319"/>
        <v>1.1467769531947053E-2</v>
      </c>
    </row>
    <row r="6852" spans="2:9" x14ac:dyDescent="0.25">
      <c r="B6852" s="1">
        <v>45230</v>
      </c>
      <c r="C6852" s="2">
        <v>19079.599999999999</v>
      </c>
      <c r="D6852" s="2">
        <v>19232.95</v>
      </c>
      <c r="E6852" s="2">
        <v>19233.7</v>
      </c>
      <c r="F6852" s="2">
        <v>19056.45</v>
      </c>
      <c r="G6852" s="3">
        <f t="shared" si="320"/>
        <v>-3.2025662325179116E-3</v>
      </c>
      <c r="H6852" s="2">
        <f t="shared" si="318"/>
        <v>177.25</v>
      </c>
      <c r="I6852" s="3">
        <f t="shared" si="319"/>
        <v>9.2159549107131249E-3</v>
      </c>
    </row>
    <row r="6853" spans="2:9" x14ac:dyDescent="0.25">
      <c r="B6853" s="1">
        <v>45231</v>
      </c>
      <c r="C6853" s="2">
        <v>18989.150000000001</v>
      </c>
      <c r="D6853" s="2">
        <v>19064.05</v>
      </c>
      <c r="E6853" s="2">
        <v>19096.05</v>
      </c>
      <c r="F6853" s="2">
        <v>18973.7</v>
      </c>
      <c r="G6853" s="3">
        <f t="shared" si="320"/>
        <v>-4.740665422755086E-3</v>
      </c>
      <c r="H6853" s="2">
        <f t="shared" ref="H6853:H6916" si="321">E6853-F6853</f>
        <v>122.34999999999854</v>
      </c>
      <c r="I6853" s="3">
        <f t="shared" si="319"/>
        <v>6.417838811794899E-3</v>
      </c>
    </row>
    <row r="6854" spans="2:9" x14ac:dyDescent="0.25">
      <c r="B6854" s="1">
        <v>45232</v>
      </c>
      <c r="C6854" s="2">
        <v>19133.25</v>
      </c>
      <c r="D6854" s="2">
        <v>19120</v>
      </c>
      <c r="E6854" s="2">
        <v>19175.25</v>
      </c>
      <c r="F6854" s="2">
        <v>19064.150000000001</v>
      </c>
      <c r="G6854" s="3">
        <f t="shared" si="320"/>
        <v>7.5885439843277336E-3</v>
      </c>
      <c r="H6854" s="2">
        <f t="shared" si="321"/>
        <v>111.09999999999854</v>
      </c>
      <c r="I6854" s="3">
        <f t="shared" ref="I6854:I6917" si="322">H6854/D6854</f>
        <v>5.8106694560668692E-3</v>
      </c>
    </row>
    <row r="6855" spans="2:9" x14ac:dyDescent="0.25">
      <c r="B6855" s="1">
        <v>45233</v>
      </c>
      <c r="C6855" s="2">
        <v>19230.599999999999</v>
      </c>
      <c r="D6855" s="2">
        <v>19241</v>
      </c>
      <c r="E6855" s="2">
        <v>19276.25</v>
      </c>
      <c r="F6855" s="2">
        <v>19210.900000000001</v>
      </c>
      <c r="G6855" s="3">
        <f t="shared" ref="G6855:G6918" si="323">C6855/C6854-1</f>
        <v>5.0880012543608188E-3</v>
      </c>
      <c r="H6855" s="2">
        <f t="shared" si="321"/>
        <v>65.349999999998545</v>
      </c>
      <c r="I6855" s="3">
        <f t="shared" si="322"/>
        <v>3.3963931188606905E-3</v>
      </c>
    </row>
    <row r="6856" spans="2:9" x14ac:dyDescent="0.25">
      <c r="B6856" s="1">
        <v>45236</v>
      </c>
      <c r="C6856" s="2">
        <v>19411.75</v>
      </c>
      <c r="D6856" s="2">
        <v>19345.849999999999</v>
      </c>
      <c r="E6856" s="2">
        <v>19423</v>
      </c>
      <c r="F6856" s="2">
        <v>19309.7</v>
      </c>
      <c r="G6856" s="3">
        <f t="shared" si="323"/>
        <v>9.4198828949696445E-3</v>
      </c>
      <c r="H6856" s="2">
        <f t="shared" si="321"/>
        <v>113.29999999999927</v>
      </c>
      <c r="I6856" s="3">
        <f t="shared" si="322"/>
        <v>5.8565532142552165E-3</v>
      </c>
    </row>
    <row r="6857" spans="2:9" x14ac:dyDescent="0.25">
      <c r="B6857" s="1">
        <v>45237</v>
      </c>
      <c r="C6857" s="2">
        <v>19406.7</v>
      </c>
      <c r="D6857" s="2">
        <v>19404.05</v>
      </c>
      <c r="E6857" s="2">
        <v>19423.5</v>
      </c>
      <c r="F6857" s="2">
        <v>19329.099999999999</v>
      </c>
      <c r="G6857" s="3">
        <f t="shared" si="323"/>
        <v>-2.6015171223614519E-4</v>
      </c>
      <c r="H6857" s="2">
        <f t="shared" si="321"/>
        <v>94.400000000001455</v>
      </c>
      <c r="I6857" s="3">
        <f t="shared" si="322"/>
        <v>4.8649637575661504E-3</v>
      </c>
    </row>
    <row r="6858" spans="2:9" x14ac:dyDescent="0.25">
      <c r="B6858" s="1">
        <v>45238</v>
      </c>
      <c r="C6858" s="2">
        <v>19443.5</v>
      </c>
      <c r="D6858" s="2">
        <v>19449.599999999999</v>
      </c>
      <c r="E6858" s="2">
        <v>19464.400000000001</v>
      </c>
      <c r="F6858" s="2">
        <v>19401.5</v>
      </c>
      <c r="G6858" s="3">
        <f t="shared" si="323"/>
        <v>1.8962523252279428E-3</v>
      </c>
      <c r="H6858" s="2">
        <f t="shared" si="321"/>
        <v>62.900000000001455</v>
      </c>
      <c r="I6858" s="3">
        <f t="shared" si="322"/>
        <v>3.2339996709444645E-3</v>
      </c>
    </row>
    <row r="6859" spans="2:9" x14ac:dyDescent="0.25">
      <c r="B6859" s="1">
        <v>45239</v>
      </c>
      <c r="C6859" s="2">
        <v>19395.3</v>
      </c>
      <c r="D6859" s="2">
        <v>19457.400000000001</v>
      </c>
      <c r="E6859" s="2">
        <v>19463.900000000001</v>
      </c>
      <c r="F6859" s="2">
        <v>19378.349999999999</v>
      </c>
      <c r="G6859" s="3">
        <f t="shared" si="323"/>
        <v>-2.4789775503382128E-3</v>
      </c>
      <c r="H6859" s="2">
        <f t="shared" si="321"/>
        <v>85.55000000000291</v>
      </c>
      <c r="I6859" s="3">
        <f t="shared" si="322"/>
        <v>4.3967847708328402E-3</v>
      </c>
    </row>
    <row r="6860" spans="2:9" x14ac:dyDescent="0.25">
      <c r="B6860" s="1">
        <v>45240</v>
      </c>
      <c r="C6860" s="2">
        <v>19425.349999999999</v>
      </c>
      <c r="D6860" s="2">
        <v>19351.849999999999</v>
      </c>
      <c r="E6860" s="2">
        <v>19451.3</v>
      </c>
      <c r="F6860" s="2">
        <v>19329.45</v>
      </c>
      <c r="G6860" s="3">
        <f t="shared" si="323"/>
        <v>1.549344428804833E-3</v>
      </c>
      <c r="H6860" s="2">
        <f t="shared" si="321"/>
        <v>121.84999999999854</v>
      </c>
      <c r="I6860" s="3">
        <f t="shared" si="322"/>
        <v>6.2965556264645787E-3</v>
      </c>
    </row>
    <row r="6861" spans="2:9" x14ac:dyDescent="0.25">
      <c r="B6861" s="1">
        <v>45242</v>
      </c>
      <c r="C6861" s="2">
        <v>19525.55</v>
      </c>
      <c r="D6861" s="2">
        <v>19547.25</v>
      </c>
      <c r="E6861" s="2">
        <v>19547.25</v>
      </c>
      <c r="F6861" s="2">
        <v>19510.25</v>
      </c>
      <c r="G6861" s="3">
        <f t="shared" si="323"/>
        <v>5.1582082176124811E-3</v>
      </c>
      <c r="H6861" s="2">
        <f t="shared" si="321"/>
        <v>37</v>
      </c>
      <c r="I6861" s="3">
        <f t="shared" si="322"/>
        <v>1.8928493777897147E-3</v>
      </c>
    </row>
    <row r="6862" spans="2:9" x14ac:dyDescent="0.25">
      <c r="B6862" s="1">
        <v>45243</v>
      </c>
      <c r="C6862" s="2">
        <v>19443.55</v>
      </c>
      <c r="D6862" s="2">
        <v>19486.75</v>
      </c>
      <c r="E6862" s="2">
        <v>19494.400000000001</v>
      </c>
      <c r="F6862" s="2">
        <v>19414.75</v>
      </c>
      <c r="G6862" s="3">
        <f t="shared" si="323"/>
        <v>-4.1996256187405434E-3</v>
      </c>
      <c r="H6862" s="2">
        <f t="shared" si="321"/>
        <v>79.650000000001455</v>
      </c>
      <c r="I6862" s="3">
        <f t="shared" si="322"/>
        <v>4.0873927155632133E-3</v>
      </c>
    </row>
    <row r="6863" spans="2:9" x14ac:dyDescent="0.25">
      <c r="B6863" s="1">
        <v>45245</v>
      </c>
      <c r="C6863" s="2">
        <v>19675.45</v>
      </c>
      <c r="D6863" s="2">
        <v>19651.400000000001</v>
      </c>
      <c r="E6863" s="2">
        <v>19693.2</v>
      </c>
      <c r="F6863" s="2">
        <v>19579.650000000001</v>
      </c>
      <c r="G6863" s="3">
        <f t="shared" si="323"/>
        <v>1.1926834348665816E-2</v>
      </c>
      <c r="H6863" s="2">
        <f t="shared" si="321"/>
        <v>113.54999999999927</v>
      </c>
      <c r="I6863" s="3">
        <f t="shared" si="322"/>
        <v>5.7782142748098999E-3</v>
      </c>
    </row>
    <row r="6864" spans="2:9" x14ac:dyDescent="0.25">
      <c r="B6864" s="1">
        <v>45246</v>
      </c>
      <c r="C6864" s="2">
        <v>19765.2</v>
      </c>
      <c r="D6864" s="2">
        <v>19674.7</v>
      </c>
      <c r="E6864" s="2">
        <v>19875.25</v>
      </c>
      <c r="F6864" s="2">
        <v>19627</v>
      </c>
      <c r="G6864" s="3">
        <f t="shared" si="323"/>
        <v>4.5615220998758144E-3</v>
      </c>
      <c r="H6864" s="2">
        <f t="shared" si="321"/>
        <v>248.25</v>
      </c>
      <c r="I6864" s="3">
        <f t="shared" si="322"/>
        <v>1.2617727335105491E-2</v>
      </c>
    </row>
    <row r="6865" spans="2:9" x14ac:dyDescent="0.25">
      <c r="B6865" s="1">
        <v>45247</v>
      </c>
      <c r="C6865" s="2">
        <v>19731.8</v>
      </c>
      <c r="D6865" s="2">
        <v>19674.75</v>
      </c>
      <c r="E6865" s="2">
        <v>19806</v>
      </c>
      <c r="F6865" s="2">
        <v>19667.45</v>
      </c>
      <c r="G6865" s="3">
        <f t="shared" si="323"/>
        <v>-1.6898387064133713E-3</v>
      </c>
      <c r="H6865" s="2">
        <f t="shared" si="321"/>
        <v>138.54999999999927</v>
      </c>
      <c r="I6865" s="3">
        <f t="shared" si="322"/>
        <v>7.0420208643057359E-3</v>
      </c>
    </row>
    <row r="6866" spans="2:9" x14ac:dyDescent="0.25">
      <c r="B6866" s="1">
        <v>45250</v>
      </c>
      <c r="C6866" s="2">
        <v>19694</v>
      </c>
      <c r="D6866" s="2">
        <v>19731.150000000001</v>
      </c>
      <c r="E6866" s="2">
        <v>19756.45</v>
      </c>
      <c r="F6866" s="2">
        <v>19670.5</v>
      </c>
      <c r="G6866" s="3">
        <f t="shared" si="323"/>
        <v>-1.915689394784037E-3</v>
      </c>
      <c r="H6866" s="2">
        <f t="shared" si="321"/>
        <v>85.950000000000728</v>
      </c>
      <c r="I6866" s="3">
        <f t="shared" si="322"/>
        <v>4.3560562866331014E-3</v>
      </c>
    </row>
    <row r="6867" spans="2:9" x14ac:dyDescent="0.25">
      <c r="B6867" s="1">
        <v>45251</v>
      </c>
      <c r="C6867" s="2">
        <v>19783.400000000001</v>
      </c>
      <c r="D6867" s="2">
        <v>19770.900000000001</v>
      </c>
      <c r="E6867" s="2">
        <v>19829.099999999999</v>
      </c>
      <c r="F6867" s="2">
        <v>19754.05</v>
      </c>
      <c r="G6867" s="3">
        <f t="shared" si="323"/>
        <v>4.5394536407028507E-3</v>
      </c>
      <c r="H6867" s="2">
        <f t="shared" si="321"/>
        <v>75.049999999999272</v>
      </c>
      <c r="I6867" s="3">
        <f t="shared" si="322"/>
        <v>3.7959829850942174E-3</v>
      </c>
    </row>
    <row r="6868" spans="2:9" x14ac:dyDescent="0.25">
      <c r="B6868" s="1">
        <v>45252</v>
      </c>
      <c r="C6868" s="2">
        <v>19811.849999999999</v>
      </c>
      <c r="D6868" s="2">
        <v>19784</v>
      </c>
      <c r="E6868" s="2">
        <v>19825.55</v>
      </c>
      <c r="F6868" s="2">
        <v>19703.849999999999</v>
      </c>
      <c r="G6868" s="3">
        <f t="shared" si="323"/>
        <v>1.4380743451578581E-3</v>
      </c>
      <c r="H6868" s="2">
        <f t="shared" si="321"/>
        <v>121.70000000000073</v>
      </c>
      <c r="I6868" s="3">
        <f t="shared" si="322"/>
        <v>6.1514355034371576E-3</v>
      </c>
    </row>
    <row r="6869" spans="2:9" x14ac:dyDescent="0.25">
      <c r="B6869" s="1">
        <v>45253</v>
      </c>
      <c r="C6869" s="2">
        <v>19802</v>
      </c>
      <c r="D6869" s="2">
        <v>19828.45</v>
      </c>
      <c r="E6869" s="2">
        <v>19875.150000000001</v>
      </c>
      <c r="F6869" s="2">
        <v>19786.75</v>
      </c>
      <c r="G6869" s="3">
        <f t="shared" si="323"/>
        <v>-4.971771944567438E-4</v>
      </c>
      <c r="H6869" s="2">
        <f t="shared" si="321"/>
        <v>88.400000000001455</v>
      </c>
      <c r="I6869" s="3">
        <f t="shared" si="322"/>
        <v>4.4582405583896596E-3</v>
      </c>
    </row>
    <row r="6870" spans="2:9" x14ac:dyDescent="0.25">
      <c r="B6870" s="1">
        <v>45254</v>
      </c>
      <c r="C6870" s="2">
        <v>19794.7</v>
      </c>
      <c r="D6870" s="2">
        <v>19809.599999999999</v>
      </c>
      <c r="E6870" s="2">
        <v>19832.849999999999</v>
      </c>
      <c r="F6870" s="2">
        <v>19768.849999999999</v>
      </c>
      <c r="G6870" s="3">
        <f t="shared" si="323"/>
        <v>-3.6864963135030404E-4</v>
      </c>
      <c r="H6870" s="2">
        <f t="shared" si="321"/>
        <v>64</v>
      </c>
      <c r="I6870" s="3">
        <f t="shared" si="322"/>
        <v>3.2307568047815205E-3</v>
      </c>
    </row>
    <row r="6871" spans="2:9" x14ac:dyDescent="0.25">
      <c r="B6871" s="1">
        <v>45258</v>
      </c>
      <c r="C6871" s="2">
        <v>19889.7</v>
      </c>
      <c r="D6871" s="2">
        <v>19844.650000000001</v>
      </c>
      <c r="E6871" s="2">
        <v>19916.849999999999</v>
      </c>
      <c r="F6871" s="2">
        <v>19800</v>
      </c>
      <c r="G6871" s="3">
        <f t="shared" si="323"/>
        <v>4.7992644495749026E-3</v>
      </c>
      <c r="H6871" s="2">
        <f t="shared" si="321"/>
        <v>116.84999999999854</v>
      </c>
      <c r="I6871" s="3">
        <f t="shared" si="322"/>
        <v>5.8882368799650555E-3</v>
      </c>
    </row>
    <row r="6872" spans="2:9" x14ac:dyDescent="0.25">
      <c r="B6872" s="1">
        <v>45259</v>
      </c>
      <c r="C6872" s="2">
        <v>20096.599999999999</v>
      </c>
      <c r="D6872" s="2">
        <v>19976.55</v>
      </c>
      <c r="E6872" s="2">
        <v>20104.650000000001</v>
      </c>
      <c r="F6872" s="2">
        <v>19956.3</v>
      </c>
      <c r="G6872" s="3">
        <f t="shared" si="323"/>
        <v>1.04023690653956E-2</v>
      </c>
      <c r="H6872" s="2">
        <f t="shared" si="321"/>
        <v>148.35000000000218</v>
      </c>
      <c r="I6872" s="3">
        <f t="shared" si="322"/>
        <v>7.4262072279749104E-3</v>
      </c>
    </row>
    <row r="6873" spans="2:9" x14ac:dyDescent="0.25">
      <c r="B6873" s="1">
        <v>45260</v>
      </c>
      <c r="C6873" s="2">
        <v>20133.150000000001</v>
      </c>
      <c r="D6873" s="2">
        <v>20108.5</v>
      </c>
      <c r="E6873" s="2">
        <v>20158.7</v>
      </c>
      <c r="F6873" s="2">
        <v>20015.849999999999</v>
      </c>
      <c r="G6873" s="3">
        <f t="shared" si="323"/>
        <v>1.8187156036346686E-3</v>
      </c>
      <c r="H6873" s="2">
        <f t="shared" si="321"/>
        <v>142.85000000000218</v>
      </c>
      <c r="I6873" s="3">
        <f t="shared" si="322"/>
        <v>7.1039610115126526E-3</v>
      </c>
    </row>
    <row r="6874" spans="2:9" x14ac:dyDescent="0.25">
      <c r="B6874" s="1">
        <v>45261</v>
      </c>
      <c r="C6874" s="2">
        <v>20267.900000000001</v>
      </c>
      <c r="D6874" s="2">
        <v>20194.099999999999</v>
      </c>
      <c r="E6874" s="2">
        <v>20291.55</v>
      </c>
      <c r="F6874" s="2">
        <v>20183.7</v>
      </c>
      <c r="G6874" s="3">
        <f t="shared" si="323"/>
        <v>6.6929417403636116E-3</v>
      </c>
      <c r="H6874" s="2">
        <f t="shared" si="321"/>
        <v>107.84999999999854</v>
      </c>
      <c r="I6874" s="3">
        <f t="shared" si="322"/>
        <v>5.3406688092065774E-3</v>
      </c>
    </row>
    <row r="6875" spans="2:9" x14ac:dyDescent="0.25">
      <c r="B6875" s="1">
        <v>45264</v>
      </c>
      <c r="C6875" s="2">
        <v>20686.8</v>
      </c>
      <c r="D6875" s="2">
        <v>20601.95</v>
      </c>
      <c r="E6875" s="2">
        <v>20702.650000000001</v>
      </c>
      <c r="F6875" s="2">
        <v>20507.75</v>
      </c>
      <c r="G6875" s="3">
        <f t="shared" si="323"/>
        <v>2.0668150129021567E-2</v>
      </c>
      <c r="H6875" s="2">
        <f t="shared" si="321"/>
        <v>194.90000000000146</v>
      </c>
      <c r="I6875" s="3">
        <f t="shared" si="322"/>
        <v>9.4602695375923859E-3</v>
      </c>
    </row>
    <row r="6876" spans="2:9" x14ac:dyDescent="0.25">
      <c r="B6876" s="1">
        <v>45265</v>
      </c>
      <c r="C6876" s="2">
        <v>20855.099999999999</v>
      </c>
      <c r="D6876" s="2">
        <v>20808.900000000001</v>
      </c>
      <c r="E6876" s="2">
        <v>20864.05</v>
      </c>
      <c r="F6876" s="2">
        <v>20711.150000000001</v>
      </c>
      <c r="G6876" s="3">
        <f t="shared" si="323"/>
        <v>8.1356227159348204E-3</v>
      </c>
      <c r="H6876" s="2">
        <f t="shared" si="321"/>
        <v>152.89999999999782</v>
      </c>
      <c r="I6876" s="3">
        <f t="shared" si="322"/>
        <v>7.3478175203878053E-3</v>
      </c>
    </row>
    <row r="6877" spans="2:9" x14ac:dyDescent="0.25">
      <c r="B6877" s="1">
        <v>45266</v>
      </c>
      <c r="C6877" s="2">
        <v>20937.7</v>
      </c>
      <c r="D6877" s="2">
        <v>20950.75</v>
      </c>
      <c r="E6877" s="2">
        <v>20961.95</v>
      </c>
      <c r="F6877" s="2">
        <v>20852.150000000001</v>
      </c>
      <c r="G6877" s="3">
        <f t="shared" si="323"/>
        <v>3.9606619004464161E-3</v>
      </c>
      <c r="H6877" s="2">
        <f t="shared" si="321"/>
        <v>109.79999999999927</v>
      </c>
      <c r="I6877" s="3">
        <f t="shared" si="322"/>
        <v>5.2408624989558495E-3</v>
      </c>
    </row>
    <row r="6878" spans="2:9" x14ac:dyDescent="0.25">
      <c r="B6878" s="1">
        <v>45267</v>
      </c>
      <c r="C6878" s="2">
        <v>20901.150000000001</v>
      </c>
      <c r="D6878" s="2">
        <v>20932.400000000001</v>
      </c>
      <c r="E6878" s="2">
        <v>20941.25</v>
      </c>
      <c r="F6878" s="2">
        <v>20850.8</v>
      </c>
      <c r="G6878" s="3">
        <f t="shared" si="323"/>
        <v>-1.7456549668778409E-3</v>
      </c>
      <c r="H6878" s="2">
        <f t="shared" si="321"/>
        <v>90.450000000000728</v>
      </c>
      <c r="I6878" s="3">
        <f t="shared" si="322"/>
        <v>4.321052531004602E-3</v>
      </c>
    </row>
    <row r="6879" spans="2:9" x14ac:dyDescent="0.25">
      <c r="B6879" s="1">
        <v>45268</v>
      </c>
      <c r="C6879" s="2">
        <v>20969.400000000001</v>
      </c>
      <c r="D6879" s="2">
        <v>20934.099999999999</v>
      </c>
      <c r="E6879" s="2">
        <v>21006.1</v>
      </c>
      <c r="F6879" s="2">
        <v>20862.7</v>
      </c>
      <c r="G6879" s="3">
        <f t="shared" si="323"/>
        <v>3.2653705657343934E-3</v>
      </c>
      <c r="H6879" s="2">
        <f t="shared" si="321"/>
        <v>143.39999999999782</v>
      </c>
      <c r="I6879" s="3">
        <f t="shared" si="322"/>
        <v>6.850067593065755E-3</v>
      </c>
    </row>
    <row r="6880" spans="2:9" x14ac:dyDescent="0.25">
      <c r="B6880" s="1">
        <v>45271</v>
      </c>
      <c r="C6880" s="2">
        <v>20997.1</v>
      </c>
      <c r="D6880" s="2">
        <v>20965.3</v>
      </c>
      <c r="E6880" s="2">
        <v>21026.1</v>
      </c>
      <c r="F6880" s="2">
        <v>20923.7</v>
      </c>
      <c r="G6880" s="3">
        <f t="shared" si="323"/>
        <v>1.3209724646388032E-3</v>
      </c>
      <c r="H6880" s="2">
        <f t="shared" si="321"/>
        <v>102.39999999999782</v>
      </c>
      <c r="I6880" s="3">
        <f t="shared" si="322"/>
        <v>4.8842611362583804E-3</v>
      </c>
    </row>
    <row r="6881" spans="2:9" x14ac:dyDescent="0.25">
      <c r="B6881" s="1">
        <v>45272</v>
      </c>
      <c r="C6881" s="2">
        <v>20906.400000000001</v>
      </c>
      <c r="D6881" s="2">
        <v>21018.55</v>
      </c>
      <c r="E6881" s="2">
        <v>21037.9</v>
      </c>
      <c r="F6881" s="2">
        <v>20867.150000000001</v>
      </c>
      <c r="G6881" s="3">
        <f t="shared" si="323"/>
        <v>-4.3196441413336784E-3</v>
      </c>
      <c r="H6881" s="2">
        <f t="shared" si="321"/>
        <v>170.75</v>
      </c>
      <c r="I6881" s="3">
        <f t="shared" si="322"/>
        <v>8.1237763784847202E-3</v>
      </c>
    </row>
    <row r="6882" spans="2:9" x14ac:dyDescent="0.25">
      <c r="B6882" s="1">
        <v>45273</v>
      </c>
      <c r="C6882" s="2">
        <v>20926.349999999999</v>
      </c>
      <c r="D6882" s="2">
        <v>20929.75</v>
      </c>
      <c r="E6882" s="2">
        <v>20950</v>
      </c>
      <c r="F6882" s="2">
        <v>20769.5</v>
      </c>
      <c r="G6882" s="3">
        <f t="shared" si="323"/>
        <v>9.5425324302600423E-4</v>
      </c>
      <c r="H6882" s="2">
        <f t="shared" si="321"/>
        <v>180.5</v>
      </c>
      <c r="I6882" s="3">
        <f t="shared" si="322"/>
        <v>8.6240877220224808E-3</v>
      </c>
    </row>
    <row r="6883" spans="2:9" x14ac:dyDescent="0.25">
      <c r="B6883" s="1">
        <v>45274</v>
      </c>
      <c r="C6883" s="2">
        <v>21182.7</v>
      </c>
      <c r="D6883" s="2">
        <v>21110.400000000001</v>
      </c>
      <c r="E6883" s="2">
        <v>21210.9</v>
      </c>
      <c r="F6883" s="2">
        <v>21074.45</v>
      </c>
      <c r="G6883" s="3">
        <f t="shared" si="323"/>
        <v>1.2250105727946048E-2</v>
      </c>
      <c r="H6883" s="2">
        <f t="shared" si="321"/>
        <v>136.45000000000073</v>
      </c>
      <c r="I6883" s="3">
        <f t="shared" si="322"/>
        <v>6.4636387752008825E-3</v>
      </c>
    </row>
    <row r="6884" spans="2:9" x14ac:dyDescent="0.25">
      <c r="B6884" s="1">
        <v>45275</v>
      </c>
      <c r="C6884" s="2">
        <v>21456.65</v>
      </c>
      <c r="D6884" s="2">
        <v>21287.45</v>
      </c>
      <c r="E6884" s="2">
        <v>21492.3</v>
      </c>
      <c r="F6884" s="2">
        <v>21235.3</v>
      </c>
      <c r="G6884" s="3">
        <f t="shared" si="323"/>
        <v>1.2932723401643864E-2</v>
      </c>
      <c r="H6884" s="2">
        <f t="shared" si="321"/>
        <v>257</v>
      </c>
      <c r="I6884" s="3">
        <f t="shared" si="322"/>
        <v>1.207284104014337E-2</v>
      </c>
    </row>
    <row r="6885" spans="2:9" x14ac:dyDescent="0.25">
      <c r="B6885" s="1">
        <v>45278</v>
      </c>
      <c r="C6885" s="2">
        <v>21418.65</v>
      </c>
      <c r="D6885" s="2">
        <v>21434.799999999999</v>
      </c>
      <c r="E6885" s="2">
        <v>21482.799999999999</v>
      </c>
      <c r="F6885" s="2">
        <v>21365.35</v>
      </c>
      <c r="G6885" s="3">
        <f t="shared" si="323"/>
        <v>-1.7710127163373945E-3</v>
      </c>
      <c r="H6885" s="2">
        <f t="shared" si="321"/>
        <v>117.45000000000073</v>
      </c>
      <c r="I6885" s="3">
        <f t="shared" si="322"/>
        <v>5.4794073189393293E-3</v>
      </c>
    </row>
    <row r="6886" spans="2:9" x14ac:dyDescent="0.25">
      <c r="B6886" s="1">
        <v>45279</v>
      </c>
      <c r="C6886" s="2">
        <v>21453.1</v>
      </c>
      <c r="D6886" s="2">
        <v>21477.65</v>
      </c>
      <c r="E6886" s="2">
        <v>21505.05</v>
      </c>
      <c r="F6886" s="2">
        <v>21337.75</v>
      </c>
      <c r="G6886" s="3">
        <f t="shared" si="323"/>
        <v>1.6084113611267714E-3</v>
      </c>
      <c r="H6886" s="2">
        <f t="shared" si="321"/>
        <v>167.29999999999927</v>
      </c>
      <c r="I6886" s="3">
        <f t="shared" si="322"/>
        <v>7.7894927983275294E-3</v>
      </c>
    </row>
    <row r="6887" spans="2:9" x14ac:dyDescent="0.25">
      <c r="B6887" s="1">
        <v>45280</v>
      </c>
      <c r="C6887" s="2">
        <v>21150.15</v>
      </c>
      <c r="D6887" s="2">
        <v>21543.5</v>
      </c>
      <c r="E6887" s="2">
        <v>21593</v>
      </c>
      <c r="F6887" s="2">
        <v>21087.35</v>
      </c>
      <c r="G6887" s="3">
        <f t="shared" si="323"/>
        <v>-1.4121502253753415E-2</v>
      </c>
      <c r="H6887" s="2">
        <f t="shared" si="321"/>
        <v>505.65000000000146</v>
      </c>
      <c r="I6887" s="3">
        <f t="shared" si="322"/>
        <v>2.3471116578086267E-2</v>
      </c>
    </row>
    <row r="6888" spans="2:9" x14ac:dyDescent="0.25">
      <c r="B6888" s="1">
        <v>45281</v>
      </c>
      <c r="C6888" s="2">
        <v>21255.05</v>
      </c>
      <c r="D6888" s="2">
        <v>21033.95</v>
      </c>
      <c r="E6888" s="2">
        <v>21288.35</v>
      </c>
      <c r="F6888" s="2">
        <v>20976.799999999999</v>
      </c>
      <c r="G6888" s="3">
        <f t="shared" si="323"/>
        <v>4.9597756989903097E-3</v>
      </c>
      <c r="H6888" s="2">
        <f t="shared" si="321"/>
        <v>311.54999999999927</v>
      </c>
      <c r="I6888" s="3">
        <f t="shared" si="322"/>
        <v>1.4811768593155316E-2</v>
      </c>
    </row>
    <row r="6889" spans="2:9" x14ac:dyDescent="0.25">
      <c r="B6889" s="1">
        <v>45282</v>
      </c>
      <c r="C6889" s="2">
        <v>21349.4</v>
      </c>
      <c r="D6889" s="2">
        <v>21295.85</v>
      </c>
      <c r="E6889" s="2">
        <v>21390.5</v>
      </c>
      <c r="F6889" s="2">
        <v>21232.45</v>
      </c>
      <c r="G6889" s="3">
        <f t="shared" si="323"/>
        <v>4.4389450977533329E-3</v>
      </c>
      <c r="H6889" s="2">
        <f t="shared" si="321"/>
        <v>158.04999999999927</v>
      </c>
      <c r="I6889" s="3">
        <f t="shared" si="322"/>
        <v>7.4216337924994441E-3</v>
      </c>
    </row>
    <row r="6890" spans="2:9" x14ac:dyDescent="0.25">
      <c r="B6890" s="1">
        <v>45286</v>
      </c>
      <c r="C6890" s="2">
        <v>21441.35</v>
      </c>
      <c r="D6890" s="2">
        <v>21365.200000000001</v>
      </c>
      <c r="E6890" s="2">
        <v>21477.15</v>
      </c>
      <c r="F6890" s="2">
        <v>21329.45</v>
      </c>
      <c r="G6890" s="3">
        <f t="shared" si="323"/>
        <v>4.306912606443225E-3</v>
      </c>
      <c r="H6890" s="2">
        <f t="shared" si="321"/>
        <v>147.70000000000073</v>
      </c>
      <c r="I6890" s="3">
        <f t="shared" si="322"/>
        <v>6.9131110403834609E-3</v>
      </c>
    </row>
    <row r="6891" spans="2:9" x14ac:dyDescent="0.25">
      <c r="B6891" s="1">
        <v>45287</v>
      </c>
      <c r="C6891" s="2">
        <v>21654.75</v>
      </c>
      <c r="D6891" s="2">
        <v>21497.65</v>
      </c>
      <c r="E6891" s="2">
        <v>21675.75</v>
      </c>
      <c r="F6891" s="2">
        <v>21495.8</v>
      </c>
      <c r="G6891" s="3">
        <f t="shared" si="323"/>
        <v>9.9527315211029865E-3</v>
      </c>
      <c r="H6891" s="2">
        <f t="shared" si="321"/>
        <v>179.95000000000073</v>
      </c>
      <c r="I6891" s="3">
        <f t="shared" si="322"/>
        <v>8.370682376910998E-3</v>
      </c>
    </row>
    <row r="6892" spans="2:9" x14ac:dyDescent="0.25">
      <c r="B6892" s="1">
        <v>45288</v>
      </c>
      <c r="C6892" s="2">
        <v>21778.7</v>
      </c>
      <c r="D6892" s="2">
        <v>21715</v>
      </c>
      <c r="E6892" s="2">
        <v>21801.45</v>
      </c>
      <c r="F6892" s="2">
        <v>21678</v>
      </c>
      <c r="G6892" s="3">
        <f t="shared" si="323"/>
        <v>5.7239173853311787E-3</v>
      </c>
      <c r="H6892" s="2">
        <f t="shared" si="321"/>
        <v>123.45000000000073</v>
      </c>
      <c r="I6892" s="3">
        <f t="shared" si="322"/>
        <v>5.6850103615013001E-3</v>
      </c>
    </row>
    <row r="6893" spans="2:9" x14ac:dyDescent="0.25">
      <c r="B6893" s="1">
        <v>45289</v>
      </c>
      <c r="C6893" s="2">
        <v>21731.4</v>
      </c>
      <c r="D6893" s="2">
        <v>21737.65</v>
      </c>
      <c r="E6893" s="2">
        <v>21770.3</v>
      </c>
      <c r="F6893" s="2">
        <v>21676.9</v>
      </c>
      <c r="G6893" s="3">
        <f t="shared" si="323"/>
        <v>-2.1718468044464867E-3</v>
      </c>
      <c r="H6893" s="2">
        <f t="shared" si="321"/>
        <v>93.399999999997817</v>
      </c>
      <c r="I6893" s="3">
        <f t="shared" si="322"/>
        <v>4.2966926047662843E-3</v>
      </c>
    </row>
    <row r="6894" spans="2:9" x14ac:dyDescent="0.25">
      <c r="B6894" s="1">
        <v>45292</v>
      </c>
      <c r="C6894" s="2">
        <v>21741.9</v>
      </c>
      <c r="D6894" s="2">
        <v>21727.75</v>
      </c>
      <c r="E6894" s="2">
        <v>21834.35</v>
      </c>
      <c r="F6894" s="2">
        <v>21680.85</v>
      </c>
      <c r="G6894" s="3">
        <f t="shared" si="323"/>
        <v>4.8317181589774272E-4</v>
      </c>
      <c r="H6894" s="2">
        <f t="shared" si="321"/>
        <v>153.5</v>
      </c>
      <c r="I6894" s="3">
        <f t="shared" si="322"/>
        <v>7.064698369596484E-3</v>
      </c>
    </row>
    <row r="6895" spans="2:9" x14ac:dyDescent="0.25">
      <c r="B6895" s="1">
        <v>45293</v>
      </c>
      <c r="C6895" s="2">
        <v>21665.8</v>
      </c>
      <c r="D6895" s="2">
        <v>21751.35</v>
      </c>
      <c r="E6895" s="2">
        <v>21755.599999999999</v>
      </c>
      <c r="F6895" s="2">
        <v>21555.65</v>
      </c>
      <c r="G6895" s="3">
        <f t="shared" si="323"/>
        <v>-3.5001540803702991E-3</v>
      </c>
      <c r="H6895" s="2">
        <f t="shared" si="321"/>
        <v>199.94999999999709</v>
      </c>
      <c r="I6895" s="3">
        <f t="shared" si="322"/>
        <v>9.1925328772695537E-3</v>
      </c>
    </row>
    <row r="6896" spans="2:9" x14ac:dyDescent="0.25">
      <c r="B6896" s="1">
        <v>45294</v>
      </c>
      <c r="C6896" s="2">
        <v>21517.35</v>
      </c>
      <c r="D6896" s="2">
        <v>21661.1</v>
      </c>
      <c r="E6896" s="2">
        <v>21677</v>
      </c>
      <c r="F6896" s="2">
        <v>21500.35</v>
      </c>
      <c r="G6896" s="3">
        <f t="shared" si="323"/>
        <v>-6.8518125340398806E-3</v>
      </c>
      <c r="H6896" s="2">
        <f t="shared" si="321"/>
        <v>176.65000000000146</v>
      </c>
      <c r="I6896" s="3">
        <f t="shared" si="322"/>
        <v>8.15517217500503E-3</v>
      </c>
    </row>
    <row r="6897" spans="2:9" x14ac:dyDescent="0.25">
      <c r="B6897" s="1">
        <v>45295</v>
      </c>
      <c r="C6897" s="2">
        <v>21658.6</v>
      </c>
      <c r="D6897" s="2">
        <v>21605.8</v>
      </c>
      <c r="E6897" s="2">
        <v>21685.65</v>
      </c>
      <c r="F6897" s="2">
        <v>21564.55</v>
      </c>
      <c r="G6897" s="3">
        <f t="shared" si="323"/>
        <v>6.5644700671783074E-3</v>
      </c>
      <c r="H6897" s="2">
        <f t="shared" si="321"/>
        <v>121.10000000000218</v>
      </c>
      <c r="I6897" s="3">
        <f t="shared" si="322"/>
        <v>5.6049764415111768E-3</v>
      </c>
    </row>
    <row r="6898" spans="2:9" x14ac:dyDescent="0.25">
      <c r="B6898" s="1">
        <v>45296</v>
      </c>
      <c r="C6898" s="2">
        <v>21710.799999999999</v>
      </c>
      <c r="D6898" s="2">
        <v>21705.75</v>
      </c>
      <c r="E6898" s="2">
        <v>21749.599999999999</v>
      </c>
      <c r="F6898" s="2">
        <v>21629.200000000001</v>
      </c>
      <c r="G6898" s="3">
        <f t="shared" si="323"/>
        <v>2.4101280784538659E-3</v>
      </c>
      <c r="H6898" s="2">
        <f t="shared" si="321"/>
        <v>120.39999999999782</v>
      </c>
      <c r="I6898" s="3">
        <f t="shared" si="322"/>
        <v>5.5469172915009997E-3</v>
      </c>
    </row>
    <row r="6899" spans="2:9" x14ac:dyDescent="0.25">
      <c r="B6899" s="1">
        <v>45299</v>
      </c>
      <c r="C6899" s="2">
        <v>21513</v>
      </c>
      <c r="D6899" s="2">
        <v>21747.599999999999</v>
      </c>
      <c r="E6899" s="2">
        <v>21763.95</v>
      </c>
      <c r="F6899" s="2">
        <v>21492.9</v>
      </c>
      <c r="G6899" s="3">
        <f t="shared" si="323"/>
        <v>-9.1106730290915205E-3</v>
      </c>
      <c r="H6899" s="2">
        <f t="shared" si="321"/>
        <v>271.04999999999927</v>
      </c>
      <c r="I6899" s="3">
        <f t="shared" si="322"/>
        <v>1.2463444242123237E-2</v>
      </c>
    </row>
    <row r="6900" spans="2:9" x14ac:dyDescent="0.25">
      <c r="B6900" s="1">
        <v>45300</v>
      </c>
      <c r="C6900" s="2">
        <v>21544.85</v>
      </c>
      <c r="D6900" s="2">
        <v>21653.599999999999</v>
      </c>
      <c r="E6900" s="2">
        <v>21724.45</v>
      </c>
      <c r="F6900" s="2">
        <v>21517.85</v>
      </c>
      <c r="G6900" s="3">
        <f t="shared" si="323"/>
        <v>1.4805001626922998E-3</v>
      </c>
      <c r="H6900" s="2">
        <f t="shared" si="321"/>
        <v>206.60000000000218</v>
      </c>
      <c r="I6900" s="3">
        <f t="shared" si="322"/>
        <v>9.5411386559279849E-3</v>
      </c>
    </row>
    <row r="6901" spans="2:9" x14ac:dyDescent="0.25">
      <c r="B6901" s="1">
        <v>45301</v>
      </c>
      <c r="C6901" s="2">
        <v>21618.7</v>
      </c>
      <c r="D6901" s="2">
        <v>21529.3</v>
      </c>
      <c r="E6901" s="2">
        <v>21641.85</v>
      </c>
      <c r="F6901" s="2">
        <v>21448.65</v>
      </c>
      <c r="G6901" s="3">
        <f t="shared" si="323"/>
        <v>3.4277333098164942E-3</v>
      </c>
      <c r="H6901" s="2">
        <f t="shared" si="321"/>
        <v>193.19999999999709</v>
      </c>
      <c r="I6901" s="3">
        <f t="shared" si="322"/>
        <v>8.973817077192343E-3</v>
      </c>
    </row>
    <row r="6902" spans="2:9" x14ac:dyDescent="0.25">
      <c r="B6902" s="1">
        <v>45302</v>
      </c>
      <c r="C6902" s="2">
        <v>21647.200000000001</v>
      </c>
      <c r="D6902" s="2">
        <v>21688</v>
      </c>
      <c r="E6902" s="2">
        <v>21726.5</v>
      </c>
      <c r="F6902" s="2">
        <v>21593.75</v>
      </c>
      <c r="G6902" s="3">
        <f t="shared" si="323"/>
        <v>1.3183031357111297E-3</v>
      </c>
      <c r="H6902" s="2">
        <f t="shared" si="321"/>
        <v>132.75</v>
      </c>
      <c r="I6902" s="3">
        <f t="shared" si="322"/>
        <v>6.120896348210992E-3</v>
      </c>
    </row>
    <row r="6903" spans="2:9" x14ac:dyDescent="0.25">
      <c r="B6903" s="1">
        <v>45303</v>
      </c>
      <c r="C6903" s="2">
        <v>21894.55</v>
      </c>
      <c r="D6903" s="2">
        <v>21773.55</v>
      </c>
      <c r="E6903" s="2">
        <v>21928.25</v>
      </c>
      <c r="F6903" s="2">
        <v>21715.15</v>
      </c>
      <c r="G6903" s="3">
        <f t="shared" si="323"/>
        <v>1.1426420045086649E-2</v>
      </c>
      <c r="H6903" s="2">
        <f t="shared" si="321"/>
        <v>213.09999999999854</v>
      </c>
      <c r="I6903" s="3">
        <f t="shared" si="322"/>
        <v>9.7871040781130573E-3</v>
      </c>
    </row>
    <row r="6904" spans="2:9" x14ac:dyDescent="0.25">
      <c r="B6904" s="1">
        <v>45306</v>
      </c>
      <c r="C6904" s="2">
        <v>22097.45</v>
      </c>
      <c r="D6904" s="2">
        <v>22053.15</v>
      </c>
      <c r="E6904" s="2">
        <v>22115.55</v>
      </c>
      <c r="F6904" s="2">
        <v>21963.55</v>
      </c>
      <c r="G6904" s="3">
        <f t="shared" si="323"/>
        <v>9.2671463903117868E-3</v>
      </c>
      <c r="H6904" s="2">
        <f t="shared" si="321"/>
        <v>152</v>
      </c>
      <c r="I6904" s="3">
        <f t="shared" si="322"/>
        <v>6.8924394020808818E-3</v>
      </c>
    </row>
    <row r="6905" spans="2:9" x14ac:dyDescent="0.25">
      <c r="B6905" s="1">
        <v>45307</v>
      </c>
      <c r="C6905" s="2">
        <v>22032.3</v>
      </c>
      <c r="D6905" s="2">
        <v>22080.5</v>
      </c>
      <c r="E6905" s="2">
        <v>22124.15</v>
      </c>
      <c r="F6905" s="2">
        <v>21969.8</v>
      </c>
      <c r="G6905" s="3">
        <f t="shared" si="323"/>
        <v>-2.9483039898269281E-3</v>
      </c>
      <c r="H6905" s="2">
        <f t="shared" si="321"/>
        <v>154.35000000000218</v>
      </c>
      <c r="I6905" s="3">
        <f t="shared" si="322"/>
        <v>6.9903308348996706E-3</v>
      </c>
    </row>
    <row r="6906" spans="2:9" x14ac:dyDescent="0.25">
      <c r="B6906" s="1">
        <v>45308</v>
      </c>
      <c r="C6906" s="2">
        <v>21571.95</v>
      </c>
      <c r="D6906" s="2">
        <v>21647.25</v>
      </c>
      <c r="E6906" s="2">
        <v>21851.5</v>
      </c>
      <c r="F6906" s="2">
        <v>21550.45</v>
      </c>
      <c r="G6906" s="3">
        <f t="shared" si="323"/>
        <v>-2.0894323334377241E-2</v>
      </c>
      <c r="H6906" s="2">
        <f t="shared" si="321"/>
        <v>301.04999999999927</v>
      </c>
      <c r="I6906" s="3">
        <f t="shared" si="322"/>
        <v>1.3907078266292451E-2</v>
      </c>
    </row>
    <row r="6907" spans="2:9" x14ac:dyDescent="0.25">
      <c r="B6907" s="1">
        <v>45309</v>
      </c>
      <c r="C6907" s="2">
        <v>21462.25</v>
      </c>
      <c r="D6907" s="2">
        <v>21414.2</v>
      </c>
      <c r="E6907" s="2">
        <v>21539.4</v>
      </c>
      <c r="F6907" s="2">
        <v>21285.55</v>
      </c>
      <c r="G6907" s="3">
        <f t="shared" si="323"/>
        <v>-5.0853075405793424E-3</v>
      </c>
      <c r="H6907" s="2">
        <f t="shared" si="321"/>
        <v>253.85000000000218</v>
      </c>
      <c r="I6907" s="3">
        <f t="shared" si="322"/>
        <v>1.1854283606205329E-2</v>
      </c>
    </row>
    <row r="6908" spans="2:9" x14ac:dyDescent="0.25">
      <c r="B6908" s="1">
        <v>45310</v>
      </c>
      <c r="C6908" s="2">
        <v>21622.400000000001</v>
      </c>
      <c r="D6908" s="2">
        <v>21615.200000000001</v>
      </c>
      <c r="E6908" s="2">
        <v>21670.6</v>
      </c>
      <c r="F6908" s="2">
        <v>21575</v>
      </c>
      <c r="G6908" s="3">
        <f t="shared" si="323"/>
        <v>7.4619389858938678E-3</v>
      </c>
      <c r="H6908" s="2">
        <f t="shared" si="321"/>
        <v>95.599999999998545</v>
      </c>
      <c r="I6908" s="3">
        <f t="shared" si="322"/>
        <v>4.4228135756318948E-3</v>
      </c>
    </row>
    <row r="6909" spans="2:9" x14ac:dyDescent="0.25">
      <c r="B6909" s="1">
        <v>45311</v>
      </c>
      <c r="C6909" s="2">
        <v>21571.8</v>
      </c>
      <c r="D6909" s="2">
        <v>21706.15</v>
      </c>
      <c r="E6909" s="2">
        <v>21720.3</v>
      </c>
      <c r="F6909" s="2">
        <v>21541.8</v>
      </c>
      <c r="G6909" s="3">
        <f t="shared" si="323"/>
        <v>-2.3401657540329523E-3</v>
      </c>
      <c r="H6909" s="2">
        <f t="shared" si="321"/>
        <v>178.5</v>
      </c>
      <c r="I6909" s="3">
        <f t="shared" si="322"/>
        <v>8.223475835189566E-3</v>
      </c>
    </row>
    <row r="6910" spans="2:9" x14ac:dyDescent="0.25">
      <c r="B6910" s="1">
        <v>45314</v>
      </c>
      <c r="C6910" s="2">
        <v>21238.799999999999</v>
      </c>
      <c r="D6910" s="2">
        <v>21716.7</v>
      </c>
      <c r="E6910" s="2">
        <v>21750.25</v>
      </c>
      <c r="F6910" s="2">
        <v>21192.6</v>
      </c>
      <c r="G6910" s="3">
        <f t="shared" si="323"/>
        <v>-1.5436820293160514E-2</v>
      </c>
      <c r="H6910" s="2">
        <f t="shared" si="321"/>
        <v>557.65000000000146</v>
      </c>
      <c r="I6910" s="3">
        <f t="shared" si="322"/>
        <v>2.5678394967927974E-2</v>
      </c>
    </row>
    <row r="6911" spans="2:9" x14ac:dyDescent="0.25">
      <c r="B6911" s="1">
        <v>45315</v>
      </c>
      <c r="C6911" s="2">
        <v>21453.95</v>
      </c>
      <c r="D6911" s="2">
        <v>21185.25</v>
      </c>
      <c r="E6911" s="2">
        <v>21482.35</v>
      </c>
      <c r="F6911" s="2">
        <v>21137.200000000001</v>
      </c>
      <c r="G6911" s="3">
        <f t="shared" si="323"/>
        <v>1.0130045011959243E-2</v>
      </c>
      <c r="H6911" s="2">
        <f t="shared" si="321"/>
        <v>345.14999999999782</v>
      </c>
      <c r="I6911" s="3">
        <f t="shared" si="322"/>
        <v>1.6291995610153188E-2</v>
      </c>
    </row>
    <row r="6912" spans="2:9" x14ac:dyDescent="0.25">
      <c r="B6912" s="1">
        <v>45316</v>
      </c>
      <c r="C6912" s="2">
        <v>21352.6</v>
      </c>
      <c r="D6912" s="2">
        <v>21454.6</v>
      </c>
      <c r="E6912" s="2">
        <v>21459</v>
      </c>
      <c r="F6912" s="2">
        <v>21247.05</v>
      </c>
      <c r="G6912" s="3">
        <f t="shared" si="323"/>
        <v>-4.7240717909756702E-3</v>
      </c>
      <c r="H6912" s="2">
        <f t="shared" si="321"/>
        <v>211.95000000000073</v>
      </c>
      <c r="I6912" s="3">
        <f t="shared" si="322"/>
        <v>9.8790003076263712E-3</v>
      </c>
    </row>
    <row r="6913" spans="2:9" x14ac:dyDescent="0.25">
      <c r="B6913" s="1">
        <v>45320</v>
      </c>
      <c r="C6913" s="2">
        <v>21737.599999999999</v>
      </c>
      <c r="D6913" s="2">
        <v>21433.1</v>
      </c>
      <c r="E6913" s="2">
        <v>21763.25</v>
      </c>
      <c r="F6913" s="2">
        <v>21429.599999999999</v>
      </c>
      <c r="G6913" s="3">
        <f t="shared" si="323"/>
        <v>1.8030591122392581E-2</v>
      </c>
      <c r="H6913" s="2">
        <f t="shared" si="321"/>
        <v>333.65000000000146</v>
      </c>
      <c r="I6913" s="3">
        <f t="shared" si="322"/>
        <v>1.5567043498140795E-2</v>
      </c>
    </row>
    <row r="6914" spans="2:9" x14ac:dyDescent="0.25">
      <c r="B6914" s="1">
        <v>45321</v>
      </c>
      <c r="C6914" s="2">
        <v>21522.1</v>
      </c>
      <c r="D6914" s="2">
        <v>21775.75</v>
      </c>
      <c r="E6914" s="2">
        <v>21813.05</v>
      </c>
      <c r="F6914" s="2">
        <v>21501.8</v>
      </c>
      <c r="G6914" s="3">
        <f t="shared" si="323"/>
        <v>-9.9136979243338308E-3</v>
      </c>
      <c r="H6914" s="2">
        <f t="shared" si="321"/>
        <v>311.25</v>
      </c>
      <c r="I6914" s="3">
        <f t="shared" si="322"/>
        <v>1.4293422729412305E-2</v>
      </c>
    </row>
    <row r="6915" spans="2:9" x14ac:dyDescent="0.25">
      <c r="B6915" s="1">
        <v>45322</v>
      </c>
      <c r="C6915" s="2">
        <v>21725.7</v>
      </c>
      <c r="D6915" s="2">
        <v>21487.25</v>
      </c>
      <c r="E6915" s="2">
        <v>21741.35</v>
      </c>
      <c r="F6915" s="2">
        <v>21448.85</v>
      </c>
      <c r="G6915" s="3">
        <f t="shared" si="323"/>
        <v>9.4600433972522602E-3</v>
      </c>
      <c r="H6915" s="2">
        <f t="shared" si="321"/>
        <v>292.5</v>
      </c>
      <c r="I6915" s="3">
        <f t="shared" si="322"/>
        <v>1.3612723824593654E-2</v>
      </c>
    </row>
    <row r="6916" spans="2:9" x14ac:dyDescent="0.25">
      <c r="B6916" s="1">
        <v>45323</v>
      </c>
      <c r="C6916" s="2">
        <v>21697.45</v>
      </c>
      <c r="D6916" s="2">
        <v>21780.65</v>
      </c>
      <c r="E6916" s="2">
        <v>21832.95</v>
      </c>
      <c r="F6916" s="2">
        <v>21658.75</v>
      </c>
      <c r="G6916" s="3">
        <f t="shared" si="323"/>
        <v>-1.3003033273956133E-3</v>
      </c>
      <c r="H6916" s="2">
        <f t="shared" si="321"/>
        <v>174.20000000000073</v>
      </c>
      <c r="I6916" s="3">
        <f t="shared" si="322"/>
        <v>7.9979247634942349E-3</v>
      </c>
    </row>
    <row r="6917" spans="2:9" x14ac:dyDescent="0.25">
      <c r="B6917" s="1">
        <v>45324</v>
      </c>
      <c r="C6917" s="2">
        <v>21853.8</v>
      </c>
      <c r="D6917" s="2">
        <v>21812.75</v>
      </c>
      <c r="E6917" s="2">
        <v>22126.799999999999</v>
      </c>
      <c r="F6917" s="2">
        <v>21805.55</v>
      </c>
      <c r="G6917" s="3">
        <f t="shared" si="323"/>
        <v>7.2059159025599229E-3</v>
      </c>
      <c r="H6917" s="2">
        <f t="shared" ref="H6917:H6980" si="324">E6917-F6917</f>
        <v>321.25</v>
      </c>
      <c r="I6917" s="3">
        <f t="shared" si="322"/>
        <v>1.4727624898281968E-2</v>
      </c>
    </row>
    <row r="6918" spans="2:9" x14ac:dyDescent="0.25">
      <c r="B6918" s="1">
        <v>45327</v>
      </c>
      <c r="C6918" s="2">
        <v>21771.7</v>
      </c>
      <c r="D6918" s="2">
        <v>21921.05</v>
      </c>
      <c r="E6918" s="2">
        <v>21964.3</v>
      </c>
      <c r="F6918" s="2">
        <v>21726.95</v>
      </c>
      <c r="G6918" s="3">
        <f t="shared" si="323"/>
        <v>-3.756783717248191E-3</v>
      </c>
      <c r="H6918" s="2">
        <f t="shared" si="324"/>
        <v>237.34999999999854</v>
      </c>
      <c r="I6918" s="3">
        <f t="shared" ref="I6918:I6981" si="325">H6918/D6918</f>
        <v>1.0827492296217496E-2</v>
      </c>
    </row>
    <row r="6919" spans="2:9" x14ac:dyDescent="0.25">
      <c r="B6919" s="1">
        <v>45328</v>
      </c>
      <c r="C6919" s="2">
        <v>21929.4</v>
      </c>
      <c r="D6919" s="2">
        <v>21825.200000000001</v>
      </c>
      <c r="E6919" s="2">
        <v>21951.4</v>
      </c>
      <c r="F6919" s="2">
        <v>21737.55</v>
      </c>
      <c r="G6919" s="3">
        <f t="shared" ref="G6919:G6982" si="326">C6919/C6918-1</f>
        <v>7.2433480160023489E-3</v>
      </c>
      <c r="H6919" s="2">
        <f t="shared" si="324"/>
        <v>213.85000000000218</v>
      </c>
      <c r="I6919" s="3">
        <f t="shared" si="325"/>
        <v>9.7983065447282119E-3</v>
      </c>
    </row>
    <row r="6920" spans="2:9" x14ac:dyDescent="0.25">
      <c r="B6920" s="1">
        <v>45329</v>
      </c>
      <c r="C6920" s="2">
        <v>21930.5</v>
      </c>
      <c r="D6920" s="2">
        <v>22045.05</v>
      </c>
      <c r="E6920" s="2">
        <v>22053.3</v>
      </c>
      <c r="F6920" s="2">
        <v>21860.15</v>
      </c>
      <c r="G6920" s="3">
        <f t="shared" si="326"/>
        <v>5.0160971116319786E-5</v>
      </c>
      <c r="H6920" s="2">
        <f t="shared" si="324"/>
        <v>193.14999999999782</v>
      </c>
      <c r="I6920" s="3">
        <f t="shared" si="325"/>
        <v>8.7616040789201127E-3</v>
      </c>
    </row>
    <row r="6921" spans="2:9" x14ac:dyDescent="0.25">
      <c r="B6921" s="1">
        <v>45330</v>
      </c>
      <c r="C6921" s="2">
        <v>21717.95</v>
      </c>
      <c r="D6921" s="2">
        <v>22009.65</v>
      </c>
      <c r="E6921" s="2">
        <v>22011.05</v>
      </c>
      <c r="F6921" s="2">
        <v>21665.3</v>
      </c>
      <c r="G6921" s="3">
        <f t="shared" si="326"/>
        <v>-9.6919814869701471E-3</v>
      </c>
      <c r="H6921" s="2">
        <f t="shared" si="324"/>
        <v>345.75</v>
      </c>
      <c r="I6921" s="3">
        <f t="shared" si="325"/>
        <v>1.5709018544138593E-2</v>
      </c>
    </row>
    <row r="6922" spans="2:9" x14ac:dyDescent="0.25">
      <c r="B6922" s="1">
        <v>45331</v>
      </c>
      <c r="C6922" s="2">
        <v>21782.5</v>
      </c>
      <c r="D6922" s="2">
        <v>21727</v>
      </c>
      <c r="E6922" s="2">
        <v>21804.45</v>
      </c>
      <c r="F6922" s="2">
        <v>21629.9</v>
      </c>
      <c r="G6922" s="3">
        <f t="shared" si="326"/>
        <v>2.9721958103781088E-3</v>
      </c>
      <c r="H6922" s="2">
        <f t="shared" si="324"/>
        <v>174.54999999999927</v>
      </c>
      <c r="I6922" s="3">
        <f t="shared" si="325"/>
        <v>8.0337828508307303E-3</v>
      </c>
    </row>
    <row r="6923" spans="2:9" x14ac:dyDescent="0.25">
      <c r="B6923" s="1">
        <v>45334</v>
      </c>
      <c r="C6923" s="2">
        <v>21616.05</v>
      </c>
      <c r="D6923" s="2">
        <v>21800.799999999999</v>
      </c>
      <c r="E6923" s="2">
        <v>21831.7</v>
      </c>
      <c r="F6923" s="2">
        <v>21574.75</v>
      </c>
      <c r="G6923" s="3">
        <f t="shared" si="326"/>
        <v>-7.6414552966831417E-3</v>
      </c>
      <c r="H6923" s="2">
        <f t="shared" si="324"/>
        <v>256.95000000000073</v>
      </c>
      <c r="I6923" s="3">
        <f t="shared" si="325"/>
        <v>1.1786264724230337E-2</v>
      </c>
    </row>
    <row r="6924" spans="2:9" x14ac:dyDescent="0.25">
      <c r="B6924" s="1">
        <v>45335</v>
      </c>
      <c r="C6924" s="2">
        <v>21743.25</v>
      </c>
      <c r="D6924" s="2">
        <v>21664.3</v>
      </c>
      <c r="E6924" s="2">
        <v>21766.799999999999</v>
      </c>
      <c r="F6924" s="2">
        <v>21543.35</v>
      </c>
      <c r="G6924" s="3">
        <f t="shared" si="326"/>
        <v>5.8845163663112654E-3</v>
      </c>
      <c r="H6924" s="2">
        <f t="shared" si="324"/>
        <v>223.45000000000073</v>
      </c>
      <c r="I6924" s="3">
        <f t="shared" si="325"/>
        <v>1.0314203551464887E-2</v>
      </c>
    </row>
    <row r="6925" spans="2:9" x14ac:dyDescent="0.25">
      <c r="B6925" s="1">
        <v>45336</v>
      </c>
      <c r="C6925" s="2">
        <v>21840.05</v>
      </c>
      <c r="D6925" s="2">
        <v>21578.15</v>
      </c>
      <c r="E6925" s="2">
        <v>21870.85</v>
      </c>
      <c r="F6925" s="2">
        <v>21530.2</v>
      </c>
      <c r="G6925" s="3">
        <f t="shared" si="326"/>
        <v>4.4519563542708696E-3</v>
      </c>
      <c r="H6925" s="2">
        <f t="shared" si="324"/>
        <v>340.64999999999782</v>
      </c>
      <c r="I6925" s="3">
        <f t="shared" si="325"/>
        <v>1.5786802853812665E-2</v>
      </c>
    </row>
    <row r="6926" spans="2:9" x14ac:dyDescent="0.25">
      <c r="B6926" s="1">
        <v>45337</v>
      </c>
      <c r="C6926" s="2">
        <v>21910.75</v>
      </c>
      <c r="D6926" s="2">
        <v>21906.55</v>
      </c>
      <c r="E6926" s="2">
        <v>21953.85</v>
      </c>
      <c r="F6926" s="2">
        <v>21794.799999999999</v>
      </c>
      <c r="G6926" s="3">
        <f t="shared" si="326"/>
        <v>3.2371720760713263E-3</v>
      </c>
      <c r="H6926" s="2">
        <f t="shared" si="324"/>
        <v>159.04999999999927</v>
      </c>
      <c r="I6926" s="3">
        <f t="shared" si="325"/>
        <v>7.2603855924369323E-3</v>
      </c>
    </row>
    <row r="6927" spans="2:9" x14ac:dyDescent="0.25">
      <c r="B6927" s="1">
        <v>45338</v>
      </c>
      <c r="C6927" s="2">
        <v>22040.7</v>
      </c>
      <c r="D6927" s="2">
        <v>22020.3</v>
      </c>
      <c r="E6927" s="2">
        <v>22068.65</v>
      </c>
      <c r="F6927" s="2">
        <v>21968.95</v>
      </c>
      <c r="G6927" s="3">
        <f t="shared" si="326"/>
        <v>5.9308786782743539E-3</v>
      </c>
      <c r="H6927" s="2">
        <f t="shared" si="324"/>
        <v>99.700000000000728</v>
      </c>
      <c r="I6927" s="3">
        <f t="shared" si="325"/>
        <v>4.5276404045358478E-3</v>
      </c>
    </row>
    <row r="6928" spans="2:9" x14ac:dyDescent="0.25">
      <c r="B6928" s="1">
        <v>45341</v>
      </c>
      <c r="C6928" s="2">
        <v>22122.25</v>
      </c>
      <c r="D6928" s="2">
        <v>22103.45</v>
      </c>
      <c r="E6928" s="2">
        <v>22186.65</v>
      </c>
      <c r="F6928" s="2">
        <v>22021.05</v>
      </c>
      <c r="G6928" s="3">
        <f t="shared" si="326"/>
        <v>3.6999732313400813E-3</v>
      </c>
      <c r="H6928" s="2">
        <f t="shared" si="324"/>
        <v>165.60000000000218</v>
      </c>
      <c r="I6928" s="3">
        <f t="shared" si="325"/>
        <v>7.4920430973446309E-3</v>
      </c>
    </row>
    <row r="6929" spans="2:9" x14ac:dyDescent="0.25">
      <c r="B6929" s="1">
        <v>45342</v>
      </c>
      <c r="C6929" s="2">
        <v>22196.95</v>
      </c>
      <c r="D6929" s="2">
        <v>22099.200000000001</v>
      </c>
      <c r="E6929" s="2">
        <v>22215.599999999999</v>
      </c>
      <c r="F6929" s="2">
        <v>22045.85</v>
      </c>
      <c r="G6929" s="3">
        <f t="shared" si="326"/>
        <v>3.3766908881329716E-3</v>
      </c>
      <c r="H6929" s="2">
        <f t="shared" si="324"/>
        <v>169.75</v>
      </c>
      <c r="I6929" s="3">
        <f t="shared" si="325"/>
        <v>7.6812735302635386E-3</v>
      </c>
    </row>
    <row r="6930" spans="2:9" x14ac:dyDescent="0.25">
      <c r="B6930" s="1">
        <v>45343</v>
      </c>
      <c r="C6930" s="2">
        <v>22055.05</v>
      </c>
      <c r="D6930" s="2">
        <v>22248.85</v>
      </c>
      <c r="E6930" s="2">
        <v>22249.4</v>
      </c>
      <c r="F6930" s="2">
        <v>21997.95</v>
      </c>
      <c r="G6930" s="3">
        <f t="shared" si="326"/>
        <v>-6.3927701778848656E-3</v>
      </c>
      <c r="H6930" s="2">
        <f t="shared" si="324"/>
        <v>251.45000000000073</v>
      </c>
      <c r="I6930" s="3">
        <f t="shared" si="325"/>
        <v>1.1301707728714102E-2</v>
      </c>
    </row>
    <row r="6931" spans="2:9" x14ac:dyDescent="0.25">
      <c r="B6931" s="1">
        <v>45344</v>
      </c>
      <c r="C6931" s="2">
        <v>22217.45</v>
      </c>
      <c r="D6931" s="2">
        <v>22081.55</v>
      </c>
      <c r="E6931" s="2">
        <v>22252.5</v>
      </c>
      <c r="F6931" s="2">
        <v>21875.25</v>
      </c>
      <c r="G6931" s="3">
        <f t="shared" si="326"/>
        <v>7.3633929644232321E-3</v>
      </c>
      <c r="H6931" s="2">
        <f t="shared" si="324"/>
        <v>377.25</v>
      </c>
      <c r="I6931" s="3">
        <f t="shared" si="325"/>
        <v>1.7084398513691295E-2</v>
      </c>
    </row>
    <row r="6932" spans="2:9" x14ac:dyDescent="0.25">
      <c r="B6932" s="1">
        <v>45345</v>
      </c>
      <c r="C6932" s="2">
        <v>22212.7</v>
      </c>
      <c r="D6932" s="2">
        <v>22290</v>
      </c>
      <c r="E6932" s="2">
        <v>22297.5</v>
      </c>
      <c r="F6932" s="2">
        <v>22186.1</v>
      </c>
      <c r="G6932" s="3">
        <f t="shared" si="326"/>
        <v>-2.1379591267223219E-4</v>
      </c>
      <c r="H6932" s="2">
        <f t="shared" si="324"/>
        <v>111.40000000000146</v>
      </c>
      <c r="I6932" s="3">
        <f t="shared" si="325"/>
        <v>4.9977568416330843E-3</v>
      </c>
    </row>
    <row r="6933" spans="2:9" x14ac:dyDescent="0.25">
      <c r="B6933" s="1">
        <v>45348</v>
      </c>
      <c r="C6933" s="2">
        <v>22122.05</v>
      </c>
      <c r="D6933" s="2">
        <v>22169.200000000001</v>
      </c>
      <c r="E6933" s="2">
        <v>22202.15</v>
      </c>
      <c r="F6933" s="2">
        <v>22075.15</v>
      </c>
      <c r="G6933" s="3">
        <f t="shared" si="326"/>
        <v>-4.0809987079464261E-3</v>
      </c>
      <c r="H6933" s="2">
        <f t="shared" si="324"/>
        <v>127</v>
      </c>
      <c r="I6933" s="3">
        <f t="shared" si="325"/>
        <v>5.7286686032874436E-3</v>
      </c>
    </row>
    <row r="6934" spans="2:9" x14ac:dyDescent="0.25">
      <c r="B6934" s="1">
        <v>45349</v>
      </c>
      <c r="C6934" s="2">
        <v>22198.35</v>
      </c>
      <c r="D6934" s="2">
        <v>22090.2</v>
      </c>
      <c r="E6934" s="2">
        <v>22218.25</v>
      </c>
      <c r="F6934" s="2">
        <v>22085.65</v>
      </c>
      <c r="G6934" s="3">
        <f t="shared" si="326"/>
        <v>3.4490474436139618E-3</v>
      </c>
      <c r="H6934" s="2">
        <f t="shared" si="324"/>
        <v>132.59999999999854</v>
      </c>
      <c r="I6934" s="3">
        <f t="shared" si="325"/>
        <v>6.0026618138359338E-3</v>
      </c>
    </row>
    <row r="6935" spans="2:9" x14ac:dyDescent="0.25">
      <c r="B6935" s="1">
        <v>45350</v>
      </c>
      <c r="C6935" s="2">
        <v>21951.15</v>
      </c>
      <c r="D6935" s="2">
        <v>22214.1</v>
      </c>
      <c r="E6935" s="2">
        <v>22229.15</v>
      </c>
      <c r="F6935" s="2">
        <v>21915.85</v>
      </c>
      <c r="G6935" s="3">
        <f t="shared" si="326"/>
        <v>-1.1135962808046407E-2</v>
      </c>
      <c r="H6935" s="2">
        <f t="shared" si="324"/>
        <v>313.30000000000291</v>
      </c>
      <c r="I6935" s="3">
        <f t="shared" si="325"/>
        <v>1.4103654885860914E-2</v>
      </c>
    </row>
    <row r="6936" spans="2:9" x14ac:dyDescent="0.25">
      <c r="B6936" s="1">
        <v>45351</v>
      </c>
      <c r="C6936" s="2">
        <v>21982.799999999999</v>
      </c>
      <c r="D6936" s="2">
        <v>21935.200000000001</v>
      </c>
      <c r="E6936" s="2">
        <v>22060.55</v>
      </c>
      <c r="F6936" s="2">
        <v>21860.65</v>
      </c>
      <c r="G6936" s="3">
        <f t="shared" si="326"/>
        <v>1.4418378991531977E-3</v>
      </c>
      <c r="H6936" s="2">
        <f t="shared" si="324"/>
        <v>199.89999999999782</v>
      </c>
      <c r="I6936" s="3">
        <f t="shared" si="325"/>
        <v>9.1132061709032885E-3</v>
      </c>
    </row>
    <row r="6937" spans="2:9" x14ac:dyDescent="0.25">
      <c r="B6937" s="1">
        <v>45352</v>
      </c>
      <c r="C6937" s="2">
        <v>22338.75</v>
      </c>
      <c r="D6937" s="2">
        <v>22048.3</v>
      </c>
      <c r="E6937" s="2">
        <v>22353.3</v>
      </c>
      <c r="F6937" s="2">
        <v>22047.75</v>
      </c>
      <c r="G6937" s="3">
        <f t="shared" si="326"/>
        <v>1.6192204814673428E-2</v>
      </c>
      <c r="H6937" s="2">
        <f t="shared" si="324"/>
        <v>305.54999999999927</v>
      </c>
      <c r="I6937" s="3">
        <f t="shared" si="325"/>
        <v>1.3858211290666368E-2</v>
      </c>
    </row>
    <row r="6938" spans="2:9" x14ac:dyDescent="0.25">
      <c r="B6938" s="1">
        <v>45353</v>
      </c>
      <c r="C6938" s="2">
        <v>22378.400000000001</v>
      </c>
      <c r="D6938" s="2">
        <v>22406.95</v>
      </c>
      <c r="E6938" s="2">
        <v>22419.55</v>
      </c>
      <c r="F6938" s="2">
        <v>22367.05</v>
      </c>
      <c r="G6938" s="3">
        <f t="shared" si="326"/>
        <v>1.7749426445079486E-3</v>
      </c>
      <c r="H6938" s="2">
        <f t="shared" si="324"/>
        <v>52.5</v>
      </c>
      <c r="I6938" s="3">
        <f t="shared" si="325"/>
        <v>2.3430230352636124E-3</v>
      </c>
    </row>
    <row r="6939" spans="2:9" x14ac:dyDescent="0.25">
      <c r="B6939" s="1">
        <v>45355</v>
      </c>
      <c r="C6939" s="2">
        <v>22405.599999999999</v>
      </c>
      <c r="D6939" s="2">
        <v>22403.5</v>
      </c>
      <c r="E6939" s="2">
        <v>22440.9</v>
      </c>
      <c r="F6939" s="2">
        <v>22358.3</v>
      </c>
      <c r="G6939" s="3">
        <f t="shared" si="326"/>
        <v>1.2154577628427088E-3</v>
      </c>
      <c r="H6939" s="2">
        <f t="shared" si="324"/>
        <v>82.600000000002183</v>
      </c>
      <c r="I6939" s="3">
        <f t="shared" si="325"/>
        <v>3.6869239181378886E-3</v>
      </c>
    </row>
    <row r="6940" spans="2:9" x14ac:dyDescent="0.25">
      <c r="B6940" s="1">
        <v>45356</v>
      </c>
      <c r="C6940" s="2">
        <v>22356.3</v>
      </c>
      <c r="D6940" s="2">
        <v>22371.25</v>
      </c>
      <c r="E6940" s="2">
        <v>22416.9</v>
      </c>
      <c r="F6940" s="2">
        <v>22269.15</v>
      </c>
      <c r="G6940" s="3">
        <f t="shared" si="326"/>
        <v>-2.2003427714499812E-3</v>
      </c>
      <c r="H6940" s="2">
        <f t="shared" si="324"/>
        <v>147.75</v>
      </c>
      <c r="I6940" s="3">
        <f t="shared" si="325"/>
        <v>6.604458847851595E-3</v>
      </c>
    </row>
    <row r="6941" spans="2:9" x14ac:dyDescent="0.25">
      <c r="B6941" s="1">
        <v>45357</v>
      </c>
      <c r="C6941" s="2">
        <v>22474.05</v>
      </c>
      <c r="D6941" s="2">
        <v>22327.5</v>
      </c>
      <c r="E6941" s="2">
        <v>22497.200000000001</v>
      </c>
      <c r="F6941" s="2">
        <v>22224.35</v>
      </c>
      <c r="G6941" s="3">
        <f t="shared" si="326"/>
        <v>5.2669717260906967E-3</v>
      </c>
      <c r="H6941" s="2">
        <f t="shared" si="324"/>
        <v>272.85000000000218</v>
      </c>
      <c r="I6941" s="3">
        <f t="shared" si="325"/>
        <v>1.222035606315092E-2</v>
      </c>
    </row>
    <row r="6942" spans="2:9" x14ac:dyDescent="0.25">
      <c r="B6942" s="1">
        <v>45358</v>
      </c>
      <c r="C6942" s="2">
        <v>22493.55</v>
      </c>
      <c r="D6942" s="2">
        <v>22505.3</v>
      </c>
      <c r="E6942" s="2">
        <v>22525.65</v>
      </c>
      <c r="F6942" s="2">
        <v>22430</v>
      </c>
      <c r="G6942" s="3">
        <f t="shared" si="326"/>
        <v>8.6766737637411495E-4</v>
      </c>
      <c r="H6942" s="2">
        <f t="shared" si="324"/>
        <v>95.650000000001455</v>
      </c>
      <c r="I6942" s="3">
        <f t="shared" si="325"/>
        <v>4.2501099740950557E-3</v>
      </c>
    </row>
    <row r="6943" spans="2:9" x14ac:dyDescent="0.25">
      <c r="B6943" s="1">
        <v>45362</v>
      </c>
      <c r="C6943" s="2">
        <v>22332.65</v>
      </c>
      <c r="D6943" s="2">
        <v>22517.5</v>
      </c>
      <c r="E6943" s="2">
        <v>22526.6</v>
      </c>
      <c r="F6943" s="2">
        <v>22307.25</v>
      </c>
      <c r="G6943" s="3">
        <f t="shared" si="326"/>
        <v>-7.1531616841271628E-3</v>
      </c>
      <c r="H6943" s="2">
        <f t="shared" si="324"/>
        <v>219.34999999999854</v>
      </c>
      <c r="I6943" s="3">
        <f t="shared" si="325"/>
        <v>9.7413123126456561E-3</v>
      </c>
    </row>
    <row r="6944" spans="2:9" x14ac:dyDescent="0.25">
      <c r="B6944" s="1">
        <v>45363</v>
      </c>
      <c r="C6944" s="2">
        <v>22335.7</v>
      </c>
      <c r="D6944" s="2">
        <v>22334.45</v>
      </c>
      <c r="E6944" s="2">
        <v>22452.55</v>
      </c>
      <c r="F6944" s="2">
        <v>22256</v>
      </c>
      <c r="G6944" s="3">
        <f t="shared" si="326"/>
        <v>1.3657134285449679E-4</v>
      </c>
      <c r="H6944" s="2">
        <f t="shared" si="324"/>
        <v>196.54999999999927</v>
      </c>
      <c r="I6944" s="3">
        <f t="shared" si="325"/>
        <v>8.8003062533440167E-3</v>
      </c>
    </row>
    <row r="6945" spans="2:9" x14ac:dyDescent="0.25">
      <c r="B6945" s="1">
        <v>45364</v>
      </c>
      <c r="C6945" s="2">
        <v>21997.7</v>
      </c>
      <c r="D6945" s="2">
        <v>22432.2</v>
      </c>
      <c r="E6945" s="2">
        <v>22446.75</v>
      </c>
      <c r="F6945" s="2">
        <v>21905.65</v>
      </c>
      <c r="G6945" s="3">
        <f t="shared" si="326"/>
        <v>-1.5132724741109493E-2</v>
      </c>
      <c r="H6945" s="2">
        <f t="shared" si="324"/>
        <v>541.09999999999854</v>
      </c>
      <c r="I6945" s="3">
        <f t="shared" si="325"/>
        <v>2.4121575235598762E-2</v>
      </c>
    </row>
    <row r="6946" spans="2:9" x14ac:dyDescent="0.25">
      <c r="B6946" s="1">
        <v>45365</v>
      </c>
      <c r="C6946" s="2">
        <v>22146.65</v>
      </c>
      <c r="D6946" s="2">
        <v>21982.55</v>
      </c>
      <c r="E6946" s="2">
        <v>22204.6</v>
      </c>
      <c r="F6946" s="2">
        <v>21917.5</v>
      </c>
      <c r="G6946" s="3">
        <f t="shared" si="326"/>
        <v>6.7711624397095438E-3</v>
      </c>
      <c r="H6946" s="2">
        <f t="shared" si="324"/>
        <v>287.09999999999854</v>
      </c>
      <c r="I6946" s="3">
        <f t="shared" si="325"/>
        <v>1.306035923948762E-2</v>
      </c>
    </row>
    <row r="6947" spans="2:9" x14ac:dyDescent="0.25">
      <c r="B6947" s="1">
        <v>45366</v>
      </c>
      <c r="C6947" s="2">
        <v>22023.35</v>
      </c>
      <c r="D6947" s="2">
        <v>22064.85</v>
      </c>
      <c r="E6947" s="2">
        <v>22120.9</v>
      </c>
      <c r="F6947" s="2">
        <v>21931.7</v>
      </c>
      <c r="G6947" s="3">
        <f t="shared" si="326"/>
        <v>-5.5674334493028832E-3</v>
      </c>
      <c r="H6947" s="2">
        <f t="shared" si="324"/>
        <v>189.20000000000073</v>
      </c>
      <c r="I6947" s="3">
        <f t="shared" si="325"/>
        <v>8.5747240520556781E-3</v>
      </c>
    </row>
    <row r="6948" spans="2:9" x14ac:dyDescent="0.25">
      <c r="B6948" s="1">
        <v>45369</v>
      </c>
      <c r="C6948" s="2">
        <v>22055.7</v>
      </c>
      <c r="D6948" s="2">
        <v>21990.1</v>
      </c>
      <c r="E6948" s="2">
        <v>22123.7</v>
      </c>
      <c r="F6948" s="2">
        <v>21916.55</v>
      </c>
      <c r="G6948" s="3">
        <f t="shared" si="326"/>
        <v>1.4688955131714199E-3</v>
      </c>
      <c r="H6948" s="2">
        <f t="shared" si="324"/>
        <v>207.15000000000146</v>
      </c>
      <c r="I6948" s="3">
        <f t="shared" si="325"/>
        <v>9.4201481575800685E-3</v>
      </c>
    </row>
    <row r="6949" spans="2:9" x14ac:dyDescent="0.25">
      <c r="B6949" s="1">
        <v>45370</v>
      </c>
      <c r="C6949" s="2">
        <v>21817.45</v>
      </c>
      <c r="D6949" s="2">
        <v>21946.45</v>
      </c>
      <c r="E6949" s="2">
        <v>21978.3</v>
      </c>
      <c r="F6949" s="2">
        <v>21793.1</v>
      </c>
      <c r="G6949" s="3">
        <f t="shared" si="326"/>
        <v>-1.0802196257656771E-2</v>
      </c>
      <c r="H6949" s="2">
        <f t="shared" si="324"/>
        <v>185.20000000000073</v>
      </c>
      <c r="I6949" s="3">
        <f t="shared" si="325"/>
        <v>8.4387224357470435E-3</v>
      </c>
    </row>
    <row r="6950" spans="2:9" x14ac:dyDescent="0.25">
      <c r="B6950" s="1">
        <v>45371</v>
      </c>
      <c r="C6950" s="2">
        <v>21839.1</v>
      </c>
      <c r="D6950" s="2">
        <v>21843.9</v>
      </c>
      <c r="E6950" s="2">
        <v>21930.9</v>
      </c>
      <c r="F6950" s="2">
        <v>21710.2</v>
      </c>
      <c r="G6950" s="3">
        <f t="shared" si="326"/>
        <v>9.9232495089940365E-4</v>
      </c>
      <c r="H6950" s="2">
        <f t="shared" si="324"/>
        <v>220.70000000000073</v>
      </c>
      <c r="I6950" s="3">
        <f t="shared" si="325"/>
        <v>1.0103507157604674E-2</v>
      </c>
    </row>
    <row r="6951" spans="2:9" x14ac:dyDescent="0.25">
      <c r="B6951" s="1">
        <v>45372</v>
      </c>
      <c r="C6951" s="2">
        <v>22011.95</v>
      </c>
      <c r="D6951" s="2">
        <v>21989.9</v>
      </c>
      <c r="E6951" s="2">
        <v>22080.95</v>
      </c>
      <c r="F6951" s="2">
        <v>21941.3</v>
      </c>
      <c r="G6951" s="3">
        <f t="shared" si="326"/>
        <v>7.9147034447391018E-3</v>
      </c>
      <c r="H6951" s="2">
        <f t="shared" si="324"/>
        <v>139.65000000000146</v>
      </c>
      <c r="I6951" s="3">
        <f t="shared" si="325"/>
        <v>6.3506427951014535E-3</v>
      </c>
    </row>
    <row r="6952" spans="2:9" x14ac:dyDescent="0.25">
      <c r="B6952" s="1">
        <v>45373</v>
      </c>
      <c r="C6952" s="2">
        <v>22096.75</v>
      </c>
      <c r="D6952" s="2">
        <v>21932.2</v>
      </c>
      <c r="E6952" s="2">
        <v>22180.7</v>
      </c>
      <c r="F6952" s="2">
        <v>21883.3</v>
      </c>
      <c r="G6952" s="3">
        <f t="shared" si="326"/>
        <v>3.8524528721899376E-3</v>
      </c>
      <c r="H6952" s="2">
        <f t="shared" si="324"/>
        <v>297.40000000000146</v>
      </c>
      <c r="I6952" s="3">
        <f t="shared" si="325"/>
        <v>1.3559971183921424E-2</v>
      </c>
    </row>
    <row r="6953" spans="2:9" x14ac:dyDescent="0.25">
      <c r="B6953" s="1">
        <v>45377</v>
      </c>
      <c r="C6953" s="2">
        <v>22004.7</v>
      </c>
      <c r="D6953" s="2">
        <v>21947.9</v>
      </c>
      <c r="E6953" s="2">
        <v>22073.200000000001</v>
      </c>
      <c r="F6953" s="2">
        <v>21947.55</v>
      </c>
      <c r="G6953" s="3">
        <f t="shared" si="326"/>
        <v>-4.1657709844207247E-3</v>
      </c>
      <c r="H6953" s="2">
        <f t="shared" si="324"/>
        <v>125.65000000000146</v>
      </c>
      <c r="I6953" s="3">
        <f t="shared" si="325"/>
        <v>5.7249212908752753E-3</v>
      </c>
    </row>
    <row r="6954" spans="2:9" x14ac:dyDescent="0.25">
      <c r="B6954" s="1">
        <v>45378</v>
      </c>
      <c r="C6954" s="2">
        <v>22123.65</v>
      </c>
      <c r="D6954" s="2">
        <v>22053.95</v>
      </c>
      <c r="E6954" s="2">
        <v>22193.599999999999</v>
      </c>
      <c r="F6954" s="2">
        <v>22052.85</v>
      </c>
      <c r="G6954" s="3">
        <f t="shared" si="326"/>
        <v>5.4056633355601402E-3</v>
      </c>
      <c r="H6954" s="2">
        <f t="shared" si="324"/>
        <v>140.75</v>
      </c>
      <c r="I6954" s="3">
        <f t="shared" si="325"/>
        <v>6.382076680141199E-3</v>
      </c>
    </row>
    <row r="6955" spans="2:9" x14ac:dyDescent="0.25">
      <c r="B6955" s="1">
        <v>45379</v>
      </c>
      <c r="C6955" s="2">
        <v>22326.9</v>
      </c>
      <c r="D6955" s="2">
        <v>22163.599999999999</v>
      </c>
      <c r="E6955" s="2">
        <v>22516</v>
      </c>
      <c r="F6955" s="2">
        <v>22163.599999999999</v>
      </c>
      <c r="G6955" s="3">
        <f t="shared" si="326"/>
        <v>9.1870012407537782E-3</v>
      </c>
      <c r="H6955" s="2">
        <f t="shared" si="324"/>
        <v>352.40000000000146</v>
      </c>
      <c r="I6955" s="3">
        <f t="shared" si="325"/>
        <v>1.5899944052410325E-2</v>
      </c>
    </row>
    <row r="6956" spans="2:9" x14ac:dyDescent="0.25">
      <c r="B6956" s="1">
        <v>45383</v>
      </c>
      <c r="C6956" s="2">
        <v>22462</v>
      </c>
      <c r="D6956" s="2">
        <v>22455</v>
      </c>
      <c r="E6956" s="2">
        <v>22529.95</v>
      </c>
      <c r="F6956" s="2">
        <v>22427.75</v>
      </c>
      <c r="G6956" s="3">
        <f t="shared" si="326"/>
        <v>6.0509967796693598E-3</v>
      </c>
      <c r="H6956" s="2">
        <f t="shared" si="324"/>
        <v>102.20000000000073</v>
      </c>
      <c r="I6956" s="3">
        <f t="shared" si="325"/>
        <v>4.5513248719661866E-3</v>
      </c>
    </row>
    <row r="6957" spans="2:9" x14ac:dyDescent="0.25">
      <c r="B6957" s="1">
        <v>45384</v>
      </c>
      <c r="C6957" s="2">
        <v>22453.3</v>
      </c>
      <c r="D6957" s="2">
        <v>22458.799999999999</v>
      </c>
      <c r="E6957" s="2">
        <v>22497.599999999999</v>
      </c>
      <c r="F6957" s="2">
        <v>22388.15</v>
      </c>
      <c r="G6957" s="3">
        <f t="shared" si="326"/>
        <v>-3.8732080847658779E-4</v>
      </c>
      <c r="H6957" s="2">
        <f t="shared" si="324"/>
        <v>109.44999999999709</v>
      </c>
      <c r="I6957" s="3">
        <f t="shared" si="325"/>
        <v>4.8733681229628069E-3</v>
      </c>
    </row>
    <row r="6958" spans="2:9" x14ac:dyDescent="0.25">
      <c r="B6958" s="1">
        <v>45385</v>
      </c>
      <c r="C6958" s="2">
        <v>22434.65</v>
      </c>
      <c r="D6958" s="2">
        <v>22385.7</v>
      </c>
      <c r="E6958" s="2">
        <v>22521.1</v>
      </c>
      <c r="F6958" s="2">
        <v>22346.5</v>
      </c>
      <c r="G6958" s="3">
        <f t="shared" si="326"/>
        <v>-8.306128720498851E-4</v>
      </c>
      <c r="H6958" s="2">
        <f t="shared" si="324"/>
        <v>174.59999999999854</v>
      </c>
      <c r="I6958" s="3">
        <f t="shared" si="325"/>
        <v>7.7996220801671845E-3</v>
      </c>
    </row>
    <row r="6959" spans="2:9" x14ac:dyDescent="0.25">
      <c r="B6959" s="1">
        <v>45386</v>
      </c>
      <c r="C6959" s="2">
        <v>22514.65</v>
      </c>
      <c r="D6959" s="2">
        <v>22592.1</v>
      </c>
      <c r="E6959" s="2">
        <v>22619</v>
      </c>
      <c r="F6959" s="2">
        <v>22303.8</v>
      </c>
      <c r="G6959" s="3">
        <f t="shared" si="326"/>
        <v>3.5659125504521327E-3</v>
      </c>
      <c r="H6959" s="2">
        <f t="shared" si="324"/>
        <v>315.20000000000073</v>
      </c>
      <c r="I6959" s="3">
        <f t="shared" si="325"/>
        <v>1.3951779604375015E-2</v>
      </c>
    </row>
    <row r="6960" spans="2:9" x14ac:dyDescent="0.25">
      <c r="B6960" s="1">
        <v>45387</v>
      </c>
      <c r="C6960" s="2">
        <v>22513.7</v>
      </c>
      <c r="D6960" s="2">
        <v>22486.400000000001</v>
      </c>
      <c r="E6960" s="2">
        <v>22537.599999999999</v>
      </c>
      <c r="F6960" s="2">
        <v>22427.599999999999</v>
      </c>
      <c r="G6960" s="3">
        <f t="shared" si="326"/>
        <v>-4.2194748752555356E-5</v>
      </c>
      <c r="H6960" s="2">
        <f t="shared" si="324"/>
        <v>110</v>
      </c>
      <c r="I6960" s="3">
        <f t="shared" si="325"/>
        <v>4.891845737868222E-3</v>
      </c>
    </row>
    <row r="6961" spans="2:9" x14ac:dyDescent="0.25">
      <c r="B6961" s="1">
        <v>45390</v>
      </c>
      <c r="C6961" s="2">
        <v>22666.3</v>
      </c>
      <c r="D6961" s="2">
        <v>22578.35</v>
      </c>
      <c r="E6961" s="2">
        <v>22697.3</v>
      </c>
      <c r="F6961" s="2">
        <v>22550.35</v>
      </c>
      <c r="G6961" s="3">
        <f t="shared" si="326"/>
        <v>6.7780951154186031E-3</v>
      </c>
      <c r="H6961" s="2">
        <f t="shared" si="324"/>
        <v>146.95000000000073</v>
      </c>
      <c r="I6961" s="3">
        <f t="shared" si="325"/>
        <v>6.5084472514599489E-3</v>
      </c>
    </row>
    <row r="6962" spans="2:9" x14ac:dyDescent="0.25">
      <c r="B6962" s="1">
        <v>45391</v>
      </c>
      <c r="C6962" s="2">
        <v>22642.75</v>
      </c>
      <c r="D6962" s="2">
        <v>22765.1</v>
      </c>
      <c r="E6962" s="2">
        <v>22768.400000000001</v>
      </c>
      <c r="F6962" s="2">
        <v>22612.25</v>
      </c>
      <c r="G6962" s="3">
        <f t="shared" si="326"/>
        <v>-1.0389873953843276E-3</v>
      </c>
      <c r="H6962" s="2">
        <f t="shared" si="324"/>
        <v>156.15000000000146</v>
      </c>
      <c r="I6962" s="3">
        <f t="shared" si="325"/>
        <v>6.8591835748580705E-3</v>
      </c>
    </row>
    <row r="6963" spans="2:9" x14ac:dyDescent="0.25">
      <c r="B6963" s="1">
        <v>45392</v>
      </c>
      <c r="C6963" s="2">
        <v>22753.8</v>
      </c>
      <c r="D6963" s="2">
        <v>22720.25</v>
      </c>
      <c r="E6963" s="2">
        <v>22775.7</v>
      </c>
      <c r="F6963" s="2">
        <v>22673.7</v>
      </c>
      <c r="G6963" s="3">
        <f t="shared" si="326"/>
        <v>4.904439610913025E-3</v>
      </c>
      <c r="H6963" s="2">
        <f t="shared" si="324"/>
        <v>102</v>
      </c>
      <c r="I6963" s="3">
        <f t="shared" si="325"/>
        <v>4.4893872206511814E-3</v>
      </c>
    </row>
    <row r="6964" spans="2:9" x14ac:dyDescent="0.25">
      <c r="B6964" s="1">
        <v>45394</v>
      </c>
      <c r="C6964" s="2">
        <v>22519.4</v>
      </c>
      <c r="D6964" s="2">
        <v>22677.4</v>
      </c>
      <c r="E6964" s="2">
        <v>22726.45</v>
      </c>
      <c r="F6964" s="2">
        <v>22503.75</v>
      </c>
      <c r="G6964" s="3">
        <f t="shared" si="326"/>
        <v>-1.0301576000492085E-2</v>
      </c>
      <c r="H6964" s="2">
        <f t="shared" si="324"/>
        <v>222.70000000000073</v>
      </c>
      <c r="I6964" s="3">
        <f t="shared" si="325"/>
        <v>9.8203497755474933E-3</v>
      </c>
    </row>
    <row r="6965" spans="2:9" x14ac:dyDescent="0.25">
      <c r="B6965" s="1">
        <v>45397</v>
      </c>
      <c r="C6965" s="2">
        <v>22272.5</v>
      </c>
      <c r="D6965" s="2">
        <v>22339.05</v>
      </c>
      <c r="E6965" s="2">
        <v>22427.45</v>
      </c>
      <c r="F6965" s="2">
        <v>22259.55</v>
      </c>
      <c r="G6965" s="3">
        <f t="shared" si="326"/>
        <v>-1.0963880032327733E-2</v>
      </c>
      <c r="H6965" s="2">
        <f t="shared" si="324"/>
        <v>167.90000000000146</v>
      </c>
      <c r="I6965" s="3">
        <f t="shared" si="325"/>
        <v>7.5159865795547016E-3</v>
      </c>
    </row>
    <row r="6966" spans="2:9" x14ac:dyDescent="0.25">
      <c r="B6966" s="1">
        <v>45398</v>
      </c>
      <c r="C6966" s="2">
        <v>22147.9</v>
      </c>
      <c r="D6966" s="2">
        <v>22125.3</v>
      </c>
      <c r="E6966" s="2">
        <v>22213.75</v>
      </c>
      <c r="F6966" s="2">
        <v>22079.45</v>
      </c>
      <c r="G6966" s="3">
        <f t="shared" si="326"/>
        <v>-5.5943427994162853E-3</v>
      </c>
      <c r="H6966" s="2">
        <f t="shared" si="324"/>
        <v>134.29999999999927</v>
      </c>
      <c r="I6966" s="3">
        <f t="shared" si="325"/>
        <v>6.069974192440296E-3</v>
      </c>
    </row>
    <row r="6967" spans="2:9" x14ac:dyDescent="0.25">
      <c r="B6967" s="1">
        <v>45400</v>
      </c>
      <c r="C6967" s="2">
        <v>21995.85</v>
      </c>
      <c r="D6967" s="2">
        <v>22212.35</v>
      </c>
      <c r="E6967" s="2">
        <v>22326.5</v>
      </c>
      <c r="F6967" s="2">
        <v>21961.7</v>
      </c>
      <c r="G6967" s="3">
        <f t="shared" si="326"/>
        <v>-6.8652106971768267E-3</v>
      </c>
      <c r="H6967" s="2">
        <f t="shared" si="324"/>
        <v>364.79999999999927</v>
      </c>
      <c r="I6967" s="3">
        <f t="shared" si="325"/>
        <v>1.6423296049269856E-2</v>
      </c>
    </row>
    <row r="6968" spans="2:9" x14ac:dyDescent="0.25">
      <c r="B6968" s="1">
        <v>45401</v>
      </c>
      <c r="C6968" s="2">
        <v>22147</v>
      </c>
      <c r="D6968" s="2">
        <v>21861.5</v>
      </c>
      <c r="E6968" s="2">
        <v>22179.55</v>
      </c>
      <c r="F6968" s="2">
        <v>21777.65</v>
      </c>
      <c r="G6968" s="3">
        <f t="shared" si="326"/>
        <v>6.8717508075386569E-3</v>
      </c>
      <c r="H6968" s="2">
        <f t="shared" si="324"/>
        <v>401.89999999999782</v>
      </c>
      <c r="I6968" s="3">
        <f t="shared" si="325"/>
        <v>1.8383916931591967E-2</v>
      </c>
    </row>
    <row r="6969" spans="2:9" x14ac:dyDescent="0.25">
      <c r="B6969" s="1">
        <v>45404</v>
      </c>
      <c r="C6969" s="2">
        <v>22336.400000000001</v>
      </c>
      <c r="D6969" s="2">
        <v>22336.9</v>
      </c>
      <c r="E6969" s="2">
        <v>22375.65</v>
      </c>
      <c r="F6969" s="2">
        <v>22198.15</v>
      </c>
      <c r="G6969" s="3">
        <f t="shared" si="326"/>
        <v>8.5519483451483858E-3</v>
      </c>
      <c r="H6969" s="2">
        <f t="shared" si="324"/>
        <v>177.5</v>
      </c>
      <c r="I6969" s="3">
        <f t="shared" si="325"/>
        <v>7.9464921273766729E-3</v>
      </c>
    </row>
    <row r="6970" spans="2:9" x14ac:dyDescent="0.25">
      <c r="B6970" s="1">
        <v>45405</v>
      </c>
      <c r="C6970" s="2">
        <v>22368</v>
      </c>
      <c r="D6970" s="2">
        <v>22447.05</v>
      </c>
      <c r="E6970" s="2">
        <v>22447.55</v>
      </c>
      <c r="F6970" s="2">
        <v>22349.45</v>
      </c>
      <c r="G6970" s="3">
        <f t="shared" si="326"/>
        <v>1.4147311115488836E-3</v>
      </c>
      <c r="H6970" s="2">
        <f t="shared" si="324"/>
        <v>98.099999999998545</v>
      </c>
      <c r="I6970" s="3">
        <f t="shared" si="325"/>
        <v>4.3702847367470803E-3</v>
      </c>
    </row>
    <row r="6971" spans="2:9" x14ac:dyDescent="0.25">
      <c r="B6971" s="1">
        <v>45406</v>
      </c>
      <c r="C6971" s="2">
        <v>22402.400000000001</v>
      </c>
      <c r="D6971" s="2">
        <v>22421.55</v>
      </c>
      <c r="E6971" s="2">
        <v>22476.45</v>
      </c>
      <c r="F6971" s="2">
        <v>22384</v>
      </c>
      <c r="G6971" s="3">
        <f t="shared" si="326"/>
        <v>1.5379113018598733E-3</v>
      </c>
      <c r="H6971" s="2">
        <f t="shared" si="324"/>
        <v>92.450000000000728</v>
      </c>
      <c r="I6971" s="3">
        <f t="shared" si="325"/>
        <v>4.123265340710198E-3</v>
      </c>
    </row>
    <row r="6972" spans="2:9" x14ac:dyDescent="0.25">
      <c r="B6972" s="1">
        <v>45407</v>
      </c>
      <c r="C6972" s="2">
        <v>22570.35</v>
      </c>
      <c r="D6972" s="2">
        <v>22316.9</v>
      </c>
      <c r="E6972" s="2">
        <v>22625.95</v>
      </c>
      <c r="F6972" s="2">
        <v>22305.25</v>
      </c>
      <c r="G6972" s="3">
        <f t="shared" si="326"/>
        <v>7.496964610934409E-3</v>
      </c>
      <c r="H6972" s="2">
        <f t="shared" si="324"/>
        <v>320.70000000000073</v>
      </c>
      <c r="I6972" s="3">
        <f t="shared" si="325"/>
        <v>1.43702754414816E-2</v>
      </c>
    </row>
    <row r="6973" spans="2:9" x14ac:dyDescent="0.25">
      <c r="B6973" s="1">
        <v>45408</v>
      </c>
      <c r="C6973" s="2">
        <v>22419.95</v>
      </c>
      <c r="D6973" s="2">
        <v>22620.400000000001</v>
      </c>
      <c r="E6973" s="2">
        <v>22620.400000000001</v>
      </c>
      <c r="F6973" s="2">
        <v>22385.55</v>
      </c>
      <c r="G6973" s="3">
        <f t="shared" si="326"/>
        <v>-6.6636095585579369E-3</v>
      </c>
      <c r="H6973" s="2">
        <f t="shared" si="324"/>
        <v>234.85000000000218</v>
      </c>
      <c r="I6973" s="3">
        <f t="shared" si="325"/>
        <v>1.0382221357712603E-2</v>
      </c>
    </row>
    <row r="6974" spans="2:9" x14ac:dyDescent="0.25">
      <c r="B6974" s="1">
        <v>45411</v>
      </c>
      <c r="C6974" s="2">
        <v>22643.4</v>
      </c>
      <c r="D6974" s="2">
        <v>22475.55</v>
      </c>
      <c r="E6974" s="2">
        <v>22655.8</v>
      </c>
      <c r="F6974" s="2">
        <v>22441.9</v>
      </c>
      <c r="G6974" s="3">
        <f t="shared" si="326"/>
        <v>9.9665699522077933E-3</v>
      </c>
      <c r="H6974" s="2">
        <f t="shared" si="324"/>
        <v>213.89999999999782</v>
      </c>
      <c r="I6974" s="3">
        <f t="shared" si="325"/>
        <v>9.5170084825509423E-3</v>
      </c>
    </row>
    <row r="6975" spans="2:9" x14ac:dyDescent="0.25">
      <c r="B6975" s="1">
        <v>45412</v>
      </c>
      <c r="C6975" s="2">
        <v>22604.85</v>
      </c>
      <c r="D6975" s="2">
        <v>22679.65</v>
      </c>
      <c r="E6975" s="2">
        <v>22783.35</v>
      </c>
      <c r="F6975" s="2">
        <v>22568.400000000001</v>
      </c>
      <c r="G6975" s="3">
        <f t="shared" si="326"/>
        <v>-1.7024828426828176E-3</v>
      </c>
      <c r="H6975" s="2">
        <f t="shared" si="324"/>
        <v>214.94999999999709</v>
      </c>
      <c r="I6975" s="3">
        <f t="shared" si="325"/>
        <v>9.4776594876903771E-3</v>
      </c>
    </row>
    <row r="6976" spans="2:9" x14ac:dyDescent="0.25">
      <c r="B6976" s="1">
        <v>45414</v>
      </c>
      <c r="C6976" s="2">
        <v>22648.2</v>
      </c>
      <c r="D6976" s="2">
        <v>22567.85</v>
      </c>
      <c r="E6976" s="2">
        <v>22710.5</v>
      </c>
      <c r="F6976" s="2">
        <v>22567.85</v>
      </c>
      <c r="G6976" s="3">
        <f t="shared" si="326"/>
        <v>1.917730044658672E-3</v>
      </c>
      <c r="H6976" s="2">
        <f t="shared" si="324"/>
        <v>142.65000000000146</v>
      </c>
      <c r="I6976" s="3">
        <f t="shared" si="325"/>
        <v>6.3209388577113662E-3</v>
      </c>
    </row>
    <row r="6977" spans="2:9" x14ac:dyDescent="0.25">
      <c r="B6977" s="1">
        <v>45415</v>
      </c>
      <c r="C6977" s="2">
        <v>22475.85</v>
      </c>
      <c r="D6977" s="2">
        <v>22766.35</v>
      </c>
      <c r="E6977" s="2">
        <v>22794.7</v>
      </c>
      <c r="F6977" s="2">
        <v>22348.05</v>
      </c>
      <c r="G6977" s="3">
        <f t="shared" si="326"/>
        <v>-7.6098762815588472E-3</v>
      </c>
      <c r="H6977" s="2">
        <f t="shared" si="324"/>
        <v>446.65000000000146</v>
      </c>
      <c r="I6977" s="3">
        <f t="shared" si="325"/>
        <v>1.9618867319530865E-2</v>
      </c>
    </row>
    <row r="6978" spans="2:9" x14ac:dyDescent="0.25">
      <c r="B6978" s="1">
        <v>45418</v>
      </c>
      <c r="C6978" s="2">
        <v>22442.7</v>
      </c>
      <c r="D6978" s="2">
        <v>22561.599999999999</v>
      </c>
      <c r="E6978" s="2">
        <v>22588.799999999999</v>
      </c>
      <c r="F6978" s="2">
        <v>22409.45</v>
      </c>
      <c r="G6978" s="3">
        <f t="shared" si="326"/>
        <v>-1.4749164102803025E-3</v>
      </c>
      <c r="H6978" s="2">
        <f t="shared" si="324"/>
        <v>179.34999999999854</v>
      </c>
      <c r="I6978" s="3">
        <f t="shared" si="325"/>
        <v>7.9493475640024895E-3</v>
      </c>
    </row>
    <row r="6979" spans="2:9" x14ac:dyDescent="0.25">
      <c r="B6979" s="1">
        <v>45419</v>
      </c>
      <c r="C6979" s="2">
        <v>22302.5</v>
      </c>
      <c r="D6979" s="2">
        <v>22489.75</v>
      </c>
      <c r="E6979" s="2">
        <v>22499.05</v>
      </c>
      <c r="F6979" s="2">
        <v>22232.05</v>
      </c>
      <c r="G6979" s="3">
        <f t="shared" si="326"/>
        <v>-6.2470201891929866E-3</v>
      </c>
      <c r="H6979" s="2">
        <f t="shared" si="324"/>
        <v>267</v>
      </c>
      <c r="I6979" s="3">
        <f t="shared" si="325"/>
        <v>1.1872075056414589E-2</v>
      </c>
    </row>
    <row r="6980" spans="2:9" x14ac:dyDescent="0.25">
      <c r="B6980" s="1">
        <v>45420</v>
      </c>
      <c r="C6980" s="2">
        <v>22302.5</v>
      </c>
      <c r="D6980" s="2">
        <v>22231.200000000001</v>
      </c>
      <c r="E6980" s="2">
        <v>22368.65</v>
      </c>
      <c r="F6980" s="2">
        <v>22185.200000000001</v>
      </c>
      <c r="G6980" s="3">
        <f t="shared" si="326"/>
        <v>0</v>
      </c>
      <c r="H6980" s="2">
        <f t="shared" si="324"/>
        <v>183.45000000000073</v>
      </c>
      <c r="I6980" s="3">
        <f t="shared" si="325"/>
        <v>8.2519162258447906E-3</v>
      </c>
    </row>
    <row r="6981" spans="2:9" x14ac:dyDescent="0.25">
      <c r="B6981" s="1">
        <v>45421</v>
      </c>
      <c r="C6981" s="2">
        <v>21957.5</v>
      </c>
      <c r="D6981" s="2">
        <v>22224.799999999999</v>
      </c>
      <c r="E6981" s="2">
        <v>22307.75</v>
      </c>
      <c r="F6981" s="2">
        <v>21932.400000000001</v>
      </c>
      <c r="G6981" s="3">
        <f t="shared" si="326"/>
        <v>-1.546911781190452E-2</v>
      </c>
      <c r="H6981" s="2">
        <f t="shared" ref="H6981:H7044" si="327">E6981-F6981</f>
        <v>375.34999999999854</v>
      </c>
      <c r="I6981" s="3">
        <f t="shared" si="325"/>
        <v>1.6888790900255506E-2</v>
      </c>
    </row>
    <row r="6982" spans="2:9" x14ac:dyDescent="0.25">
      <c r="B6982" s="1">
        <v>45422</v>
      </c>
      <c r="C6982" s="2">
        <v>22055.200000000001</v>
      </c>
      <c r="D6982" s="2">
        <v>21990.95</v>
      </c>
      <c r="E6982" s="2">
        <v>22131.3</v>
      </c>
      <c r="F6982" s="2">
        <v>21950.3</v>
      </c>
      <c r="G6982" s="3">
        <f t="shared" si="326"/>
        <v>4.4495047250370234E-3</v>
      </c>
      <c r="H6982" s="2">
        <f t="shared" si="327"/>
        <v>181</v>
      </c>
      <c r="I6982" s="3">
        <f t="shared" ref="I6982:I7045" si="328">H6982/D6982</f>
        <v>8.2306585208915487E-3</v>
      </c>
    </row>
    <row r="6983" spans="2:9" x14ac:dyDescent="0.25">
      <c r="B6983" s="1">
        <v>45425</v>
      </c>
      <c r="C6983" s="2">
        <v>22104.05</v>
      </c>
      <c r="D6983" s="2">
        <v>22027.95</v>
      </c>
      <c r="E6983" s="2">
        <v>22131.65</v>
      </c>
      <c r="F6983" s="2">
        <v>21821.05</v>
      </c>
      <c r="G6983" s="3">
        <f t="shared" ref="G6983:G7046" si="329">C6983/C6982-1</f>
        <v>2.2148971671078765E-3</v>
      </c>
      <c r="H6983" s="2">
        <f t="shared" si="327"/>
        <v>310.60000000000218</v>
      </c>
      <c r="I6983" s="3">
        <f t="shared" si="328"/>
        <v>1.4100268068522135E-2</v>
      </c>
    </row>
    <row r="6984" spans="2:9" x14ac:dyDescent="0.25">
      <c r="B6984" s="1">
        <v>45426</v>
      </c>
      <c r="C6984" s="2">
        <v>22217.85</v>
      </c>
      <c r="D6984" s="2">
        <v>22112.9</v>
      </c>
      <c r="E6984" s="2">
        <v>22270.05</v>
      </c>
      <c r="F6984" s="2">
        <v>22081.25</v>
      </c>
      <c r="G6984" s="3">
        <f t="shared" si="329"/>
        <v>5.1483777859713253E-3</v>
      </c>
      <c r="H6984" s="2">
        <f t="shared" si="327"/>
        <v>188.79999999999927</v>
      </c>
      <c r="I6984" s="3">
        <f t="shared" si="328"/>
        <v>8.53800270430379E-3</v>
      </c>
    </row>
    <row r="6985" spans="2:9" x14ac:dyDescent="0.25">
      <c r="B6985" s="1">
        <v>45427</v>
      </c>
      <c r="C6985" s="2">
        <v>22200.55</v>
      </c>
      <c r="D6985" s="2">
        <v>22255.599999999999</v>
      </c>
      <c r="E6985" s="2">
        <v>22297.55</v>
      </c>
      <c r="F6985" s="2">
        <v>22151.75</v>
      </c>
      <c r="G6985" s="3">
        <f t="shared" si="329"/>
        <v>-7.7865320001702099E-4</v>
      </c>
      <c r="H6985" s="2">
        <f t="shared" si="327"/>
        <v>145.79999999999927</v>
      </c>
      <c r="I6985" s="3">
        <f t="shared" si="328"/>
        <v>6.5511601574434874E-3</v>
      </c>
    </row>
    <row r="6986" spans="2:9" x14ac:dyDescent="0.25">
      <c r="B6986" s="1">
        <v>45428</v>
      </c>
      <c r="C6986" s="2">
        <v>22403.85</v>
      </c>
      <c r="D6986" s="2">
        <v>22319.200000000001</v>
      </c>
      <c r="E6986" s="2">
        <v>22432.25</v>
      </c>
      <c r="F6986" s="2">
        <v>22054.55</v>
      </c>
      <c r="G6986" s="3">
        <f t="shared" si="329"/>
        <v>9.1574307843724778E-3</v>
      </c>
      <c r="H6986" s="2">
        <f t="shared" si="327"/>
        <v>377.70000000000073</v>
      </c>
      <c r="I6986" s="3">
        <f t="shared" si="328"/>
        <v>1.6922649557331835E-2</v>
      </c>
    </row>
    <row r="6987" spans="2:9" x14ac:dyDescent="0.25">
      <c r="B6987" s="1">
        <v>45429</v>
      </c>
      <c r="C6987" s="2">
        <v>22466.1</v>
      </c>
      <c r="D6987" s="2">
        <v>22415.25</v>
      </c>
      <c r="E6987" s="2">
        <v>22502.15</v>
      </c>
      <c r="F6987" s="2">
        <v>22345.65</v>
      </c>
      <c r="G6987" s="3">
        <f t="shared" si="329"/>
        <v>2.7785402955295968E-3</v>
      </c>
      <c r="H6987" s="2">
        <f t="shared" si="327"/>
        <v>156.5</v>
      </c>
      <c r="I6987" s="3">
        <f t="shared" si="328"/>
        <v>6.9818538718060246E-3</v>
      </c>
    </row>
    <row r="6988" spans="2:9" x14ac:dyDescent="0.25">
      <c r="B6988" s="1">
        <v>45430</v>
      </c>
      <c r="C6988" s="2">
        <v>22502</v>
      </c>
      <c r="D6988" s="2">
        <v>22512.85</v>
      </c>
      <c r="E6988" s="2">
        <v>22520.25</v>
      </c>
      <c r="F6988" s="2">
        <v>22470.05</v>
      </c>
      <c r="G6988" s="3">
        <f t="shared" si="329"/>
        <v>1.5979631533733496E-3</v>
      </c>
      <c r="H6988" s="2">
        <f t="shared" si="327"/>
        <v>50.200000000000728</v>
      </c>
      <c r="I6988" s="3">
        <f t="shared" si="328"/>
        <v>2.2298376260669233E-3</v>
      </c>
    </row>
    <row r="6989" spans="2:9" x14ac:dyDescent="0.25">
      <c r="B6989" s="1">
        <v>45433</v>
      </c>
      <c r="C6989" s="2">
        <v>22529.05</v>
      </c>
      <c r="D6989" s="2">
        <v>22404.55</v>
      </c>
      <c r="E6989" s="2">
        <v>22591.1</v>
      </c>
      <c r="F6989" s="2">
        <v>22404.55</v>
      </c>
      <c r="G6989" s="3">
        <f t="shared" si="329"/>
        <v>1.2021153675227936E-3</v>
      </c>
      <c r="H6989" s="2">
        <f t="shared" si="327"/>
        <v>186.54999999999927</v>
      </c>
      <c r="I6989" s="3">
        <f t="shared" si="328"/>
        <v>8.3264336931560459E-3</v>
      </c>
    </row>
    <row r="6990" spans="2:9" x14ac:dyDescent="0.25">
      <c r="B6990" s="1">
        <v>45434</v>
      </c>
      <c r="C6990" s="2">
        <v>22597.8</v>
      </c>
      <c r="D6990" s="2">
        <v>22576.6</v>
      </c>
      <c r="E6990" s="2">
        <v>22629.5</v>
      </c>
      <c r="F6990" s="2">
        <v>22483.15</v>
      </c>
      <c r="G6990" s="3">
        <f t="shared" si="329"/>
        <v>3.0516155807722711E-3</v>
      </c>
      <c r="H6990" s="2">
        <f t="shared" si="327"/>
        <v>146.34999999999854</v>
      </c>
      <c r="I6990" s="3">
        <f t="shared" si="328"/>
        <v>6.4823755569925747E-3</v>
      </c>
    </row>
    <row r="6991" spans="2:9" x14ac:dyDescent="0.25">
      <c r="B6991" s="1">
        <v>45435</v>
      </c>
      <c r="C6991" s="2">
        <v>22967.65</v>
      </c>
      <c r="D6991" s="2">
        <v>22614.1</v>
      </c>
      <c r="E6991" s="2">
        <v>22993.599999999999</v>
      </c>
      <c r="F6991" s="2">
        <v>22577.45</v>
      </c>
      <c r="G6991" s="3">
        <f t="shared" si="329"/>
        <v>1.6366637460283773E-2</v>
      </c>
      <c r="H6991" s="2">
        <f t="shared" si="327"/>
        <v>416.14999999999782</v>
      </c>
      <c r="I6991" s="3">
        <f t="shared" si="328"/>
        <v>1.8402235773256413E-2</v>
      </c>
    </row>
    <row r="6992" spans="2:9" x14ac:dyDescent="0.25">
      <c r="B6992" s="1">
        <v>45436</v>
      </c>
      <c r="C6992" s="2">
        <v>22957.1</v>
      </c>
      <c r="D6992" s="2">
        <v>22930.75</v>
      </c>
      <c r="E6992" s="2">
        <v>23026.400000000001</v>
      </c>
      <c r="F6992" s="2">
        <v>22908</v>
      </c>
      <c r="G6992" s="3">
        <f t="shared" si="329"/>
        <v>-4.5934172629780168E-4</v>
      </c>
      <c r="H6992" s="2">
        <f t="shared" si="327"/>
        <v>118.40000000000146</v>
      </c>
      <c r="I6992" s="3">
        <f t="shared" si="328"/>
        <v>5.1633723275514957E-3</v>
      </c>
    </row>
    <row r="6993" spans="2:9" x14ac:dyDescent="0.25">
      <c r="B6993" s="1">
        <v>45439</v>
      </c>
      <c r="C6993" s="2">
        <v>22932.45</v>
      </c>
      <c r="D6993" s="2">
        <v>23038.95</v>
      </c>
      <c r="E6993" s="2">
        <v>23110.799999999999</v>
      </c>
      <c r="F6993" s="2">
        <v>22871.200000000001</v>
      </c>
      <c r="G6993" s="3">
        <f t="shared" si="329"/>
        <v>-1.073741892486324E-3</v>
      </c>
      <c r="H6993" s="2">
        <f t="shared" si="327"/>
        <v>239.59999999999854</v>
      </c>
      <c r="I6993" s="3">
        <f t="shared" si="328"/>
        <v>1.0399779503840172E-2</v>
      </c>
    </row>
    <row r="6994" spans="2:9" x14ac:dyDescent="0.25">
      <c r="B6994" s="1">
        <v>45440</v>
      </c>
      <c r="C6994" s="2">
        <v>22888.15</v>
      </c>
      <c r="D6994" s="2">
        <v>22977.15</v>
      </c>
      <c r="E6994" s="2">
        <v>22998.55</v>
      </c>
      <c r="F6994" s="2">
        <v>22858.5</v>
      </c>
      <c r="G6994" s="3">
        <f t="shared" si="329"/>
        <v>-1.9317604529824894E-3</v>
      </c>
      <c r="H6994" s="2">
        <f t="shared" si="327"/>
        <v>140.04999999999927</v>
      </c>
      <c r="I6994" s="3">
        <f t="shared" si="328"/>
        <v>6.0951858694398243E-3</v>
      </c>
    </row>
    <row r="6995" spans="2:9" x14ac:dyDescent="0.25">
      <c r="B6995" s="1">
        <v>45441</v>
      </c>
      <c r="C6995" s="2">
        <v>22704.7</v>
      </c>
      <c r="D6995" s="2">
        <v>22762.75</v>
      </c>
      <c r="E6995" s="2">
        <v>22825.5</v>
      </c>
      <c r="F6995" s="2">
        <v>22685.45</v>
      </c>
      <c r="G6995" s="3">
        <f t="shared" si="329"/>
        <v>-8.015064563977492E-3</v>
      </c>
      <c r="H6995" s="2">
        <f t="shared" si="327"/>
        <v>140.04999999999927</v>
      </c>
      <c r="I6995" s="3">
        <f t="shared" si="328"/>
        <v>6.1525957979593534E-3</v>
      </c>
    </row>
    <row r="6996" spans="2:9" x14ac:dyDescent="0.25">
      <c r="B6996" s="1">
        <v>45442</v>
      </c>
      <c r="C6996" s="2">
        <v>22488.65</v>
      </c>
      <c r="D6996" s="2">
        <v>22617.45</v>
      </c>
      <c r="E6996" s="2">
        <v>22705.75</v>
      </c>
      <c r="F6996" s="2">
        <v>22417</v>
      </c>
      <c r="G6996" s="3">
        <f t="shared" si="329"/>
        <v>-9.515650944518117E-3</v>
      </c>
      <c r="H6996" s="2">
        <f t="shared" si="327"/>
        <v>288.75</v>
      </c>
      <c r="I6996" s="3">
        <f t="shared" si="328"/>
        <v>1.2766691205241969E-2</v>
      </c>
    </row>
    <row r="6997" spans="2:9" x14ac:dyDescent="0.25">
      <c r="B6997" s="1">
        <v>45443</v>
      </c>
      <c r="C6997" s="2">
        <v>22530.7</v>
      </c>
      <c r="D6997" s="2">
        <v>22568.1</v>
      </c>
      <c r="E6997" s="2">
        <v>22653.75</v>
      </c>
      <c r="F6997" s="2">
        <v>22465.1</v>
      </c>
      <c r="G6997" s="3">
        <f t="shared" si="329"/>
        <v>1.8698321153114428E-3</v>
      </c>
      <c r="H6997" s="2">
        <f t="shared" si="327"/>
        <v>188.65000000000146</v>
      </c>
      <c r="I6997" s="3">
        <f t="shared" si="328"/>
        <v>8.3591441016302413E-3</v>
      </c>
    </row>
    <row r="6998" spans="2:9" x14ac:dyDescent="0.25">
      <c r="B6998" s="1">
        <v>45446</v>
      </c>
      <c r="C6998" s="2">
        <v>23263.9</v>
      </c>
      <c r="D6998" s="2">
        <v>23337.9</v>
      </c>
      <c r="E6998" s="2">
        <v>23338.7</v>
      </c>
      <c r="F6998" s="2">
        <v>23062.3</v>
      </c>
      <c r="G6998" s="3">
        <f t="shared" si="329"/>
        <v>3.2542264554585643E-2</v>
      </c>
      <c r="H6998" s="2">
        <f t="shared" si="327"/>
        <v>276.40000000000146</v>
      </c>
      <c r="I6998" s="3">
        <f t="shared" si="328"/>
        <v>1.1843396363854564E-2</v>
      </c>
    </row>
    <row r="6999" spans="2:9" x14ac:dyDescent="0.25">
      <c r="B6999" s="1">
        <v>45447</v>
      </c>
      <c r="C6999" s="2">
        <v>21884.5</v>
      </c>
      <c r="D6999" s="2">
        <v>23179.5</v>
      </c>
      <c r="E6999" s="2">
        <v>23179.5</v>
      </c>
      <c r="F6999" s="2">
        <v>21281.45</v>
      </c>
      <c r="G6999" s="3">
        <f t="shared" si="329"/>
        <v>-5.9293583620975032E-2</v>
      </c>
      <c r="H6999" s="2">
        <f t="shared" si="327"/>
        <v>1898.0499999999993</v>
      </c>
      <c r="I6999" s="3">
        <f t="shared" si="328"/>
        <v>8.1884855152181857E-2</v>
      </c>
    </row>
    <row r="7000" spans="2:9" x14ac:dyDescent="0.25">
      <c r="B7000" s="1">
        <v>45448</v>
      </c>
      <c r="C7000" s="2">
        <v>22620.35</v>
      </c>
      <c r="D7000" s="2">
        <v>22128.35</v>
      </c>
      <c r="E7000" s="2">
        <v>22670.400000000001</v>
      </c>
      <c r="F7000" s="2">
        <v>21791.95</v>
      </c>
      <c r="G7000" s="3">
        <f t="shared" si="329"/>
        <v>3.3624254609426751E-2</v>
      </c>
      <c r="H7000" s="2">
        <f t="shared" si="327"/>
        <v>878.45000000000073</v>
      </c>
      <c r="I7000" s="3">
        <f t="shared" si="328"/>
        <v>3.9697944040111476E-2</v>
      </c>
    </row>
    <row r="7001" spans="2:9" x14ac:dyDescent="0.25">
      <c r="B7001" s="1">
        <v>45449</v>
      </c>
      <c r="C7001" s="2">
        <v>22821.4</v>
      </c>
      <c r="D7001" s="2">
        <v>22798.6</v>
      </c>
      <c r="E7001" s="2">
        <v>22910.15</v>
      </c>
      <c r="F7001" s="2">
        <v>22642.6</v>
      </c>
      <c r="G7001" s="3">
        <f t="shared" si="329"/>
        <v>8.888014553267487E-3</v>
      </c>
      <c r="H7001" s="2">
        <f t="shared" si="327"/>
        <v>267.55000000000291</v>
      </c>
      <c r="I7001" s="3">
        <f t="shared" si="328"/>
        <v>1.1735369715684426E-2</v>
      </c>
    </row>
    <row r="7002" spans="2:9" x14ac:dyDescent="0.25">
      <c r="B7002" s="1">
        <v>45450</v>
      </c>
      <c r="C7002" s="2">
        <v>23290.15</v>
      </c>
      <c r="D7002" s="2">
        <v>22821.85</v>
      </c>
      <c r="E7002" s="2">
        <v>23320.2</v>
      </c>
      <c r="F7002" s="2">
        <v>22789.05</v>
      </c>
      <c r="G7002" s="3">
        <f t="shared" si="329"/>
        <v>2.0539931818380985E-2</v>
      </c>
      <c r="H7002" s="2">
        <f t="shared" si="327"/>
        <v>531.15000000000146</v>
      </c>
      <c r="I7002" s="3">
        <f t="shared" si="328"/>
        <v>2.3273748622482469E-2</v>
      </c>
    </row>
    <row r="7003" spans="2:9" x14ac:dyDescent="0.25">
      <c r="B7003" s="1">
        <v>45453</v>
      </c>
      <c r="C7003" s="2">
        <v>23259.200000000001</v>
      </c>
      <c r="D7003" s="2">
        <v>23319.15</v>
      </c>
      <c r="E7003" s="2">
        <v>23411.9</v>
      </c>
      <c r="F7003" s="2">
        <v>23227.15</v>
      </c>
      <c r="G7003" s="3">
        <f t="shared" si="329"/>
        <v>-1.3288879633664985E-3</v>
      </c>
      <c r="H7003" s="2">
        <f t="shared" si="327"/>
        <v>184.75</v>
      </c>
      <c r="I7003" s="3">
        <f t="shared" si="328"/>
        <v>7.9226729962284213E-3</v>
      </c>
    </row>
    <row r="7004" spans="2:9" x14ac:dyDescent="0.25">
      <c r="B7004" s="1">
        <v>45454</v>
      </c>
      <c r="C7004" s="2">
        <v>23264.85</v>
      </c>
      <c r="D7004" s="2">
        <v>23283.75</v>
      </c>
      <c r="E7004" s="2">
        <v>23389.45</v>
      </c>
      <c r="F7004" s="2">
        <v>23206.65</v>
      </c>
      <c r="G7004" s="3">
        <f t="shared" si="329"/>
        <v>2.4291463162962046E-4</v>
      </c>
      <c r="H7004" s="2">
        <f t="shared" si="327"/>
        <v>182.79999999999927</v>
      </c>
      <c r="I7004" s="3">
        <f t="shared" si="328"/>
        <v>7.8509690234605366E-3</v>
      </c>
    </row>
    <row r="7005" spans="2:9" x14ac:dyDescent="0.25">
      <c r="B7005" s="1">
        <v>45455</v>
      </c>
      <c r="C7005" s="2">
        <v>23322.95</v>
      </c>
      <c r="D7005" s="2">
        <v>23344.45</v>
      </c>
      <c r="E7005" s="2">
        <v>23441.95</v>
      </c>
      <c r="F7005" s="2">
        <v>23295.95</v>
      </c>
      <c r="G7005" s="3">
        <f t="shared" si="329"/>
        <v>2.4973296625596664E-3</v>
      </c>
      <c r="H7005" s="2">
        <f t="shared" si="327"/>
        <v>146</v>
      </c>
      <c r="I7005" s="3">
        <f t="shared" si="328"/>
        <v>6.2541631951063313E-3</v>
      </c>
    </row>
    <row r="7006" spans="2:9" x14ac:dyDescent="0.25">
      <c r="B7006" s="1">
        <v>45456</v>
      </c>
      <c r="C7006" s="2">
        <v>23398.9</v>
      </c>
      <c r="D7006" s="2">
        <v>23480.95</v>
      </c>
      <c r="E7006" s="2">
        <v>23481.05</v>
      </c>
      <c r="F7006" s="2">
        <v>23353.9</v>
      </c>
      <c r="G7006" s="3">
        <f t="shared" si="329"/>
        <v>3.2564491198583401E-3</v>
      </c>
      <c r="H7006" s="2">
        <f t="shared" si="327"/>
        <v>127.14999999999782</v>
      </c>
      <c r="I7006" s="3">
        <f t="shared" si="328"/>
        <v>5.4150279268938362E-3</v>
      </c>
    </row>
    <row r="7007" spans="2:9" x14ac:dyDescent="0.25">
      <c r="B7007" s="1">
        <v>45457</v>
      </c>
      <c r="C7007" s="2">
        <v>23465.599999999999</v>
      </c>
      <c r="D7007" s="2">
        <v>23464.95</v>
      </c>
      <c r="E7007" s="2">
        <v>23490.400000000001</v>
      </c>
      <c r="F7007" s="2">
        <v>23334.25</v>
      </c>
      <c r="G7007" s="3">
        <f t="shared" si="329"/>
        <v>2.8505613511744521E-3</v>
      </c>
      <c r="H7007" s="2">
        <f t="shared" si="327"/>
        <v>156.15000000000146</v>
      </c>
      <c r="I7007" s="3">
        <f t="shared" si="328"/>
        <v>6.6546061253061036E-3</v>
      </c>
    </row>
    <row r="7008" spans="2:9" x14ac:dyDescent="0.25">
      <c r="B7008" s="1">
        <v>45461</v>
      </c>
      <c r="C7008" s="2">
        <v>23557.9</v>
      </c>
      <c r="D7008" s="2">
        <v>23570.799999999999</v>
      </c>
      <c r="E7008" s="2">
        <v>23579.05</v>
      </c>
      <c r="F7008" s="2">
        <v>23499.7</v>
      </c>
      <c r="G7008" s="3">
        <f t="shared" si="329"/>
        <v>3.933417428064967E-3</v>
      </c>
      <c r="H7008" s="2">
        <f t="shared" si="327"/>
        <v>79.349999999998545</v>
      </c>
      <c r="I7008" s="3">
        <f t="shared" si="328"/>
        <v>3.366453408454467E-3</v>
      </c>
    </row>
    <row r="7009" spans="2:9" x14ac:dyDescent="0.25">
      <c r="B7009" s="1">
        <v>45462</v>
      </c>
      <c r="C7009" s="2">
        <v>23516</v>
      </c>
      <c r="D7009" s="2">
        <v>23629.85</v>
      </c>
      <c r="E7009" s="2">
        <v>23664</v>
      </c>
      <c r="F7009" s="2">
        <v>23412.9</v>
      </c>
      <c r="G7009" s="3">
        <f t="shared" si="329"/>
        <v>-1.7785965642099777E-3</v>
      </c>
      <c r="H7009" s="2">
        <f t="shared" si="327"/>
        <v>251.09999999999854</v>
      </c>
      <c r="I7009" s="3">
        <f t="shared" si="328"/>
        <v>1.0626389926300783E-2</v>
      </c>
    </row>
    <row r="7010" spans="2:9" x14ac:dyDescent="0.25">
      <c r="B7010" s="1">
        <v>45463</v>
      </c>
      <c r="C7010" s="2">
        <v>23567</v>
      </c>
      <c r="D7010" s="2">
        <v>23586.15</v>
      </c>
      <c r="E7010" s="2">
        <v>23624</v>
      </c>
      <c r="F7010" s="2">
        <v>23442.6</v>
      </c>
      <c r="G7010" s="3">
        <f t="shared" si="329"/>
        <v>2.1687361796223215E-3</v>
      </c>
      <c r="H7010" s="2">
        <f t="shared" si="327"/>
        <v>181.40000000000146</v>
      </c>
      <c r="I7010" s="3">
        <f t="shared" si="328"/>
        <v>7.6909542252551364E-3</v>
      </c>
    </row>
    <row r="7011" spans="2:9" x14ac:dyDescent="0.25">
      <c r="B7011" s="1">
        <v>45464</v>
      </c>
      <c r="C7011" s="2">
        <v>23501.1</v>
      </c>
      <c r="D7011" s="2">
        <v>23661.15</v>
      </c>
      <c r="E7011" s="2">
        <v>23667.1</v>
      </c>
      <c r="F7011" s="2">
        <v>23398.2</v>
      </c>
      <c r="G7011" s="3">
        <f t="shared" si="329"/>
        <v>-2.7962829380066001E-3</v>
      </c>
      <c r="H7011" s="2">
        <f t="shared" si="327"/>
        <v>268.89999999999782</v>
      </c>
      <c r="I7011" s="3">
        <f t="shared" si="328"/>
        <v>1.1364620908112995E-2</v>
      </c>
    </row>
    <row r="7012" spans="2:9" x14ac:dyDescent="0.25">
      <c r="B7012" s="1">
        <v>45467</v>
      </c>
      <c r="C7012" s="2">
        <v>23537.85</v>
      </c>
      <c r="D7012" s="2">
        <v>23382.3</v>
      </c>
      <c r="E7012" s="2">
        <v>23558.1</v>
      </c>
      <c r="F7012" s="2">
        <v>23350</v>
      </c>
      <c r="G7012" s="3">
        <f t="shared" si="329"/>
        <v>1.5637565901169825E-3</v>
      </c>
      <c r="H7012" s="2">
        <f t="shared" si="327"/>
        <v>208.09999999999854</v>
      </c>
      <c r="I7012" s="3">
        <f t="shared" si="328"/>
        <v>8.8998943645406375E-3</v>
      </c>
    </row>
    <row r="7013" spans="2:9" x14ac:dyDescent="0.25">
      <c r="B7013" s="1">
        <v>45468</v>
      </c>
      <c r="C7013" s="2">
        <v>23721.3</v>
      </c>
      <c r="D7013" s="2">
        <v>23577.1</v>
      </c>
      <c r="E7013" s="2">
        <v>23754.15</v>
      </c>
      <c r="F7013" s="2">
        <v>23562.05</v>
      </c>
      <c r="G7013" s="3">
        <f t="shared" si="329"/>
        <v>7.7938299377386944E-3</v>
      </c>
      <c r="H7013" s="2">
        <f t="shared" si="327"/>
        <v>192.10000000000218</v>
      </c>
      <c r="I7013" s="3">
        <f t="shared" si="328"/>
        <v>8.1477365748969209E-3</v>
      </c>
    </row>
    <row r="7014" spans="2:9" x14ac:dyDescent="0.25">
      <c r="B7014" s="1">
        <v>45469</v>
      </c>
      <c r="C7014" s="2">
        <v>23868.799999999999</v>
      </c>
      <c r="D7014" s="2">
        <v>23723.1</v>
      </c>
      <c r="E7014" s="2">
        <v>23889.9</v>
      </c>
      <c r="F7014" s="2">
        <v>23670.45</v>
      </c>
      <c r="G7014" s="3">
        <f t="shared" si="329"/>
        <v>6.2180403266263173E-3</v>
      </c>
      <c r="H7014" s="2">
        <f t="shared" si="327"/>
        <v>219.45000000000073</v>
      </c>
      <c r="I7014" s="3">
        <f t="shared" si="328"/>
        <v>9.2504773828041339E-3</v>
      </c>
    </row>
    <row r="7015" spans="2:9" x14ac:dyDescent="0.25">
      <c r="B7015" s="1">
        <v>45470</v>
      </c>
      <c r="C7015" s="2">
        <v>24044.5</v>
      </c>
      <c r="D7015" s="2">
        <v>23881.55</v>
      </c>
      <c r="E7015" s="2">
        <v>24087.45</v>
      </c>
      <c r="F7015" s="2">
        <v>23805.4</v>
      </c>
      <c r="G7015" s="3">
        <f t="shared" si="329"/>
        <v>7.3610738704921186E-3</v>
      </c>
      <c r="H7015" s="2">
        <f t="shared" si="327"/>
        <v>282.04999999999927</v>
      </c>
      <c r="I7015" s="3">
        <f t="shared" si="328"/>
        <v>1.1810372442324694E-2</v>
      </c>
    </row>
    <row r="7016" spans="2:9" x14ac:dyDescent="0.25">
      <c r="B7016" s="1">
        <v>45471</v>
      </c>
      <c r="C7016" s="2">
        <v>24010.6</v>
      </c>
      <c r="D7016" s="2">
        <v>24085.9</v>
      </c>
      <c r="E7016" s="2">
        <v>24174</v>
      </c>
      <c r="F7016" s="2">
        <v>23985.8</v>
      </c>
      <c r="G7016" s="3">
        <f t="shared" si="329"/>
        <v>-1.4098858366778932E-3</v>
      </c>
      <c r="H7016" s="2">
        <f t="shared" si="327"/>
        <v>188.20000000000073</v>
      </c>
      <c r="I7016" s="3">
        <f t="shared" si="328"/>
        <v>7.8137001316123007E-3</v>
      </c>
    </row>
    <row r="7017" spans="2:9" x14ac:dyDescent="0.25">
      <c r="B7017" s="1">
        <v>45474</v>
      </c>
      <c r="C7017" s="2">
        <v>24141.95</v>
      </c>
      <c r="D7017" s="2">
        <v>23992.95</v>
      </c>
      <c r="E7017" s="2">
        <v>24164</v>
      </c>
      <c r="F7017" s="2">
        <v>23992.7</v>
      </c>
      <c r="G7017" s="3">
        <f t="shared" si="329"/>
        <v>5.4705005289330533E-3</v>
      </c>
      <c r="H7017" s="2">
        <f t="shared" si="327"/>
        <v>171.29999999999927</v>
      </c>
      <c r="I7017" s="3">
        <f t="shared" si="328"/>
        <v>7.1395972566941236E-3</v>
      </c>
    </row>
    <row r="7018" spans="2:9" x14ac:dyDescent="0.25">
      <c r="B7018" s="1">
        <v>45475</v>
      </c>
      <c r="C7018" s="2">
        <v>24123.85</v>
      </c>
      <c r="D7018" s="2">
        <v>24228.75</v>
      </c>
      <c r="E7018" s="2">
        <v>24236.35</v>
      </c>
      <c r="F7018" s="2">
        <v>24056.400000000001</v>
      </c>
      <c r="G7018" s="3">
        <f t="shared" si="329"/>
        <v>-7.4973231242725369E-4</v>
      </c>
      <c r="H7018" s="2">
        <f t="shared" si="327"/>
        <v>179.94999999999709</v>
      </c>
      <c r="I7018" s="3">
        <f t="shared" si="328"/>
        <v>7.4271268637464615E-3</v>
      </c>
    </row>
    <row r="7019" spans="2:9" x14ac:dyDescent="0.25">
      <c r="B7019" s="1">
        <v>45476</v>
      </c>
      <c r="C7019" s="2">
        <v>24286.5</v>
      </c>
      <c r="D7019" s="2">
        <v>24291.75</v>
      </c>
      <c r="E7019" s="2">
        <v>24309.15</v>
      </c>
      <c r="F7019" s="2">
        <v>24207.1</v>
      </c>
      <c r="G7019" s="3">
        <f t="shared" si="329"/>
        <v>6.7422903060665451E-3</v>
      </c>
      <c r="H7019" s="2">
        <f t="shared" si="327"/>
        <v>102.05000000000291</v>
      </c>
      <c r="I7019" s="3">
        <f t="shared" si="328"/>
        <v>4.2010147478054446E-3</v>
      </c>
    </row>
    <row r="7020" spans="2:9" x14ac:dyDescent="0.25">
      <c r="B7020" s="1">
        <v>45477</v>
      </c>
      <c r="C7020" s="2">
        <v>24302.15</v>
      </c>
      <c r="D7020" s="2">
        <v>24369.95</v>
      </c>
      <c r="E7020" s="2">
        <v>24401</v>
      </c>
      <c r="F7020" s="2">
        <v>24281</v>
      </c>
      <c r="G7020" s="3">
        <f t="shared" si="329"/>
        <v>6.4439091676460336E-4</v>
      </c>
      <c r="H7020" s="2">
        <f t="shared" si="327"/>
        <v>120</v>
      </c>
      <c r="I7020" s="3">
        <f t="shared" si="328"/>
        <v>4.9240970949878844E-3</v>
      </c>
    </row>
    <row r="7021" spans="2:9" x14ac:dyDescent="0.25">
      <c r="B7021" s="1">
        <v>45478</v>
      </c>
      <c r="C7021" s="2">
        <v>24323.85</v>
      </c>
      <c r="D7021" s="2">
        <v>24213.35</v>
      </c>
      <c r="E7021" s="2">
        <v>24363</v>
      </c>
      <c r="F7021" s="2">
        <v>24168.85</v>
      </c>
      <c r="G7021" s="3">
        <f t="shared" si="329"/>
        <v>8.9292511156413568E-4</v>
      </c>
      <c r="H7021" s="2">
        <f t="shared" si="327"/>
        <v>194.15000000000146</v>
      </c>
      <c r="I7021" s="3">
        <f t="shared" si="328"/>
        <v>8.0183039521586844E-3</v>
      </c>
    </row>
    <row r="7022" spans="2:9" x14ac:dyDescent="0.25">
      <c r="B7022" s="1">
        <v>45481</v>
      </c>
      <c r="C7022" s="2">
        <v>24320.55</v>
      </c>
      <c r="D7022" s="2">
        <v>24329.45</v>
      </c>
      <c r="E7022" s="2">
        <v>24344.6</v>
      </c>
      <c r="F7022" s="2">
        <v>24240.55</v>
      </c>
      <c r="G7022" s="3">
        <f t="shared" si="329"/>
        <v>-1.3566931221820067E-4</v>
      </c>
      <c r="H7022" s="2">
        <f t="shared" si="327"/>
        <v>104.04999999999927</v>
      </c>
      <c r="I7022" s="3">
        <f t="shared" si="328"/>
        <v>4.2767099132943517E-3</v>
      </c>
    </row>
    <row r="7023" spans="2:9" x14ac:dyDescent="0.25">
      <c r="B7023" s="1">
        <v>45482</v>
      </c>
      <c r="C7023" s="2">
        <v>24433.200000000001</v>
      </c>
      <c r="D7023" s="2">
        <v>24351</v>
      </c>
      <c r="E7023" s="2">
        <v>24443.599999999999</v>
      </c>
      <c r="F7023" s="2">
        <v>24331.9</v>
      </c>
      <c r="G7023" s="3">
        <f t="shared" si="329"/>
        <v>4.6318853808815508E-3</v>
      </c>
      <c r="H7023" s="2">
        <f t="shared" si="327"/>
        <v>111.69999999999709</v>
      </c>
      <c r="I7023" s="3">
        <f t="shared" si="328"/>
        <v>4.5870806127057242E-3</v>
      </c>
    </row>
    <row r="7024" spans="2:9" x14ac:dyDescent="0.25">
      <c r="B7024" s="1">
        <v>45483</v>
      </c>
      <c r="C7024" s="2">
        <v>24324.45</v>
      </c>
      <c r="D7024" s="2">
        <v>24459.85</v>
      </c>
      <c r="E7024" s="2">
        <v>24461.05</v>
      </c>
      <c r="F7024" s="2">
        <v>24141.8</v>
      </c>
      <c r="G7024" s="3">
        <f t="shared" si="329"/>
        <v>-4.4509110554491471E-3</v>
      </c>
      <c r="H7024" s="2">
        <f t="shared" si="327"/>
        <v>319.25</v>
      </c>
      <c r="I7024" s="3">
        <f t="shared" si="328"/>
        <v>1.3052001545389691E-2</v>
      </c>
    </row>
    <row r="7025" spans="2:9" x14ac:dyDescent="0.25">
      <c r="B7025" s="1">
        <v>45484</v>
      </c>
      <c r="C7025" s="2">
        <v>24315.95</v>
      </c>
      <c r="D7025" s="2">
        <v>24396.55</v>
      </c>
      <c r="E7025" s="2">
        <v>24402.65</v>
      </c>
      <c r="F7025" s="2">
        <v>24193.75</v>
      </c>
      <c r="G7025" s="3">
        <f t="shared" si="329"/>
        <v>-3.4944263899083783E-4</v>
      </c>
      <c r="H7025" s="2">
        <f t="shared" si="327"/>
        <v>208.90000000000146</v>
      </c>
      <c r="I7025" s="3">
        <f t="shared" si="328"/>
        <v>8.5626861175043794E-3</v>
      </c>
    </row>
    <row r="7026" spans="2:9" x14ac:dyDescent="0.25">
      <c r="B7026" s="1">
        <v>45485</v>
      </c>
      <c r="C7026" s="2">
        <v>24502.15</v>
      </c>
      <c r="D7026" s="2">
        <v>24387.95</v>
      </c>
      <c r="E7026" s="2">
        <v>24592.2</v>
      </c>
      <c r="F7026" s="2">
        <v>24331.15</v>
      </c>
      <c r="G7026" s="3">
        <f t="shared" si="329"/>
        <v>7.6575252046495734E-3</v>
      </c>
      <c r="H7026" s="2">
        <f t="shared" si="327"/>
        <v>261.04999999999927</v>
      </c>
      <c r="I7026" s="3">
        <f t="shared" si="328"/>
        <v>1.070405671653416E-2</v>
      </c>
    </row>
    <row r="7027" spans="2:9" x14ac:dyDescent="0.25">
      <c r="B7027" s="1">
        <v>45488</v>
      </c>
      <c r="C7027" s="2">
        <v>24586.7</v>
      </c>
      <c r="D7027" s="2">
        <v>24587.599999999999</v>
      </c>
      <c r="E7027" s="2">
        <v>24635.05</v>
      </c>
      <c r="F7027" s="2">
        <v>24522.75</v>
      </c>
      <c r="G7027" s="3">
        <f t="shared" si="329"/>
        <v>3.4507175900890807E-3</v>
      </c>
      <c r="H7027" s="2">
        <f t="shared" si="327"/>
        <v>112.29999999999927</v>
      </c>
      <c r="I7027" s="3">
        <f t="shared" si="328"/>
        <v>4.5673428882851228E-3</v>
      </c>
    </row>
    <row r="7028" spans="2:9" x14ac:dyDescent="0.25">
      <c r="B7028" s="1">
        <v>45489</v>
      </c>
      <c r="C7028" s="2">
        <v>24613</v>
      </c>
      <c r="D7028" s="2">
        <v>24615.9</v>
      </c>
      <c r="E7028" s="2">
        <v>24661.25</v>
      </c>
      <c r="F7028" s="2">
        <v>24587.65</v>
      </c>
      <c r="G7028" s="3">
        <f t="shared" si="329"/>
        <v>1.0696840161550369E-3</v>
      </c>
      <c r="H7028" s="2">
        <f t="shared" si="327"/>
        <v>73.599999999998545</v>
      </c>
      <c r="I7028" s="3">
        <f t="shared" si="328"/>
        <v>2.9899373981856661E-3</v>
      </c>
    </row>
    <row r="7029" spans="2:9" x14ac:dyDescent="0.25">
      <c r="B7029" s="1">
        <v>45491</v>
      </c>
      <c r="C7029" s="2">
        <v>24800.85</v>
      </c>
      <c r="D7029" s="2">
        <v>24543.8</v>
      </c>
      <c r="E7029" s="2">
        <v>24837.75</v>
      </c>
      <c r="F7029" s="2">
        <v>24504.45</v>
      </c>
      <c r="G7029" s="3">
        <f t="shared" si="329"/>
        <v>7.6321456141064115E-3</v>
      </c>
      <c r="H7029" s="2">
        <f t="shared" si="327"/>
        <v>333.29999999999927</v>
      </c>
      <c r="I7029" s="3">
        <f t="shared" si="328"/>
        <v>1.3579804268287685E-2</v>
      </c>
    </row>
    <row r="7030" spans="2:9" x14ac:dyDescent="0.25">
      <c r="B7030" s="1">
        <v>45492</v>
      </c>
      <c r="C7030" s="2">
        <v>24530.9</v>
      </c>
      <c r="D7030" s="2">
        <v>24853.8</v>
      </c>
      <c r="E7030" s="2">
        <v>24854.799999999999</v>
      </c>
      <c r="F7030" s="2">
        <v>24508.15</v>
      </c>
      <c r="G7030" s="3">
        <f t="shared" si="329"/>
        <v>-1.0884707580586794E-2</v>
      </c>
      <c r="H7030" s="2">
        <f t="shared" si="327"/>
        <v>346.64999999999782</v>
      </c>
      <c r="I7030" s="3">
        <f t="shared" si="328"/>
        <v>1.3947565362238283E-2</v>
      </c>
    </row>
    <row r="7031" spans="2:9" x14ac:dyDescent="0.25">
      <c r="B7031" s="1">
        <v>45495</v>
      </c>
      <c r="C7031" s="2">
        <v>24509.25</v>
      </c>
      <c r="D7031" s="2">
        <v>24445.75</v>
      </c>
      <c r="E7031" s="2">
        <v>24595.200000000001</v>
      </c>
      <c r="F7031" s="2">
        <v>24362.3</v>
      </c>
      <c r="G7031" s="3">
        <f t="shared" si="329"/>
        <v>-8.8256036264466875E-4</v>
      </c>
      <c r="H7031" s="2">
        <f t="shared" si="327"/>
        <v>232.90000000000146</v>
      </c>
      <c r="I7031" s="3">
        <f t="shared" si="328"/>
        <v>9.5272184326519512E-3</v>
      </c>
    </row>
    <row r="7032" spans="2:9" x14ac:dyDescent="0.25">
      <c r="B7032" s="1">
        <v>45496</v>
      </c>
      <c r="C7032" s="2">
        <v>24479.05</v>
      </c>
      <c r="D7032" s="2">
        <v>24568.9</v>
      </c>
      <c r="E7032" s="2">
        <v>24582.55</v>
      </c>
      <c r="F7032" s="2">
        <v>24074.2</v>
      </c>
      <c r="G7032" s="3">
        <f t="shared" si="329"/>
        <v>-1.2321878474453873E-3</v>
      </c>
      <c r="H7032" s="2">
        <f t="shared" si="327"/>
        <v>508.34999999999854</v>
      </c>
      <c r="I7032" s="3">
        <f t="shared" si="328"/>
        <v>2.0690792017550582E-2</v>
      </c>
    </row>
    <row r="7033" spans="2:9" x14ac:dyDescent="0.25">
      <c r="B7033" s="1">
        <v>45497</v>
      </c>
      <c r="C7033" s="2">
        <v>24413.5</v>
      </c>
      <c r="D7033" s="2">
        <v>24444.95</v>
      </c>
      <c r="E7033" s="2">
        <v>24504.25</v>
      </c>
      <c r="F7033" s="2">
        <v>24307.25</v>
      </c>
      <c r="G7033" s="3">
        <f t="shared" si="329"/>
        <v>-2.6777999963233379E-3</v>
      </c>
      <c r="H7033" s="2">
        <f t="shared" si="327"/>
        <v>197</v>
      </c>
      <c r="I7033" s="3">
        <f t="shared" si="328"/>
        <v>8.0589242358851208E-3</v>
      </c>
    </row>
    <row r="7034" spans="2:9" x14ac:dyDescent="0.25">
      <c r="B7034" s="1">
        <v>45498</v>
      </c>
      <c r="C7034" s="2">
        <v>24406.1</v>
      </c>
      <c r="D7034" s="2">
        <v>24230.95</v>
      </c>
      <c r="E7034" s="2">
        <v>24426.15</v>
      </c>
      <c r="F7034" s="2">
        <v>24210.799999999999</v>
      </c>
      <c r="G7034" s="3">
        <f t="shared" si="329"/>
        <v>-3.0311098367707956E-4</v>
      </c>
      <c r="H7034" s="2">
        <f t="shared" si="327"/>
        <v>215.35000000000218</v>
      </c>
      <c r="I7034" s="3">
        <f t="shared" si="328"/>
        <v>8.8873940146796636E-3</v>
      </c>
    </row>
    <row r="7035" spans="2:9" x14ac:dyDescent="0.25">
      <c r="B7035" s="1">
        <v>45499</v>
      </c>
      <c r="C7035" s="2">
        <v>24834.85</v>
      </c>
      <c r="D7035" s="2">
        <v>24423.35</v>
      </c>
      <c r="E7035" s="2">
        <v>24861.15</v>
      </c>
      <c r="F7035" s="2">
        <v>24410.9</v>
      </c>
      <c r="G7035" s="3">
        <f t="shared" si="329"/>
        <v>1.7567329479105664E-2</v>
      </c>
      <c r="H7035" s="2">
        <f t="shared" si="327"/>
        <v>450.25</v>
      </c>
      <c r="I7035" s="3">
        <f t="shared" si="328"/>
        <v>1.8435226944706604E-2</v>
      </c>
    </row>
    <row r="7036" spans="2:9" x14ac:dyDescent="0.25">
      <c r="B7036" s="1">
        <v>45502</v>
      </c>
      <c r="C7036" s="2">
        <v>24836.1</v>
      </c>
      <c r="D7036" s="2">
        <v>24943.3</v>
      </c>
      <c r="E7036" s="2">
        <v>24999.75</v>
      </c>
      <c r="F7036" s="2">
        <v>24774.6</v>
      </c>
      <c r="G7036" s="3">
        <f t="shared" si="329"/>
        <v>5.0332496471794386E-5</v>
      </c>
      <c r="H7036" s="2">
        <f t="shared" si="327"/>
        <v>225.15000000000146</v>
      </c>
      <c r="I7036" s="3">
        <f t="shared" si="328"/>
        <v>9.0264720385835658E-3</v>
      </c>
    </row>
    <row r="7037" spans="2:9" x14ac:dyDescent="0.25">
      <c r="B7037" s="1">
        <v>45503</v>
      </c>
      <c r="C7037" s="2">
        <v>24857.3</v>
      </c>
      <c r="D7037" s="2">
        <v>24839.4</v>
      </c>
      <c r="E7037" s="2">
        <v>24971.75</v>
      </c>
      <c r="F7037" s="2">
        <v>24798.65</v>
      </c>
      <c r="G7037" s="3">
        <f t="shared" si="329"/>
        <v>8.5359617653346653E-4</v>
      </c>
      <c r="H7037" s="2">
        <f t="shared" si="327"/>
        <v>173.09999999999854</v>
      </c>
      <c r="I7037" s="3">
        <f t="shared" si="328"/>
        <v>6.9687673615304131E-3</v>
      </c>
    </row>
    <row r="7038" spans="2:9" x14ac:dyDescent="0.25">
      <c r="B7038" s="1">
        <v>45504</v>
      </c>
      <c r="C7038" s="2">
        <v>24951.15</v>
      </c>
      <c r="D7038" s="2">
        <v>24886.7</v>
      </c>
      <c r="E7038" s="2">
        <v>24984.6</v>
      </c>
      <c r="F7038" s="2">
        <v>24856.5</v>
      </c>
      <c r="G7038" s="3">
        <f t="shared" si="329"/>
        <v>3.7755508442189889E-3</v>
      </c>
      <c r="H7038" s="2">
        <f t="shared" si="327"/>
        <v>128.09999999999854</v>
      </c>
      <c r="I7038" s="3">
        <f t="shared" si="328"/>
        <v>5.1473276890868832E-3</v>
      </c>
    </row>
    <row r="7039" spans="2:9" x14ac:dyDescent="0.25">
      <c r="B7039" s="1">
        <v>45505</v>
      </c>
      <c r="C7039" s="2">
        <v>25010.9</v>
      </c>
      <c r="D7039" s="2">
        <v>25030.95</v>
      </c>
      <c r="E7039" s="2">
        <v>25078.3</v>
      </c>
      <c r="F7039" s="2">
        <v>24956.400000000001</v>
      </c>
      <c r="G7039" s="3">
        <f t="shared" si="329"/>
        <v>2.3946792031630526E-3</v>
      </c>
      <c r="H7039" s="2">
        <f t="shared" si="327"/>
        <v>121.89999999999782</v>
      </c>
      <c r="I7039" s="3">
        <f t="shared" si="328"/>
        <v>4.8699709759317091E-3</v>
      </c>
    </row>
    <row r="7040" spans="2:9" x14ac:dyDescent="0.25">
      <c r="B7040" s="1">
        <v>45506</v>
      </c>
      <c r="C7040" s="2">
        <v>24717.7</v>
      </c>
      <c r="D7040" s="2">
        <v>24789</v>
      </c>
      <c r="E7040" s="2">
        <v>24851.9</v>
      </c>
      <c r="F7040" s="2">
        <v>24686.85</v>
      </c>
      <c r="G7040" s="3">
        <f t="shared" si="329"/>
        <v>-1.1722888820474342E-2</v>
      </c>
      <c r="H7040" s="2">
        <f t="shared" si="327"/>
        <v>165.05000000000291</v>
      </c>
      <c r="I7040" s="3">
        <f t="shared" si="328"/>
        <v>6.6581951672113806E-3</v>
      </c>
    </row>
    <row r="7041" spans="2:9" x14ac:dyDescent="0.25">
      <c r="B7041" s="1">
        <v>45509</v>
      </c>
      <c r="C7041" s="2">
        <v>24055.599999999999</v>
      </c>
      <c r="D7041" s="2">
        <v>24302.85</v>
      </c>
      <c r="E7041" s="2">
        <v>24350.05</v>
      </c>
      <c r="F7041" s="2">
        <v>23893.7</v>
      </c>
      <c r="G7041" s="3">
        <f t="shared" si="329"/>
        <v>-2.6786472851438536E-2</v>
      </c>
      <c r="H7041" s="2">
        <f t="shared" si="327"/>
        <v>456.34999999999854</v>
      </c>
      <c r="I7041" s="3">
        <f t="shared" si="328"/>
        <v>1.8777633075956052E-2</v>
      </c>
    </row>
    <row r="7042" spans="2:9" x14ac:dyDescent="0.25">
      <c r="B7042" s="1">
        <v>45510</v>
      </c>
      <c r="C7042" s="2">
        <v>23992.55</v>
      </c>
      <c r="D7042" s="2">
        <v>24189.85</v>
      </c>
      <c r="E7042" s="2">
        <v>24382.6</v>
      </c>
      <c r="F7042" s="2">
        <v>23960.400000000001</v>
      </c>
      <c r="G7042" s="3">
        <f t="shared" si="329"/>
        <v>-2.6210113237665755E-3</v>
      </c>
      <c r="H7042" s="2">
        <f t="shared" si="327"/>
        <v>422.19999999999709</v>
      </c>
      <c r="I7042" s="3">
        <f t="shared" si="328"/>
        <v>1.745360140720166E-2</v>
      </c>
    </row>
    <row r="7043" spans="2:9" x14ac:dyDescent="0.25">
      <c r="B7043" s="1">
        <v>45511</v>
      </c>
      <c r="C7043" s="2">
        <v>24297.5</v>
      </c>
      <c r="D7043" s="2">
        <v>24289.4</v>
      </c>
      <c r="E7043" s="2">
        <v>24337.7</v>
      </c>
      <c r="F7043" s="2">
        <v>24184.9</v>
      </c>
      <c r="G7043" s="3">
        <f t="shared" si="329"/>
        <v>1.2710195456506312E-2</v>
      </c>
      <c r="H7043" s="2">
        <f t="shared" si="327"/>
        <v>152.79999999999927</v>
      </c>
      <c r="I7043" s="3">
        <f t="shared" si="328"/>
        <v>6.2908099829554979E-3</v>
      </c>
    </row>
    <row r="7044" spans="2:9" x14ac:dyDescent="0.25">
      <c r="B7044" s="1">
        <v>45512</v>
      </c>
      <c r="C7044" s="2">
        <v>24117</v>
      </c>
      <c r="D7044" s="2">
        <v>24248.55</v>
      </c>
      <c r="E7044" s="2">
        <v>24340.5</v>
      </c>
      <c r="F7044" s="2">
        <v>24079.7</v>
      </c>
      <c r="G7044" s="3">
        <f t="shared" si="329"/>
        <v>-7.4287478135610652E-3</v>
      </c>
      <c r="H7044" s="2">
        <f t="shared" si="327"/>
        <v>260.79999999999927</v>
      </c>
      <c r="I7044" s="3">
        <f t="shared" si="328"/>
        <v>1.0755282274610204E-2</v>
      </c>
    </row>
    <row r="7045" spans="2:9" x14ac:dyDescent="0.25">
      <c r="B7045" s="1">
        <v>45513</v>
      </c>
      <c r="C7045" s="2">
        <v>24367.5</v>
      </c>
      <c r="D7045" s="2">
        <v>24386.85</v>
      </c>
      <c r="E7045" s="2">
        <v>24419.75</v>
      </c>
      <c r="F7045" s="2">
        <v>24311.200000000001</v>
      </c>
      <c r="G7045" s="3">
        <f t="shared" si="329"/>
        <v>1.0386864037815746E-2</v>
      </c>
      <c r="H7045" s="2">
        <f t="shared" ref="H7045:H7108" si="330">E7045-F7045</f>
        <v>108.54999999999927</v>
      </c>
      <c r="I7045" s="3">
        <f t="shared" si="328"/>
        <v>4.4511693802192281E-3</v>
      </c>
    </row>
    <row r="7046" spans="2:9" x14ac:dyDescent="0.25">
      <c r="B7046" s="1">
        <v>45516</v>
      </c>
      <c r="C7046" s="2">
        <v>24347</v>
      </c>
      <c r="D7046" s="2">
        <v>24320.05</v>
      </c>
      <c r="E7046" s="2">
        <v>24472.799999999999</v>
      </c>
      <c r="F7046" s="2">
        <v>24212.1</v>
      </c>
      <c r="G7046" s="3">
        <f t="shared" si="329"/>
        <v>-8.4128449779419245E-4</v>
      </c>
      <c r="H7046" s="2">
        <f t="shared" si="330"/>
        <v>260.70000000000073</v>
      </c>
      <c r="I7046" s="3">
        <f t="shared" ref="I7046:I7109" si="331">H7046/D7046</f>
        <v>1.0719550329871885E-2</v>
      </c>
    </row>
    <row r="7047" spans="2:9" x14ac:dyDescent="0.25">
      <c r="B7047" s="1">
        <v>45517</v>
      </c>
      <c r="C7047" s="2">
        <v>24139</v>
      </c>
      <c r="D7047" s="2">
        <v>24342.35</v>
      </c>
      <c r="E7047" s="2">
        <v>24359.95</v>
      </c>
      <c r="F7047" s="2">
        <v>24116.5</v>
      </c>
      <c r="G7047" s="3">
        <f t="shared" ref="G7047:G7110" si="332">C7047/C7046-1</f>
        <v>-8.5431469996303244E-3</v>
      </c>
      <c r="H7047" s="2">
        <f t="shared" si="330"/>
        <v>243.45000000000073</v>
      </c>
      <c r="I7047" s="3">
        <f t="shared" si="331"/>
        <v>1.0001088637703456E-2</v>
      </c>
    </row>
    <row r="7048" spans="2:9" x14ac:dyDescent="0.25">
      <c r="B7048" s="1">
        <v>45518</v>
      </c>
      <c r="C7048" s="2">
        <v>24143.75</v>
      </c>
      <c r="D7048" s="2">
        <v>24184.400000000001</v>
      </c>
      <c r="E7048" s="2">
        <v>24196.5</v>
      </c>
      <c r="F7048" s="2">
        <v>24099.7</v>
      </c>
      <c r="G7048" s="3">
        <f t="shared" si="332"/>
        <v>1.9677699987563635E-4</v>
      </c>
      <c r="H7048" s="2">
        <f t="shared" si="330"/>
        <v>96.799999999999272</v>
      </c>
      <c r="I7048" s="3">
        <f t="shared" si="331"/>
        <v>4.0025801756503887E-3</v>
      </c>
    </row>
    <row r="7049" spans="2:9" x14ac:dyDescent="0.25">
      <c r="B7049" s="1">
        <v>45520</v>
      </c>
      <c r="C7049" s="2">
        <v>24541.15</v>
      </c>
      <c r="D7049" s="2">
        <v>24334.85</v>
      </c>
      <c r="E7049" s="2">
        <v>24563.9</v>
      </c>
      <c r="F7049" s="2">
        <v>24204.5</v>
      </c>
      <c r="G7049" s="3">
        <f t="shared" si="332"/>
        <v>1.6459746311157097E-2</v>
      </c>
      <c r="H7049" s="2">
        <f t="shared" si="330"/>
        <v>359.40000000000146</v>
      </c>
      <c r="I7049" s="3">
        <f t="shared" si="331"/>
        <v>1.4768942483721965E-2</v>
      </c>
    </row>
    <row r="7050" spans="2:9" x14ac:dyDescent="0.25">
      <c r="B7050" s="1">
        <v>45523</v>
      </c>
      <c r="C7050" s="2">
        <v>24572.65</v>
      </c>
      <c r="D7050" s="2">
        <v>24636.35</v>
      </c>
      <c r="E7050" s="2">
        <v>24638.799999999999</v>
      </c>
      <c r="F7050" s="2">
        <v>24522.95</v>
      </c>
      <c r="G7050" s="3">
        <f t="shared" si="332"/>
        <v>1.283558431450782E-3</v>
      </c>
      <c r="H7050" s="2">
        <f t="shared" si="330"/>
        <v>115.84999999999854</v>
      </c>
      <c r="I7050" s="3">
        <f t="shared" si="331"/>
        <v>4.702401126790233E-3</v>
      </c>
    </row>
    <row r="7051" spans="2:9" x14ac:dyDescent="0.25">
      <c r="B7051" s="1">
        <v>45524</v>
      </c>
      <c r="C7051" s="2">
        <v>24698.85</v>
      </c>
      <c r="D7051" s="2">
        <v>24648.9</v>
      </c>
      <c r="E7051" s="2">
        <v>24734.3</v>
      </c>
      <c r="F7051" s="2">
        <v>24607.200000000001</v>
      </c>
      <c r="G7051" s="3">
        <f t="shared" si="332"/>
        <v>5.1357912150296059E-3</v>
      </c>
      <c r="H7051" s="2">
        <f t="shared" si="330"/>
        <v>127.09999999999854</v>
      </c>
      <c r="I7051" s="3">
        <f t="shared" si="331"/>
        <v>5.1564167163645654E-3</v>
      </c>
    </row>
    <row r="7052" spans="2:9" x14ac:dyDescent="0.25">
      <c r="B7052" s="1">
        <v>45525</v>
      </c>
      <c r="C7052" s="2">
        <v>24770.2</v>
      </c>
      <c r="D7052" s="2">
        <v>24680.55</v>
      </c>
      <c r="E7052" s="2">
        <v>24787.95</v>
      </c>
      <c r="F7052" s="2">
        <v>24654.5</v>
      </c>
      <c r="G7052" s="3">
        <f t="shared" si="332"/>
        <v>2.888798466325504E-3</v>
      </c>
      <c r="H7052" s="2">
        <f t="shared" si="330"/>
        <v>133.45000000000073</v>
      </c>
      <c r="I7052" s="3">
        <f t="shared" si="331"/>
        <v>5.4070918192666182E-3</v>
      </c>
    </row>
    <row r="7053" spans="2:9" x14ac:dyDescent="0.25">
      <c r="B7053" s="1">
        <v>45526</v>
      </c>
      <c r="C7053" s="2">
        <v>24811.5</v>
      </c>
      <c r="D7053" s="2">
        <v>24863.4</v>
      </c>
      <c r="E7053" s="2">
        <v>24867.35</v>
      </c>
      <c r="F7053" s="2">
        <v>24784.45</v>
      </c>
      <c r="G7053" s="3">
        <f t="shared" si="332"/>
        <v>1.6673260611541618E-3</v>
      </c>
      <c r="H7053" s="2">
        <f t="shared" si="330"/>
        <v>82.899999999997817</v>
      </c>
      <c r="I7053" s="3">
        <f t="shared" si="331"/>
        <v>3.3342181680702482E-3</v>
      </c>
    </row>
    <row r="7054" spans="2:9" x14ac:dyDescent="0.25">
      <c r="B7054" s="1">
        <v>45527</v>
      </c>
      <c r="C7054" s="2">
        <v>24823.15</v>
      </c>
      <c r="D7054" s="2">
        <v>24845.4</v>
      </c>
      <c r="E7054" s="2">
        <v>24858.400000000001</v>
      </c>
      <c r="F7054" s="2">
        <v>24771.65</v>
      </c>
      <c r="G7054" s="3">
        <f t="shared" si="332"/>
        <v>4.6954033411927831E-4</v>
      </c>
      <c r="H7054" s="2">
        <f t="shared" si="330"/>
        <v>86.75</v>
      </c>
      <c r="I7054" s="3">
        <f t="shared" si="331"/>
        <v>3.4915920049586641E-3</v>
      </c>
    </row>
    <row r="7055" spans="2:9" x14ac:dyDescent="0.25">
      <c r="B7055" s="1">
        <v>45530</v>
      </c>
      <c r="C7055" s="2">
        <v>25010.6</v>
      </c>
      <c r="D7055" s="2">
        <v>24906.1</v>
      </c>
      <c r="E7055" s="2">
        <v>25043.8</v>
      </c>
      <c r="F7055" s="2">
        <v>24874.7</v>
      </c>
      <c r="G7055" s="3">
        <f t="shared" si="332"/>
        <v>7.5514187361394036E-3</v>
      </c>
      <c r="H7055" s="2">
        <f t="shared" si="330"/>
        <v>169.09999999999854</v>
      </c>
      <c r="I7055" s="3">
        <f t="shared" si="331"/>
        <v>6.7895013671349005E-3</v>
      </c>
    </row>
    <row r="7056" spans="2:9" x14ac:dyDescent="0.25">
      <c r="B7056" s="1">
        <v>45531</v>
      </c>
      <c r="C7056" s="2">
        <v>25017.75</v>
      </c>
      <c r="D7056" s="2">
        <v>25024.799999999999</v>
      </c>
      <c r="E7056" s="2">
        <v>25073.1</v>
      </c>
      <c r="F7056" s="2">
        <v>24973.65</v>
      </c>
      <c r="G7056" s="3">
        <f t="shared" si="332"/>
        <v>2.8587878739427808E-4</v>
      </c>
      <c r="H7056" s="2">
        <f t="shared" si="330"/>
        <v>99.44999999999709</v>
      </c>
      <c r="I7056" s="3">
        <f t="shared" si="331"/>
        <v>3.9740577347270349E-3</v>
      </c>
    </row>
    <row r="7057" spans="2:9" x14ac:dyDescent="0.25">
      <c r="B7057" s="1">
        <v>45532</v>
      </c>
      <c r="C7057" s="2">
        <v>25052.35</v>
      </c>
      <c r="D7057" s="2">
        <v>25030.799999999999</v>
      </c>
      <c r="E7057" s="2">
        <v>25129.599999999999</v>
      </c>
      <c r="F7057" s="2">
        <v>24964.65</v>
      </c>
      <c r="G7057" s="3">
        <f t="shared" si="332"/>
        <v>1.3830180571794415E-3</v>
      </c>
      <c r="H7057" s="2">
        <f t="shared" si="330"/>
        <v>164.94999999999709</v>
      </c>
      <c r="I7057" s="3">
        <f t="shared" si="331"/>
        <v>6.5898812662798269E-3</v>
      </c>
    </row>
    <row r="7058" spans="2:9" x14ac:dyDescent="0.25">
      <c r="B7058" s="1">
        <v>45533</v>
      </c>
      <c r="C7058" s="2">
        <v>25151.95</v>
      </c>
      <c r="D7058" s="2">
        <v>25035.3</v>
      </c>
      <c r="E7058" s="2">
        <v>25192.9</v>
      </c>
      <c r="F7058" s="2">
        <v>24998.5</v>
      </c>
      <c r="G7058" s="3">
        <f t="shared" si="332"/>
        <v>3.975674936682605E-3</v>
      </c>
      <c r="H7058" s="2">
        <f t="shared" si="330"/>
        <v>194.40000000000146</v>
      </c>
      <c r="I7058" s="3">
        <f t="shared" si="331"/>
        <v>7.765035769493534E-3</v>
      </c>
    </row>
    <row r="7059" spans="2:9" x14ac:dyDescent="0.25">
      <c r="B7059" s="1">
        <v>45534</v>
      </c>
      <c r="C7059" s="2">
        <v>25235.9</v>
      </c>
      <c r="D7059" s="2">
        <v>25249.7</v>
      </c>
      <c r="E7059" s="2">
        <v>25268.35</v>
      </c>
      <c r="F7059" s="2">
        <v>25199.4</v>
      </c>
      <c r="G7059" s="3">
        <f t="shared" si="332"/>
        <v>3.3377133780880808E-3</v>
      </c>
      <c r="H7059" s="2">
        <f t="shared" si="330"/>
        <v>68.94999999999709</v>
      </c>
      <c r="I7059" s="3">
        <f t="shared" si="331"/>
        <v>2.7307255135703428E-3</v>
      </c>
    </row>
    <row r="7060" spans="2:9" x14ac:dyDescent="0.25">
      <c r="B7060" s="1">
        <v>45537</v>
      </c>
      <c r="C7060" s="2">
        <v>25278.7</v>
      </c>
      <c r="D7060" s="2">
        <v>25333.599999999999</v>
      </c>
      <c r="E7060" s="2">
        <v>25333.65</v>
      </c>
      <c r="F7060" s="2">
        <v>25235.5</v>
      </c>
      <c r="G7060" s="3">
        <f t="shared" si="332"/>
        <v>1.6959965763059248E-3</v>
      </c>
      <c r="H7060" s="2">
        <f t="shared" si="330"/>
        <v>98.150000000001455</v>
      </c>
      <c r="I7060" s="3">
        <f t="shared" si="331"/>
        <v>3.8743013231440247E-3</v>
      </c>
    </row>
    <row r="7061" spans="2:9" x14ac:dyDescent="0.25">
      <c r="B7061" s="1">
        <v>45538</v>
      </c>
      <c r="C7061" s="2">
        <v>25279.85</v>
      </c>
      <c r="D7061" s="2">
        <v>25313.4</v>
      </c>
      <c r="E7061" s="2">
        <v>25321.7</v>
      </c>
      <c r="F7061" s="2">
        <v>25235.8</v>
      </c>
      <c r="G7061" s="3">
        <f t="shared" si="332"/>
        <v>4.5492845755390476E-5</v>
      </c>
      <c r="H7061" s="2">
        <f t="shared" si="330"/>
        <v>85.900000000001455</v>
      </c>
      <c r="I7061" s="3">
        <f t="shared" si="331"/>
        <v>3.3934595905726395E-3</v>
      </c>
    </row>
    <row r="7062" spans="2:9" x14ac:dyDescent="0.25">
      <c r="B7062" s="1">
        <v>45539</v>
      </c>
      <c r="C7062" s="2">
        <v>25198.7</v>
      </c>
      <c r="D7062" s="2">
        <v>25089.95</v>
      </c>
      <c r="E7062" s="2">
        <v>25216</v>
      </c>
      <c r="F7062" s="2">
        <v>25083.8</v>
      </c>
      <c r="G7062" s="3">
        <f t="shared" si="332"/>
        <v>-3.2100665154262131E-3</v>
      </c>
      <c r="H7062" s="2">
        <f t="shared" si="330"/>
        <v>132.20000000000073</v>
      </c>
      <c r="I7062" s="3">
        <f t="shared" si="331"/>
        <v>5.2690419869310511E-3</v>
      </c>
    </row>
    <row r="7063" spans="2:9" x14ac:dyDescent="0.25">
      <c r="B7063" s="1">
        <v>45540</v>
      </c>
      <c r="C7063" s="2">
        <v>25145.1</v>
      </c>
      <c r="D7063" s="2">
        <v>25250.5</v>
      </c>
      <c r="E7063" s="2">
        <v>25275.45</v>
      </c>
      <c r="F7063" s="2">
        <v>25127.75</v>
      </c>
      <c r="G7063" s="3">
        <f t="shared" si="332"/>
        <v>-2.127093858016571E-3</v>
      </c>
      <c r="H7063" s="2">
        <f t="shared" si="330"/>
        <v>147.70000000000073</v>
      </c>
      <c r="I7063" s="3">
        <f t="shared" si="331"/>
        <v>5.8493891210075338E-3</v>
      </c>
    </row>
    <row r="7064" spans="2:9" x14ac:dyDescent="0.25">
      <c r="B7064" s="1">
        <v>45541</v>
      </c>
      <c r="C7064" s="2">
        <v>24852.15</v>
      </c>
      <c r="D7064" s="2">
        <v>25093.7</v>
      </c>
      <c r="E7064" s="2">
        <v>25168.75</v>
      </c>
      <c r="F7064" s="2">
        <v>24801.3</v>
      </c>
      <c r="G7064" s="3">
        <f t="shared" si="332"/>
        <v>-1.16503811875871E-2</v>
      </c>
      <c r="H7064" s="2">
        <f t="shared" si="330"/>
        <v>367.45000000000073</v>
      </c>
      <c r="I7064" s="3">
        <f t="shared" si="331"/>
        <v>1.4643117595253021E-2</v>
      </c>
    </row>
    <row r="7065" spans="2:9" x14ac:dyDescent="0.25">
      <c r="B7065" s="1">
        <v>45544</v>
      </c>
      <c r="C7065" s="2">
        <v>24936.400000000001</v>
      </c>
      <c r="D7065" s="2">
        <v>24823.4</v>
      </c>
      <c r="E7065" s="2">
        <v>24957.5</v>
      </c>
      <c r="F7065" s="2">
        <v>24753.15</v>
      </c>
      <c r="G7065" s="3">
        <f t="shared" si="332"/>
        <v>3.3900487482974029E-3</v>
      </c>
      <c r="H7065" s="2">
        <f t="shared" si="330"/>
        <v>204.34999999999854</v>
      </c>
      <c r="I7065" s="3">
        <f t="shared" si="331"/>
        <v>8.2321519211710943E-3</v>
      </c>
    </row>
    <row r="7066" spans="2:9" x14ac:dyDescent="0.25">
      <c r="B7066" s="1">
        <v>45545</v>
      </c>
      <c r="C7066" s="2">
        <v>25041.1</v>
      </c>
      <c r="D7066" s="2">
        <v>24999.4</v>
      </c>
      <c r="E7066" s="2">
        <v>25130.5</v>
      </c>
      <c r="F7066" s="2">
        <v>24896.799999999999</v>
      </c>
      <c r="G7066" s="3">
        <f t="shared" si="332"/>
        <v>4.1986814455974297E-3</v>
      </c>
      <c r="H7066" s="2">
        <f t="shared" si="330"/>
        <v>233.70000000000073</v>
      </c>
      <c r="I7066" s="3">
        <f t="shared" si="331"/>
        <v>9.348224357384605E-3</v>
      </c>
    </row>
    <row r="7067" spans="2:9" x14ac:dyDescent="0.25">
      <c r="B7067" s="1">
        <v>45546</v>
      </c>
      <c r="C7067" s="2">
        <v>24918.45</v>
      </c>
      <c r="D7067" s="2">
        <v>25034</v>
      </c>
      <c r="E7067" s="2">
        <v>25113.7</v>
      </c>
      <c r="F7067" s="2">
        <v>24885.15</v>
      </c>
      <c r="G7067" s="3">
        <f t="shared" si="332"/>
        <v>-4.8979477738596566E-3</v>
      </c>
      <c r="H7067" s="2">
        <f t="shared" si="330"/>
        <v>228.54999999999927</v>
      </c>
      <c r="I7067" s="3">
        <f t="shared" si="331"/>
        <v>9.1295837660781039E-3</v>
      </c>
    </row>
    <row r="7068" spans="2:9" x14ac:dyDescent="0.25">
      <c r="B7068" s="1">
        <v>45547</v>
      </c>
      <c r="C7068" s="2">
        <v>25388.9</v>
      </c>
      <c r="D7068" s="2">
        <v>25059.65</v>
      </c>
      <c r="E7068" s="2">
        <v>25433.35</v>
      </c>
      <c r="F7068" s="2">
        <v>24941.45</v>
      </c>
      <c r="G7068" s="3">
        <f t="shared" si="332"/>
        <v>1.8879585206944993E-2</v>
      </c>
      <c r="H7068" s="2">
        <f t="shared" si="330"/>
        <v>491.89999999999782</v>
      </c>
      <c r="I7068" s="3">
        <f t="shared" si="331"/>
        <v>1.9629164812756675E-2</v>
      </c>
    </row>
    <row r="7069" spans="2:9" x14ac:dyDescent="0.25">
      <c r="B7069" s="1">
        <v>45548</v>
      </c>
      <c r="C7069" s="2">
        <v>25356.5</v>
      </c>
      <c r="D7069" s="2">
        <v>25430.45</v>
      </c>
      <c r="E7069" s="2">
        <v>25430.5</v>
      </c>
      <c r="F7069" s="2">
        <v>25292.45</v>
      </c>
      <c r="G7069" s="3">
        <f t="shared" si="332"/>
        <v>-1.276148238009589E-3</v>
      </c>
      <c r="H7069" s="2">
        <f t="shared" si="330"/>
        <v>138.04999999999927</v>
      </c>
      <c r="I7069" s="3">
        <f t="shared" si="331"/>
        <v>5.4285315438774885E-3</v>
      </c>
    </row>
    <row r="7070" spans="2:9" x14ac:dyDescent="0.25">
      <c r="B7070" s="1">
        <v>45551</v>
      </c>
      <c r="C7070" s="2">
        <v>25383.75</v>
      </c>
      <c r="D7070" s="2">
        <v>25406.65</v>
      </c>
      <c r="E7070" s="2">
        <v>25445.7</v>
      </c>
      <c r="F7070" s="2">
        <v>25336.2</v>
      </c>
      <c r="G7070" s="3">
        <f t="shared" si="332"/>
        <v>1.0746751326089488E-3</v>
      </c>
      <c r="H7070" s="2">
        <f t="shared" si="330"/>
        <v>109.5</v>
      </c>
      <c r="I7070" s="3">
        <f t="shared" si="331"/>
        <v>4.3098952439617182E-3</v>
      </c>
    </row>
    <row r="7071" spans="2:9" x14ac:dyDescent="0.25">
      <c r="B7071" s="1">
        <v>45552</v>
      </c>
      <c r="C7071" s="2">
        <v>25418.55</v>
      </c>
      <c r="D7071" s="2">
        <v>25416.9</v>
      </c>
      <c r="E7071" s="2">
        <v>25441.65</v>
      </c>
      <c r="F7071" s="2">
        <v>25352.25</v>
      </c>
      <c r="G7071" s="3">
        <f t="shared" si="332"/>
        <v>1.3709558280394774E-3</v>
      </c>
      <c r="H7071" s="2">
        <f t="shared" si="330"/>
        <v>89.400000000001455</v>
      </c>
      <c r="I7071" s="3">
        <f t="shared" si="331"/>
        <v>3.5173447588022714E-3</v>
      </c>
    </row>
    <row r="7072" spans="2:9" x14ac:dyDescent="0.25">
      <c r="B7072" s="1">
        <v>45553</v>
      </c>
      <c r="C7072" s="2">
        <v>25377.55</v>
      </c>
      <c r="D7072" s="2">
        <v>25402.400000000001</v>
      </c>
      <c r="E7072" s="2">
        <v>25482.2</v>
      </c>
      <c r="F7072" s="2">
        <v>25285.55</v>
      </c>
      <c r="G7072" s="3">
        <f t="shared" si="332"/>
        <v>-1.6129952337957665E-3</v>
      </c>
      <c r="H7072" s="2">
        <f t="shared" si="330"/>
        <v>196.65000000000146</v>
      </c>
      <c r="I7072" s="3">
        <f t="shared" si="331"/>
        <v>7.7413945139042546E-3</v>
      </c>
    </row>
    <row r="7073" spans="2:9" x14ac:dyDescent="0.25">
      <c r="B7073" s="1">
        <v>45554</v>
      </c>
      <c r="C7073" s="2">
        <v>25415.8</v>
      </c>
      <c r="D7073" s="2">
        <v>25487.05</v>
      </c>
      <c r="E7073" s="2">
        <v>25611.95</v>
      </c>
      <c r="F7073" s="2">
        <v>25376.05</v>
      </c>
      <c r="G7073" s="3">
        <f t="shared" si="332"/>
        <v>1.5072376963103373E-3</v>
      </c>
      <c r="H7073" s="2">
        <f t="shared" si="330"/>
        <v>235.90000000000146</v>
      </c>
      <c r="I7073" s="3">
        <f t="shared" si="331"/>
        <v>9.255680826145099E-3</v>
      </c>
    </row>
    <row r="7074" spans="2:9" x14ac:dyDescent="0.25">
      <c r="B7074" s="1">
        <v>45555</v>
      </c>
      <c r="C7074" s="2">
        <v>25790.95</v>
      </c>
      <c r="D7074" s="2">
        <v>25525.95</v>
      </c>
      <c r="E7074" s="2">
        <v>25849.25</v>
      </c>
      <c r="F7074" s="2">
        <v>25426.6</v>
      </c>
      <c r="G7074" s="3">
        <f t="shared" si="332"/>
        <v>1.4760503308965278E-2</v>
      </c>
      <c r="H7074" s="2">
        <f t="shared" si="330"/>
        <v>422.65000000000146</v>
      </c>
      <c r="I7074" s="3">
        <f t="shared" si="331"/>
        <v>1.6557659949972537E-2</v>
      </c>
    </row>
    <row r="7075" spans="2:9" x14ac:dyDescent="0.25">
      <c r="B7075" s="1">
        <v>45558</v>
      </c>
      <c r="C7075" s="2">
        <v>25939.05</v>
      </c>
      <c r="D7075" s="2">
        <v>25872.55</v>
      </c>
      <c r="E7075" s="2">
        <v>25956</v>
      </c>
      <c r="F7075" s="2">
        <v>25847.35</v>
      </c>
      <c r="G7075" s="3">
        <f t="shared" si="332"/>
        <v>5.7423243424534753E-3</v>
      </c>
      <c r="H7075" s="2">
        <f t="shared" si="330"/>
        <v>108.65000000000146</v>
      </c>
      <c r="I7075" s="3">
        <f t="shared" si="331"/>
        <v>4.1994314437502856E-3</v>
      </c>
    </row>
    <row r="7076" spans="2:9" x14ac:dyDescent="0.25">
      <c r="B7076" s="1">
        <v>45559</v>
      </c>
      <c r="C7076" s="2">
        <v>25940.400000000001</v>
      </c>
      <c r="D7076" s="2">
        <v>25921.45</v>
      </c>
      <c r="E7076" s="2">
        <v>26011.55</v>
      </c>
      <c r="F7076" s="2">
        <v>25886.85</v>
      </c>
      <c r="G7076" s="3">
        <f t="shared" si="332"/>
        <v>5.2045082607143911E-5</v>
      </c>
      <c r="H7076" s="2">
        <f t="shared" si="330"/>
        <v>124.70000000000073</v>
      </c>
      <c r="I7076" s="3">
        <f t="shared" si="331"/>
        <v>4.8106876737219837E-3</v>
      </c>
    </row>
    <row r="7077" spans="2:9" x14ac:dyDescent="0.25">
      <c r="B7077" s="1">
        <v>45560</v>
      </c>
      <c r="C7077" s="2">
        <v>26004.15</v>
      </c>
      <c r="D7077" s="2">
        <v>25899.45</v>
      </c>
      <c r="E7077" s="2">
        <v>26032.799999999999</v>
      </c>
      <c r="F7077" s="2">
        <v>25871.35</v>
      </c>
      <c r="G7077" s="3">
        <f t="shared" si="332"/>
        <v>2.4575565527131804E-3</v>
      </c>
      <c r="H7077" s="2">
        <f t="shared" si="330"/>
        <v>161.45000000000073</v>
      </c>
      <c r="I7077" s="3">
        <f t="shared" si="331"/>
        <v>6.2337231099502391E-3</v>
      </c>
    </row>
    <row r="7078" spans="2:9" x14ac:dyDescent="0.25">
      <c r="B7078" s="1">
        <v>45561</v>
      </c>
      <c r="C7078" s="2">
        <v>26216.05</v>
      </c>
      <c r="D7078" s="2">
        <v>26005.4</v>
      </c>
      <c r="E7078" s="2">
        <v>26250.9</v>
      </c>
      <c r="F7078" s="2">
        <v>25998.400000000001</v>
      </c>
      <c r="G7078" s="3">
        <f t="shared" si="332"/>
        <v>8.1486993422204002E-3</v>
      </c>
      <c r="H7078" s="2">
        <f t="shared" si="330"/>
        <v>252.5</v>
      </c>
      <c r="I7078" s="3">
        <f t="shared" si="331"/>
        <v>9.7095218685349961E-3</v>
      </c>
    </row>
    <row r="7079" spans="2:9" x14ac:dyDescent="0.25">
      <c r="B7079" s="1">
        <v>45562</v>
      </c>
      <c r="C7079" s="2">
        <v>26178.95</v>
      </c>
      <c r="D7079" s="2">
        <v>26248.25</v>
      </c>
      <c r="E7079" s="2">
        <v>26277.35</v>
      </c>
      <c r="F7079" s="2">
        <v>26151.4</v>
      </c>
      <c r="G7079" s="3">
        <f t="shared" si="332"/>
        <v>-1.4151636116043198E-3</v>
      </c>
      <c r="H7079" s="2">
        <f t="shared" si="330"/>
        <v>125.94999999999709</v>
      </c>
      <c r="I7079" s="3">
        <f t="shared" si="331"/>
        <v>4.7984151324372898E-3</v>
      </c>
    </row>
    <row r="7080" spans="2:9" x14ac:dyDescent="0.25">
      <c r="B7080" s="1">
        <v>45565</v>
      </c>
      <c r="C7080" s="2">
        <v>25810.85</v>
      </c>
      <c r="D7080" s="2">
        <v>26061.3</v>
      </c>
      <c r="E7080" s="2">
        <v>26134.7</v>
      </c>
      <c r="F7080" s="2">
        <v>25794.1</v>
      </c>
      <c r="G7080" s="3">
        <f t="shared" si="332"/>
        <v>-1.4060915353747983E-2</v>
      </c>
      <c r="H7080" s="2">
        <f t="shared" si="330"/>
        <v>340.60000000000218</v>
      </c>
      <c r="I7080" s="3">
        <f t="shared" si="331"/>
        <v>1.3069186878628548E-2</v>
      </c>
    </row>
    <row r="7081" spans="2:9" x14ac:dyDescent="0.25">
      <c r="B7081" s="1">
        <v>45566</v>
      </c>
      <c r="C7081" s="2">
        <v>25796.9</v>
      </c>
      <c r="D7081" s="2">
        <v>25788.45</v>
      </c>
      <c r="E7081" s="2">
        <v>25907.599999999999</v>
      </c>
      <c r="F7081" s="2">
        <v>25739.200000000001</v>
      </c>
      <c r="G7081" s="3">
        <f t="shared" si="332"/>
        <v>-5.4047038357885047E-4</v>
      </c>
      <c r="H7081" s="2">
        <f t="shared" si="330"/>
        <v>168.39999999999782</v>
      </c>
      <c r="I7081" s="3">
        <f t="shared" si="331"/>
        <v>6.5300551215756591E-3</v>
      </c>
    </row>
    <row r="7082" spans="2:9" x14ac:dyDescent="0.25">
      <c r="B7082" s="1">
        <v>45568</v>
      </c>
      <c r="C7082" s="2">
        <v>25250.1</v>
      </c>
      <c r="D7082" s="2">
        <v>25452.85</v>
      </c>
      <c r="E7082" s="2">
        <v>25639.45</v>
      </c>
      <c r="F7082" s="2">
        <v>25230.3</v>
      </c>
      <c r="G7082" s="3">
        <f t="shared" si="332"/>
        <v>-2.1196345297303298E-2</v>
      </c>
      <c r="H7082" s="2">
        <f t="shared" si="330"/>
        <v>409.15000000000146</v>
      </c>
      <c r="I7082" s="3">
        <f t="shared" si="331"/>
        <v>1.6074820697878685E-2</v>
      </c>
    </row>
    <row r="7083" spans="2:9" x14ac:dyDescent="0.25">
      <c r="B7083" s="1">
        <v>45569</v>
      </c>
      <c r="C7083" s="2">
        <v>25014.6</v>
      </c>
      <c r="D7083" s="2">
        <v>25181.9</v>
      </c>
      <c r="E7083" s="2">
        <v>25485.05</v>
      </c>
      <c r="F7083" s="2">
        <v>24966.799999999999</v>
      </c>
      <c r="G7083" s="3">
        <f t="shared" si="332"/>
        <v>-9.3266957358584257E-3</v>
      </c>
      <c r="H7083" s="2">
        <f t="shared" si="330"/>
        <v>518.25</v>
      </c>
      <c r="I7083" s="3">
        <f t="shared" si="331"/>
        <v>2.0580258042482893E-2</v>
      </c>
    </row>
    <row r="7084" spans="2:9" x14ac:dyDescent="0.25">
      <c r="B7084" s="1">
        <v>45572</v>
      </c>
      <c r="C7084" s="2">
        <v>24795.75</v>
      </c>
      <c r="D7084" s="2">
        <v>25084.1</v>
      </c>
      <c r="E7084" s="2">
        <v>25143</v>
      </c>
      <c r="F7084" s="2">
        <v>24694.35</v>
      </c>
      <c r="G7084" s="3">
        <f t="shared" si="332"/>
        <v>-8.7488906478615514E-3</v>
      </c>
      <c r="H7084" s="2">
        <f t="shared" si="330"/>
        <v>448.65000000000146</v>
      </c>
      <c r="I7084" s="3">
        <f t="shared" si="331"/>
        <v>1.7885832060947033E-2</v>
      </c>
    </row>
    <row r="7085" spans="2:9" x14ac:dyDescent="0.25">
      <c r="B7085" s="1">
        <v>45573</v>
      </c>
      <c r="C7085" s="2">
        <v>25013.15</v>
      </c>
      <c r="D7085" s="2">
        <v>24832.2</v>
      </c>
      <c r="E7085" s="2">
        <v>25044</v>
      </c>
      <c r="F7085" s="2">
        <v>24756.799999999999</v>
      </c>
      <c r="G7085" s="3">
        <f t="shared" si="332"/>
        <v>8.7676315497615676E-3</v>
      </c>
      <c r="H7085" s="2">
        <f t="shared" si="330"/>
        <v>287.20000000000073</v>
      </c>
      <c r="I7085" s="3">
        <f t="shared" si="331"/>
        <v>1.1565628498481839E-2</v>
      </c>
    </row>
    <row r="7086" spans="2:9" x14ac:dyDescent="0.25">
      <c r="B7086" s="1">
        <v>45574</v>
      </c>
      <c r="C7086" s="2">
        <v>24981.95</v>
      </c>
      <c r="D7086" s="2">
        <v>25065.8</v>
      </c>
      <c r="E7086" s="2">
        <v>25234.05</v>
      </c>
      <c r="F7086" s="2">
        <v>24947.7</v>
      </c>
      <c r="G7086" s="3">
        <f t="shared" si="332"/>
        <v>-1.2473438971101203E-3</v>
      </c>
      <c r="H7086" s="2">
        <f t="shared" si="330"/>
        <v>286.34999999999854</v>
      </c>
      <c r="I7086" s="3">
        <f t="shared" si="331"/>
        <v>1.1423932210422112E-2</v>
      </c>
    </row>
    <row r="7087" spans="2:9" x14ac:dyDescent="0.25">
      <c r="B7087" s="1">
        <v>45575</v>
      </c>
      <c r="C7087" s="2">
        <v>24998.45</v>
      </c>
      <c r="D7087" s="2">
        <v>25067.05</v>
      </c>
      <c r="E7087" s="2">
        <v>25134.05</v>
      </c>
      <c r="F7087" s="2">
        <v>24979.4</v>
      </c>
      <c r="G7087" s="3">
        <f t="shared" si="332"/>
        <v>6.6047686429593355E-4</v>
      </c>
      <c r="H7087" s="2">
        <f t="shared" si="330"/>
        <v>154.64999999999782</v>
      </c>
      <c r="I7087" s="3">
        <f t="shared" si="331"/>
        <v>6.1694535256441351E-3</v>
      </c>
    </row>
    <row r="7088" spans="2:9" x14ac:dyDescent="0.25">
      <c r="B7088" s="1">
        <v>45576</v>
      </c>
      <c r="C7088" s="2">
        <v>24964.25</v>
      </c>
      <c r="D7088" s="2">
        <v>24985.3</v>
      </c>
      <c r="E7088" s="2">
        <v>25028.65</v>
      </c>
      <c r="F7088" s="2">
        <v>24920.05</v>
      </c>
      <c r="G7088" s="3">
        <f t="shared" si="332"/>
        <v>-1.3680848212589414E-3</v>
      </c>
      <c r="H7088" s="2">
        <f t="shared" si="330"/>
        <v>108.60000000000218</v>
      </c>
      <c r="I7088" s="3">
        <f t="shared" si="331"/>
        <v>4.3465557747956671E-3</v>
      </c>
    </row>
    <row r="7089" spans="2:9" x14ac:dyDescent="0.25">
      <c r="B7089" s="1">
        <v>45579</v>
      </c>
      <c r="C7089" s="2">
        <v>25127.95</v>
      </c>
      <c r="D7089" s="2">
        <v>25023.45</v>
      </c>
      <c r="E7089" s="2">
        <v>25159.75</v>
      </c>
      <c r="F7089" s="2">
        <v>25017.5</v>
      </c>
      <c r="G7089" s="3">
        <f t="shared" si="332"/>
        <v>6.5573770491802463E-3</v>
      </c>
      <c r="H7089" s="2">
        <f t="shared" si="330"/>
        <v>142.25</v>
      </c>
      <c r="I7089" s="3">
        <f t="shared" si="331"/>
        <v>5.6846677816208393E-3</v>
      </c>
    </row>
    <row r="7090" spans="2:9" x14ac:dyDescent="0.25">
      <c r="B7090" s="1">
        <v>45580</v>
      </c>
      <c r="C7090" s="2">
        <v>25057.35</v>
      </c>
      <c r="D7090" s="2">
        <v>25186.3</v>
      </c>
      <c r="E7090" s="2">
        <v>25212.05</v>
      </c>
      <c r="F7090" s="2">
        <v>25008.15</v>
      </c>
      <c r="G7090" s="3">
        <f t="shared" si="332"/>
        <v>-2.809620362982379E-3</v>
      </c>
      <c r="H7090" s="2">
        <f t="shared" si="330"/>
        <v>203.89999999999782</v>
      </c>
      <c r="I7090" s="3">
        <f t="shared" si="331"/>
        <v>8.0956710592662608E-3</v>
      </c>
    </row>
    <row r="7091" spans="2:9" x14ac:dyDescent="0.25">
      <c r="B7091" s="1">
        <v>45581</v>
      </c>
      <c r="C7091" s="2">
        <v>24971.3</v>
      </c>
      <c r="D7091" s="2">
        <v>25008.55</v>
      </c>
      <c r="E7091" s="2">
        <v>25093.4</v>
      </c>
      <c r="F7091" s="2">
        <v>24908.45</v>
      </c>
      <c r="G7091" s="3">
        <f t="shared" si="332"/>
        <v>-3.4341221238478603E-3</v>
      </c>
      <c r="H7091" s="2">
        <f t="shared" si="330"/>
        <v>184.95000000000073</v>
      </c>
      <c r="I7091" s="3">
        <f t="shared" si="331"/>
        <v>7.3954707490038697E-3</v>
      </c>
    </row>
    <row r="7092" spans="2:9" x14ac:dyDescent="0.25">
      <c r="B7092" s="1">
        <v>45582</v>
      </c>
      <c r="C7092" s="2">
        <v>24749.85</v>
      </c>
      <c r="D7092" s="2">
        <v>25027.4</v>
      </c>
      <c r="E7092" s="2">
        <v>25029.5</v>
      </c>
      <c r="F7092" s="2">
        <v>24728.9</v>
      </c>
      <c r="G7092" s="3">
        <f t="shared" si="332"/>
        <v>-8.8681806714108191E-3</v>
      </c>
      <c r="H7092" s="2">
        <f t="shared" si="330"/>
        <v>300.59999999999854</v>
      </c>
      <c r="I7092" s="3">
        <f t="shared" si="331"/>
        <v>1.2010836123608466E-2</v>
      </c>
    </row>
    <row r="7093" spans="2:9" x14ac:dyDescent="0.25">
      <c r="B7093" s="1">
        <v>45583</v>
      </c>
      <c r="C7093" s="2">
        <v>24854.05</v>
      </c>
      <c r="D7093" s="2">
        <v>24664.95</v>
      </c>
      <c r="E7093" s="2">
        <v>24886.2</v>
      </c>
      <c r="F7093" s="2">
        <v>24567.65</v>
      </c>
      <c r="G7093" s="3">
        <f t="shared" si="332"/>
        <v>4.2101265260194864E-3</v>
      </c>
      <c r="H7093" s="2">
        <f t="shared" si="330"/>
        <v>318.54999999999927</v>
      </c>
      <c r="I7093" s="3">
        <f t="shared" si="331"/>
        <v>1.2915088009503334E-2</v>
      </c>
    </row>
    <row r="7094" spans="2:9" x14ac:dyDescent="0.25">
      <c r="B7094" s="1">
        <v>45586</v>
      </c>
      <c r="C7094" s="2">
        <v>24781.1</v>
      </c>
      <c r="D7094" s="2">
        <v>24956.15</v>
      </c>
      <c r="E7094" s="2">
        <v>24978.3</v>
      </c>
      <c r="F7094" s="2">
        <v>24679.599999999999</v>
      </c>
      <c r="G7094" s="3">
        <f t="shared" si="332"/>
        <v>-2.9351353199982277E-3</v>
      </c>
      <c r="H7094" s="2">
        <f t="shared" si="330"/>
        <v>298.70000000000073</v>
      </c>
      <c r="I7094" s="3">
        <f t="shared" si="331"/>
        <v>1.1968993614800388E-2</v>
      </c>
    </row>
    <row r="7095" spans="2:9" x14ac:dyDescent="0.25">
      <c r="B7095" s="1">
        <v>45587</v>
      </c>
      <c r="C7095" s="2">
        <v>24472.1</v>
      </c>
      <c r="D7095" s="2">
        <v>24798.65</v>
      </c>
      <c r="E7095" s="2">
        <v>24882</v>
      </c>
      <c r="F7095" s="2">
        <v>24445.8</v>
      </c>
      <c r="G7095" s="3">
        <f t="shared" si="332"/>
        <v>-1.2469180141317371E-2</v>
      </c>
      <c r="H7095" s="2">
        <f t="shared" si="330"/>
        <v>436.20000000000073</v>
      </c>
      <c r="I7095" s="3">
        <f t="shared" si="331"/>
        <v>1.7589667179463427E-2</v>
      </c>
    </row>
    <row r="7096" spans="2:9" x14ac:dyDescent="0.25">
      <c r="B7096" s="1">
        <v>45588</v>
      </c>
      <c r="C7096" s="2">
        <v>24435.5</v>
      </c>
      <c r="D7096" s="2">
        <v>24378.15</v>
      </c>
      <c r="E7096" s="2">
        <v>24604.25</v>
      </c>
      <c r="F7096" s="2">
        <v>24378.1</v>
      </c>
      <c r="G7096" s="3">
        <f t="shared" si="332"/>
        <v>-1.4955806816742134E-3</v>
      </c>
      <c r="H7096" s="2">
        <f t="shared" si="330"/>
        <v>226.15000000000146</v>
      </c>
      <c r="I7096" s="3">
        <f t="shared" si="331"/>
        <v>9.2767498764262848E-3</v>
      </c>
    </row>
    <row r="7097" spans="2:9" x14ac:dyDescent="0.25">
      <c r="B7097" s="1">
        <v>45589</v>
      </c>
      <c r="C7097" s="2">
        <v>24399.4</v>
      </c>
      <c r="D7097" s="2">
        <v>24412.7</v>
      </c>
      <c r="E7097" s="2">
        <v>24480.65</v>
      </c>
      <c r="F7097" s="2">
        <v>24341.200000000001</v>
      </c>
      <c r="G7097" s="3">
        <f t="shared" si="332"/>
        <v>-1.4773587608192251E-3</v>
      </c>
      <c r="H7097" s="2">
        <f t="shared" si="330"/>
        <v>139.45000000000073</v>
      </c>
      <c r="I7097" s="3">
        <f t="shared" si="331"/>
        <v>5.7121907859434117E-3</v>
      </c>
    </row>
    <row r="7098" spans="2:9" x14ac:dyDescent="0.25">
      <c r="B7098" s="1">
        <v>45590</v>
      </c>
      <c r="C7098" s="2">
        <v>24180.799999999999</v>
      </c>
      <c r="D7098" s="2">
        <v>24418.05</v>
      </c>
      <c r="E7098" s="2">
        <v>24440.25</v>
      </c>
      <c r="F7098" s="2">
        <v>24073.9</v>
      </c>
      <c r="G7098" s="3">
        <f t="shared" si="332"/>
        <v>-8.9592367025419506E-3</v>
      </c>
      <c r="H7098" s="2">
        <f t="shared" si="330"/>
        <v>366.34999999999854</v>
      </c>
      <c r="I7098" s="3">
        <f t="shared" si="331"/>
        <v>1.5003245549910765E-2</v>
      </c>
    </row>
    <row r="7099" spans="2:9" x14ac:dyDescent="0.25">
      <c r="B7099" s="1">
        <v>45593</v>
      </c>
      <c r="C7099" s="2">
        <v>24339.15</v>
      </c>
      <c r="D7099" s="2">
        <v>24251.1</v>
      </c>
      <c r="E7099" s="2">
        <v>24492.6</v>
      </c>
      <c r="F7099" s="2">
        <v>24134.9</v>
      </c>
      <c r="G7099" s="3">
        <f t="shared" si="332"/>
        <v>6.5485840005294893E-3</v>
      </c>
      <c r="H7099" s="2">
        <f t="shared" si="330"/>
        <v>357.69999999999709</v>
      </c>
      <c r="I7099" s="3">
        <f t="shared" si="331"/>
        <v>1.4749846398719939E-2</v>
      </c>
    </row>
    <row r="7100" spans="2:9" x14ac:dyDescent="0.25">
      <c r="B7100" s="1">
        <v>45594</v>
      </c>
      <c r="C7100" s="2">
        <v>24466.85</v>
      </c>
      <c r="D7100" s="2">
        <v>24328.85</v>
      </c>
      <c r="E7100" s="2">
        <v>24484.5</v>
      </c>
      <c r="F7100" s="2">
        <v>24140.85</v>
      </c>
      <c r="G7100" s="3">
        <f t="shared" si="332"/>
        <v>5.2466910307056303E-3</v>
      </c>
      <c r="H7100" s="2">
        <f t="shared" si="330"/>
        <v>343.65000000000146</v>
      </c>
      <c r="I7100" s="3">
        <f t="shared" si="331"/>
        <v>1.412520526042133E-2</v>
      </c>
    </row>
    <row r="7101" spans="2:9" x14ac:dyDescent="0.25">
      <c r="B7101" s="1">
        <v>45595</v>
      </c>
      <c r="C7101" s="2">
        <v>24340.85</v>
      </c>
      <c r="D7101" s="2">
        <v>24371.45</v>
      </c>
      <c r="E7101" s="2">
        <v>24498.2</v>
      </c>
      <c r="F7101" s="2">
        <v>24307.3</v>
      </c>
      <c r="G7101" s="3">
        <f t="shared" si="332"/>
        <v>-5.1498251716097787E-3</v>
      </c>
      <c r="H7101" s="2">
        <f t="shared" si="330"/>
        <v>190.90000000000146</v>
      </c>
      <c r="I7101" s="3">
        <f t="shared" si="331"/>
        <v>7.8329356685794826E-3</v>
      </c>
    </row>
    <row r="7102" spans="2:9" x14ac:dyDescent="0.25">
      <c r="B7102" s="1">
        <v>45596</v>
      </c>
      <c r="C7102" s="2">
        <v>24205.35</v>
      </c>
      <c r="D7102" s="2">
        <v>24349.85</v>
      </c>
      <c r="E7102" s="2">
        <v>24372.45</v>
      </c>
      <c r="F7102" s="2">
        <v>24172.6</v>
      </c>
      <c r="G7102" s="3">
        <f t="shared" si="332"/>
        <v>-5.5667735514577377E-3</v>
      </c>
      <c r="H7102" s="2">
        <f t="shared" si="330"/>
        <v>199.85000000000218</v>
      </c>
      <c r="I7102" s="3">
        <f t="shared" si="331"/>
        <v>8.2074427563209717E-3</v>
      </c>
    </row>
    <row r="7103" spans="2:9" x14ac:dyDescent="0.25">
      <c r="B7103" s="1">
        <v>45597</v>
      </c>
      <c r="C7103" s="2">
        <v>24304.35</v>
      </c>
      <c r="D7103" s="2">
        <v>24302.75</v>
      </c>
      <c r="E7103" s="2">
        <v>24368.25</v>
      </c>
      <c r="F7103" s="2">
        <v>24280.2</v>
      </c>
      <c r="G7103" s="3">
        <f t="shared" si="332"/>
        <v>4.0900048956118429E-3</v>
      </c>
      <c r="H7103" s="2">
        <f t="shared" si="330"/>
        <v>88.049999999999272</v>
      </c>
      <c r="I7103" s="3">
        <f t="shared" si="331"/>
        <v>3.6230467745419458E-3</v>
      </c>
    </row>
    <row r="7104" spans="2:9" x14ac:dyDescent="0.25">
      <c r="B7104" s="1">
        <v>45600</v>
      </c>
      <c r="C7104" s="2">
        <v>23995.35</v>
      </c>
      <c r="D7104" s="2">
        <v>24315.75</v>
      </c>
      <c r="E7104" s="2">
        <v>24316.75</v>
      </c>
      <c r="F7104" s="2">
        <v>23816.15</v>
      </c>
      <c r="G7104" s="3">
        <f t="shared" si="332"/>
        <v>-1.2713773460306443E-2</v>
      </c>
      <c r="H7104" s="2">
        <f t="shared" si="330"/>
        <v>500.59999999999854</v>
      </c>
      <c r="I7104" s="3">
        <f t="shared" si="331"/>
        <v>2.058747930867847E-2</v>
      </c>
    </row>
    <row r="7105" spans="2:9" x14ac:dyDescent="0.25">
      <c r="B7105" s="1">
        <v>45601</v>
      </c>
      <c r="C7105" s="2">
        <v>24213.3</v>
      </c>
      <c r="D7105" s="2">
        <v>23916.5</v>
      </c>
      <c r="E7105" s="2">
        <v>24229.05</v>
      </c>
      <c r="F7105" s="2">
        <v>23842.75</v>
      </c>
      <c r="G7105" s="3">
        <f t="shared" si="332"/>
        <v>9.0830098331551312E-3</v>
      </c>
      <c r="H7105" s="2">
        <f t="shared" si="330"/>
        <v>386.29999999999927</v>
      </c>
      <c r="I7105" s="3">
        <f t="shared" si="331"/>
        <v>1.6152028933999509E-2</v>
      </c>
    </row>
    <row r="7106" spans="2:9" x14ac:dyDescent="0.25">
      <c r="B7106" s="1">
        <v>45602</v>
      </c>
      <c r="C7106" s="2">
        <v>24484.05</v>
      </c>
      <c r="D7106" s="2">
        <v>24308.75</v>
      </c>
      <c r="E7106" s="2">
        <v>24537.599999999999</v>
      </c>
      <c r="F7106" s="2">
        <v>24204.05</v>
      </c>
      <c r="G7106" s="3">
        <f t="shared" si="332"/>
        <v>1.1181871120417242E-2</v>
      </c>
      <c r="H7106" s="2">
        <f t="shared" si="330"/>
        <v>333.54999999999927</v>
      </c>
      <c r="I7106" s="3">
        <f t="shared" si="331"/>
        <v>1.3721396616444666E-2</v>
      </c>
    </row>
    <row r="7107" spans="2:9" x14ac:dyDescent="0.25">
      <c r="B7107" s="1">
        <v>45603</v>
      </c>
      <c r="C7107" s="2">
        <v>24199.35</v>
      </c>
      <c r="D7107" s="2">
        <v>24489.599999999999</v>
      </c>
      <c r="E7107" s="2">
        <v>24503.35</v>
      </c>
      <c r="F7107" s="2">
        <v>24179.05</v>
      </c>
      <c r="G7107" s="3">
        <f t="shared" si="332"/>
        <v>-1.1627978214388546E-2</v>
      </c>
      <c r="H7107" s="2">
        <f t="shared" si="330"/>
        <v>324.29999999999927</v>
      </c>
      <c r="I7107" s="3">
        <f t="shared" si="331"/>
        <v>1.3242355938847481E-2</v>
      </c>
    </row>
    <row r="7108" spans="2:9" x14ac:dyDescent="0.25">
      <c r="B7108" s="1">
        <v>45604</v>
      </c>
      <c r="C7108" s="2">
        <v>24148.2</v>
      </c>
      <c r="D7108" s="2">
        <v>24207.7</v>
      </c>
      <c r="E7108" s="2">
        <v>24276.15</v>
      </c>
      <c r="F7108" s="2">
        <v>24066.65</v>
      </c>
      <c r="G7108" s="3">
        <f t="shared" si="332"/>
        <v>-2.1136931363857636E-3</v>
      </c>
      <c r="H7108" s="2">
        <f t="shared" si="330"/>
        <v>209.5</v>
      </c>
      <c r="I7108" s="3">
        <f t="shared" si="331"/>
        <v>8.6542711616551752E-3</v>
      </c>
    </row>
    <row r="7109" spans="2:9" x14ac:dyDescent="0.25">
      <c r="B7109" s="1">
        <v>45607</v>
      </c>
      <c r="C7109" s="2">
        <v>24141.3</v>
      </c>
      <c r="D7109" s="2">
        <v>24087.25</v>
      </c>
      <c r="E7109" s="2">
        <v>24336.799999999999</v>
      </c>
      <c r="F7109" s="2">
        <v>24004.6</v>
      </c>
      <c r="G7109" s="3">
        <f t="shared" si="332"/>
        <v>-2.8573558277644739E-4</v>
      </c>
      <c r="H7109" s="2">
        <f t="shared" ref="H7109:H7172" si="333">E7109-F7109</f>
        <v>332.20000000000073</v>
      </c>
      <c r="I7109" s="3">
        <f t="shared" si="331"/>
        <v>1.3791528713323469E-2</v>
      </c>
    </row>
    <row r="7110" spans="2:9" x14ac:dyDescent="0.25">
      <c r="B7110" s="1">
        <v>45608</v>
      </c>
      <c r="C7110" s="2">
        <v>23883.45</v>
      </c>
      <c r="D7110" s="2">
        <v>24225.8</v>
      </c>
      <c r="E7110" s="2">
        <v>24242</v>
      </c>
      <c r="F7110" s="2">
        <v>23839.15</v>
      </c>
      <c r="G7110" s="3">
        <f t="shared" si="332"/>
        <v>-1.0680866399075395E-2</v>
      </c>
      <c r="H7110" s="2">
        <f t="shared" si="333"/>
        <v>402.84999999999854</v>
      </c>
      <c r="I7110" s="3">
        <f t="shared" ref="I7110:I7173" si="334">H7110/D7110</f>
        <v>1.6628965813306414E-2</v>
      </c>
    </row>
    <row r="7111" spans="2:9" x14ac:dyDescent="0.25">
      <c r="B7111" s="1">
        <v>45609</v>
      </c>
      <c r="C7111" s="2">
        <v>23559.05</v>
      </c>
      <c r="D7111" s="2">
        <v>23822.45</v>
      </c>
      <c r="E7111" s="2">
        <v>23873.599999999999</v>
      </c>
      <c r="F7111" s="2">
        <v>23509.599999999999</v>
      </c>
      <c r="G7111" s="3">
        <f t="shared" ref="G7111:G7174" si="335">C7111/C7110-1</f>
        <v>-1.3582627300494754E-2</v>
      </c>
      <c r="H7111" s="2">
        <f t="shared" si="333"/>
        <v>364</v>
      </c>
      <c r="I7111" s="3">
        <f t="shared" si="334"/>
        <v>1.5279704648346413E-2</v>
      </c>
    </row>
    <row r="7112" spans="2:9" x14ac:dyDescent="0.25">
      <c r="B7112" s="1">
        <v>45610</v>
      </c>
      <c r="C7112" s="2">
        <v>23532.7</v>
      </c>
      <c r="D7112" s="2">
        <v>23542.15</v>
      </c>
      <c r="E7112" s="2">
        <v>23675.9</v>
      </c>
      <c r="F7112" s="2">
        <v>23484.15</v>
      </c>
      <c r="G7112" s="3">
        <f t="shared" si="335"/>
        <v>-1.1184661520731165E-3</v>
      </c>
      <c r="H7112" s="2">
        <f t="shared" si="333"/>
        <v>191.75</v>
      </c>
      <c r="I7112" s="3">
        <f t="shared" si="334"/>
        <v>8.1449655192919936E-3</v>
      </c>
    </row>
    <row r="7113" spans="2:9" x14ac:dyDescent="0.25">
      <c r="B7113" s="1">
        <v>45614</v>
      </c>
      <c r="C7113" s="2">
        <v>23453.8</v>
      </c>
      <c r="D7113" s="2">
        <v>23605.3</v>
      </c>
      <c r="E7113" s="2">
        <v>23606.799999999999</v>
      </c>
      <c r="F7113" s="2">
        <v>23350.400000000001</v>
      </c>
      <c r="G7113" s="3">
        <f t="shared" si="335"/>
        <v>-3.3527814487925856E-3</v>
      </c>
      <c r="H7113" s="2">
        <f t="shared" si="333"/>
        <v>256.39999999999782</v>
      </c>
      <c r="I7113" s="3">
        <f t="shared" si="334"/>
        <v>1.086196743951561E-2</v>
      </c>
    </row>
    <row r="7114" spans="2:9" x14ac:dyDescent="0.25">
      <c r="B7114" s="1">
        <v>45615</v>
      </c>
      <c r="C7114" s="2">
        <v>23518.5</v>
      </c>
      <c r="D7114" s="2">
        <v>23529.55</v>
      </c>
      <c r="E7114" s="2">
        <v>23780.65</v>
      </c>
      <c r="F7114" s="2">
        <v>23464.799999999999</v>
      </c>
      <c r="G7114" s="3">
        <f t="shared" si="335"/>
        <v>2.758614808687776E-3</v>
      </c>
      <c r="H7114" s="2">
        <f t="shared" si="333"/>
        <v>315.85000000000218</v>
      </c>
      <c r="I7114" s="3">
        <f t="shared" si="334"/>
        <v>1.3423546136666541E-2</v>
      </c>
    </row>
    <row r="7115" spans="2:9" x14ac:dyDescent="0.25">
      <c r="B7115" s="1">
        <v>45617</v>
      </c>
      <c r="C7115" s="2">
        <v>23349.9</v>
      </c>
      <c r="D7115" s="2">
        <v>23488.45</v>
      </c>
      <c r="E7115" s="2">
        <v>23507.3</v>
      </c>
      <c r="F7115" s="2">
        <v>23263.15</v>
      </c>
      <c r="G7115" s="3">
        <f t="shared" si="335"/>
        <v>-7.1688245423814356E-3</v>
      </c>
      <c r="H7115" s="2">
        <f t="shared" si="333"/>
        <v>244.14999999999782</v>
      </c>
      <c r="I7115" s="3">
        <f t="shared" si="334"/>
        <v>1.039447047378596E-2</v>
      </c>
    </row>
    <row r="7116" spans="2:9" x14ac:dyDescent="0.25">
      <c r="B7116" s="1">
        <v>45618</v>
      </c>
      <c r="C7116" s="2">
        <v>23907.25</v>
      </c>
      <c r="D7116" s="2">
        <v>23411.8</v>
      </c>
      <c r="E7116" s="2">
        <v>23956.1</v>
      </c>
      <c r="F7116" s="2">
        <v>23359</v>
      </c>
      <c r="G7116" s="3">
        <f t="shared" si="335"/>
        <v>2.3869481239748191E-2</v>
      </c>
      <c r="H7116" s="2">
        <f t="shared" si="333"/>
        <v>597.09999999999854</v>
      </c>
      <c r="I7116" s="3">
        <f t="shared" si="334"/>
        <v>2.5504232908191534E-2</v>
      </c>
    </row>
    <row r="7117" spans="2:9" x14ac:dyDescent="0.25">
      <c r="B7117" s="1">
        <v>45621</v>
      </c>
      <c r="C7117" s="2">
        <v>24221.9</v>
      </c>
      <c r="D7117" s="2">
        <v>24253.55</v>
      </c>
      <c r="E7117" s="2">
        <v>24351.55</v>
      </c>
      <c r="F7117" s="2">
        <v>24135.45</v>
      </c>
      <c r="G7117" s="3">
        <f t="shared" si="335"/>
        <v>1.3161279528176584E-2</v>
      </c>
      <c r="H7117" s="2">
        <f t="shared" si="333"/>
        <v>216.09999999999854</v>
      </c>
      <c r="I7117" s="3">
        <f t="shared" si="334"/>
        <v>8.9100358504218373E-3</v>
      </c>
    </row>
    <row r="7118" spans="2:9" x14ac:dyDescent="0.25">
      <c r="B7118" s="1">
        <v>45622</v>
      </c>
      <c r="C7118" s="2">
        <v>24194.5</v>
      </c>
      <c r="D7118" s="2">
        <v>24343.3</v>
      </c>
      <c r="E7118" s="2">
        <v>24343.3</v>
      </c>
      <c r="F7118" s="2">
        <v>24125.4</v>
      </c>
      <c r="G7118" s="3">
        <f t="shared" si="335"/>
        <v>-1.1312077087264338E-3</v>
      </c>
      <c r="H7118" s="2">
        <f t="shared" si="333"/>
        <v>217.89999999999782</v>
      </c>
      <c r="I7118" s="3">
        <f t="shared" si="334"/>
        <v>8.9511282365167342E-3</v>
      </c>
    </row>
    <row r="7119" spans="2:9" x14ac:dyDescent="0.25">
      <c r="B7119" s="1">
        <v>45623</v>
      </c>
      <c r="C7119" s="2">
        <v>24274.9</v>
      </c>
      <c r="D7119" s="2">
        <v>24204.799999999999</v>
      </c>
      <c r="E7119" s="2">
        <v>24354.55</v>
      </c>
      <c r="F7119" s="2">
        <v>24145.65</v>
      </c>
      <c r="G7119" s="3">
        <f t="shared" si="335"/>
        <v>3.3230692926078387E-3</v>
      </c>
      <c r="H7119" s="2">
        <f t="shared" si="333"/>
        <v>208.89999999999782</v>
      </c>
      <c r="I7119" s="3">
        <f t="shared" si="334"/>
        <v>8.6305195663669114E-3</v>
      </c>
    </row>
    <row r="7120" spans="2:9" x14ac:dyDescent="0.25">
      <c r="B7120" s="1">
        <v>45624</v>
      </c>
      <c r="C7120" s="2">
        <v>23914.15</v>
      </c>
      <c r="D7120" s="2">
        <v>24274.15</v>
      </c>
      <c r="E7120" s="2">
        <v>24345.75</v>
      </c>
      <c r="F7120" s="2">
        <v>23873.35</v>
      </c>
      <c r="G7120" s="3">
        <f t="shared" si="335"/>
        <v>-1.4861029293632533E-2</v>
      </c>
      <c r="H7120" s="2">
        <f t="shared" si="333"/>
        <v>472.40000000000146</v>
      </c>
      <c r="I7120" s="3">
        <f t="shared" si="334"/>
        <v>1.9461031591219525E-2</v>
      </c>
    </row>
    <row r="7121" spans="2:9" x14ac:dyDescent="0.25">
      <c r="B7121" s="1">
        <v>45625</v>
      </c>
      <c r="C7121" s="2">
        <v>24131.1</v>
      </c>
      <c r="D7121" s="2">
        <v>23927.15</v>
      </c>
      <c r="E7121" s="2">
        <v>24188.45</v>
      </c>
      <c r="F7121" s="2">
        <v>23927.15</v>
      </c>
      <c r="G7121" s="3">
        <f t="shared" si="335"/>
        <v>9.0720347576642713E-3</v>
      </c>
      <c r="H7121" s="2">
        <f t="shared" si="333"/>
        <v>261.29999999999927</v>
      </c>
      <c r="I7121" s="3">
        <f t="shared" si="334"/>
        <v>1.0920648719132836E-2</v>
      </c>
    </row>
    <row r="7122" spans="2:9" x14ac:dyDescent="0.25">
      <c r="B7122" s="1">
        <v>45628</v>
      </c>
      <c r="C7122" s="2">
        <v>24276.05</v>
      </c>
      <c r="D7122" s="2">
        <v>24140.85</v>
      </c>
      <c r="E7122" s="2">
        <v>24301.7</v>
      </c>
      <c r="F7122" s="2">
        <v>24008.65</v>
      </c>
      <c r="G7122" s="3">
        <f t="shared" si="335"/>
        <v>6.0067713448621607E-3</v>
      </c>
      <c r="H7122" s="2">
        <f t="shared" si="333"/>
        <v>293.04999999999927</v>
      </c>
      <c r="I7122" s="3">
        <f t="shared" si="334"/>
        <v>1.2139174884065776E-2</v>
      </c>
    </row>
    <row r="7123" spans="2:9" x14ac:dyDescent="0.25">
      <c r="B7123" s="1">
        <v>45629</v>
      </c>
      <c r="C7123" s="2">
        <v>24457.15</v>
      </c>
      <c r="D7123" s="2">
        <v>24367.5</v>
      </c>
      <c r="E7123" s="2">
        <v>24481.35</v>
      </c>
      <c r="F7123" s="2">
        <v>24280</v>
      </c>
      <c r="G7123" s="3">
        <f t="shared" si="335"/>
        <v>7.4600274756395635E-3</v>
      </c>
      <c r="H7123" s="2">
        <f t="shared" si="333"/>
        <v>201.34999999999854</v>
      </c>
      <c r="I7123" s="3">
        <f t="shared" si="334"/>
        <v>8.2630552990663204E-3</v>
      </c>
    </row>
    <row r="7124" spans="2:9" x14ac:dyDescent="0.25">
      <c r="B7124" s="1">
        <v>45630</v>
      </c>
      <c r="C7124" s="2">
        <v>24467.45</v>
      </c>
      <c r="D7124" s="2">
        <v>24488.75</v>
      </c>
      <c r="E7124" s="2">
        <v>24573.200000000001</v>
      </c>
      <c r="F7124" s="2">
        <v>24366.3</v>
      </c>
      <c r="G7124" s="3">
        <f t="shared" si="335"/>
        <v>4.2114473681520437E-4</v>
      </c>
      <c r="H7124" s="2">
        <f t="shared" si="333"/>
        <v>206.90000000000146</v>
      </c>
      <c r="I7124" s="3">
        <f t="shared" si="334"/>
        <v>8.4487774998724501E-3</v>
      </c>
    </row>
    <row r="7125" spans="2:9" x14ac:dyDescent="0.25">
      <c r="B7125" s="1">
        <v>45631</v>
      </c>
      <c r="C7125" s="2">
        <v>24708.400000000001</v>
      </c>
      <c r="D7125" s="2">
        <v>24539.15</v>
      </c>
      <c r="E7125" s="2">
        <v>24857.75</v>
      </c>
      <c r="F7125" s="2">
        <v>24295.55</v>
      </c>
      <c r="G7125" s="3">
        <f t="shared" si="335"/>
        <v>9.8477773531773227E-3</v>
      </c>
      <c r="H7125" s="2">
        <f t="shared" si="333"/>
        <v>562.20000000000073</v>
      </c>
      <c r="I7125" s="3">
        <f t="shared" si="334"/>
        <v>2.2910329004875909E-2</v>
      </c>
    </row>
    <row r="7126" spans="2:9" x14ac:dyDescent="0.25">
      <c r="B7126" s="1">
        <v>45632</v>
      </c>
      <c r="C7126" s="2">
        <v>24677.8</v>
      </c>
      <c r="D7126" s="2">
        <v>24729.45</v>
      </c>
      <c r="E7126" s="2">
        <v>24751.05</v>
      </c>
      <c r="F7126" s="2">
        <v>24620.5</v>
      </c>
      <c r="G7126" s="3">
        <f t="shared" si="335"/>
        <v>-1.2384452251057443E-3</v>
      </c>
      <c r="H7126" s="2">
        <f t="shared" si="333"/>
        <v>130.54999999999927</v>
      </c>
      <c r="I7126" s="3">
        <f t="shared" si="334"/>
        <v>5.2791307530090344E-3</v>
      </c>
    </row>
    <row r="7127" spans="2:9" x14ac:dyDescent="0.25">
      <c r="B7127" s="1">
        <v>45635</v>
      </c>
      <c r="C7127" s="2">
        <v>24619</v>
      </c>
      <c r="D7127" s="2">
        <v>24633.9</v>
      </c>
      <c r="E7127" s="2">
        <v>24705</v>
      </c>
      <c r="F7127" s="2">
        <v>24580.05</v>
      </c>
      <c r="G7127" s="3">
        <f t="shared" si="335"/>
        <v>-2.3827083451523068E-3</v>
      </c>
      <c r="H7127" s="2">
        <f t="shared" si="333"/>
        <v>124.95000000000073</v>
      </c>
      <c r="I7127" s="3">
        <f t="shared" si="334"/>
        <v>5.072278445556762E-3</v>
      </c>
    </row>
    <row r="7128" spans="2:9" x14ac:dyDescent="0.25">
      <c r="B7128" s="1">
        <v>45636</v>
      </c>
      <c r="C7128" s="2">
        <v>24610.05</v>
      </c>
      <c r="D7128" s="2">
        <v>24652.65</v>
      </c>
      <c r="E7128" s="2">
        <v>24677.8</v>
      </c>
      <c r="F7128" s="2">
        <v>24510.65</v>
      </c>
      <c r="G7128" s="3">
        <f t="shared" si="335"/>
        <v>-3.6354035501040549E-4</v>
      </c>
      <c r="H7128" s="2">
        <f t="shared" si="333"/>
        <v>167.14999999999782</v>
      </c>
      <c r="I7128" s="3">
        <f t="shared" si="334"/>
        <v>6.7802041565510323E-3</v>
      </c>
    </row>
    <row r="7129" spans="2:9" x14ac:dyDescent="0.25">
      <c r="B7129" s="1">
        <v>45637</v>
      </c>
      <c r="C7129" s="2">
        <v>24641.8</v>
      </c>
      <c r="D7129" s="2">
        <v>24620.5</v>
      </c>
      <c r="E7129" s="2">
        <v>24691.75</v>
      </c>
      <c r="F7129" s="2">
        <v>24583.85</v>
      </c>
      <c r="G7129" s="3">
        <f t="shared" si="335"/>
        <v>1.2901233439184256E-3</v>
      </c>
      <c r="H7129" s="2">
        <f t="shared" si="333"/>
        <v>107.90000000000146</v>
      </c>
      <c r="I7129" s="3">
        <f t="shared" si="334"/>
        <v>4.3825267561585449E-3</v>
      </c>
    </row>
    <row r="7130" spans="2:9" x14ac:dyDescent="0.25">
      <c r="B7130" s="1">
        <v>45638</v>
      </c>
      <c r="C7130" s="2">
        <v>24548.7</v>
      </c>
      <c r="D7130" s="2">
        <v>24604.45</v>
      </c>
      <c r="E7130" s="2">
        <v>24675.25</v>
      </c>
      <c r="F7130" s="2">
        <v>24527.95</v>
      </c>
      <c r="G7130" s="3">
        <f t="shared" si="335"/>
        <v>-3.778133090926783E-3</v>
      </c>
      <c r="H7130" s="2">
        <f t="shared" si="333"/>
        <v>147.29999999999927</v>
      </c>
      <c r="I7130" s="3">
        <f t="shared" si="334"/>
        <v>5.9867219141252603E-3</v>
      </c>
    </row>
    <row r="7131" spans="2:9" x14ac:dyDescent="0.25">
      <c r="B7131" s="1">
        <v>45639</v>
      </c>
      <c r="C7131" s="2">
        <v>24768.3</v>
      </c>
      <c r="D7131" s="2">
        <v>24498.35</v>
      </c>
      <c r="E7131" s="2">
        <v>24792.3</v>
      </c>
      <c r="F7131" s="2">
        <v>24180.799999999999</v>
      </c>
      <c r="G7131" s="3">
        <f t="shared" si="335"/>
        <v>8.9454838749098986E-3</v>
      </c>
      <c r="H7131" s="2">
        <f t="shared" si="333"/>
        <v>611.5</v>
      </c>
      <c r="I7131" s="3">
        <f t="shared" si="334"/>
        <v>2.4960864711296885E-2</v>
      </c>
    </row>
    <row r="7132" spans="2:9" x14ac:dyDescent="0.25">
      <c r="B7132" s="1">
        <v>45642</v>
      </c>
      <c r="C7132" s="2">
        <v>24668.25</v>
      </c>
      <c r="D7132" s="2">
        <v>24753.4</v>
      </c>
      <c r="E7132" s="2">
        <v>24781.25</v>
      </c>
      <c r="F7132" s="2">
        <v>24601.75</v>
      </c>
      <c r="G7132" s="3">
        <f t="shared" si="335"/>
        <v>-4.0394375068131261E-3</v>
      </c>
      <c r="H7132" s="2">
        <f t="shared" si="333"/>
        <v>179.5</v>
      </c>
      <c r="I7132" s="3">
        <f t="shared" si="334"/>
        <v>7.2515290828734638E-3</v>
      </c>
    </row>
    <row r="7133" spans="2:9" x14ac:dyDescent="0.25">
      <c r="B7133" s="1">
        <v>45643</v>
      </c>
      <c r="C7133" s="2">
        <v>24336</v>
      </c>
      <c r="D7133" s="2">
        <v>24584.799999999999</v>
      </c>
      <c r="E7133" s="2">
        <v>24624.1</v>
      </c>
      <c r="F7133" s="2">
        <v>24303.45</v>
      </c>
      <c r="G7133" s="3">
        <f t="shared" si="335"/>
        <v>-1.3468730047733413E-2</v>
      </c>
      <c r="H7133" s="2">
        <f t="shared" si="333"/>
        <v>320.64999999999782</v>
      </c>
      <c r="I7133" s="3">
        <f t="shared" si="334"/>
        <v>1.3042611695030988E-2</v>
      </c>
    </row>
    <row r="7134" spans="2:9" x14ac:dyDescent="0.25">
      <c r="B7134" s="1">
        <v>45644</v>
      </c>
      <c r="C7134" s="2">
        <v>24198.85</v>
      </c>
      <c r="D7134" s="2">
        <v>24297.95</v>
      </c>
      <c r="E7134" s="2">
        <v>24394.45</v>
      </c>
      <c r="F7134" s="2">
        <v>24149.85</v>
      </c>
      <c r="G7134" s="3">
        <f t="shared" si="335"/>
        <v>-5.6356837606837962E-3</v>
      </c>
      <c r="H7134" s="2">
        <f t="shared" si="333"/>
        <v>244.60000000000218</v>
      </c>
      <c r="I7134" s="3">
        <f t="shared" si="334"/>
        <v>1.0066692869151602E-2</v>
      </c>
    </row>
    <row r="7135" spans="2:9" x14ac:dyDescent="0.25">
      <c r="B7135" s="1">
        <v>45645</v>
      </c>
      <c r="C7135" s="2">
        <v>23951.7</v>
      </c>
      <c r="D7135" s="2">
        <v>23877.15</v>
      </c>
      <c r="E7135" s="2">
        <v>24004.9</v>
      </c>
      <c r="F7135" s="2">
        <v>23870.3</v>
      </c>
      <c r="G7135" s="3">
        <f t="shared" si="335"/>
        <v>-1.0213295259898669E-2</v>
      </c>
      <c r="H7135" s="2">
        <f t="shared" si="333"/>
        <v>134.60000000000218</v>
      </c>
      <c r="I7135" s="3">
        <f t="shared" si="334"/>
        <v>5.6371886929554894E-3</v>
      </c>
    </row>
    <row r="7136" spans="2:9" x14ac:dyDescent="0.25">
      <c r="B7136" s="1">
        <v>45646</v>
      </c>
      <c r="C7136" s="2">
        <v>23587.5</v>
      </c>
      <c r="D7136" s="2">
        <v>23960.7</v>
      </c>
      <c r="E7136" s="2">
        <v>24065.8</v>
      </c>
      <c r="F7136" s="2">
        <v>23537.35</v>
      </c>
      <c r="G7136" s="3">
        <f t="shared" si="335"/>
        <v>-1.5205601272561098E-2</v>
      </c>
      <c r="H7136" s="2">
        <f t="shared" si="333"/>
        <v>528.45000000000073</v>
      </c>
      <c r="I7136" s="3">
        <f t="shared" si="334"/>
        <v>2.2054864841177458E-2</v>
      </c>
    </row>
    <row r="7137" spans="2:9" x14ac:dyDescent="0.25">
      <c r="B7137" s="1">
        <v>45649</v>
      </c>
      <c r="C7137" s="2">
        <v>23753.45</v>
      </c>
      <c r="D7137" s="2">
        <v>23738.2</v>
      </c>
      <c r="E7137" s="2">
        <v>23869.55</v>
      </c>
      <c r="F7137" s="2">
        <v>23647.200000000001</v>
      </c>
      <c r="G7137" s="3">
        <f t="shared" si="335"/>
        <v>7.0355060943296799E-3</v>
      </c>
      <c r="H7137" s="2">
        <f t="shared" si="333"/>
        <v>222.34999999999854</v>
      </c>
      <c r="I7137" s="3">
        <f t="shared" si="334"/>
        <v>9.3667590634504104E-3</v>
      </c>
    </row>
    <row r="7138" spans="2:9" x14ac:dyDescent="0.25">
      <c r="B7138" s="1">
        <v>45650</v>
      </c>
      <c r="C7138" s="2">
        <v>23727.65</v>
      </c>
      <c r="D7138" s="2">
        <v>23769.1</v>
      </c>
      <c r="E7138" s="2">
        <v>23867.65</v>
      </c>
      <c r="F7138" s="2">
        <v>23685.15</v>
      </c>
      <c r="G7138" s="3">
        <f t="shared" si="335"/>
        <v>-1.0861580107310864E-3</v>
      </c>
      <c r="H7138" s="2">
        <f t="shared" si="333"/>
        <v>182.5</v>
      </c>
      <c r="I7138" s="3">
        <f t="shared" si="334"/>
        <v>7.6780357691288272E-3</v>
      </c>
    </row>
    <row r="7139" spans="2:9" x14ac:dyDescent="0.25">
      <c r="B7139" s="1">
        <v>45652</v>
      </c>
      <c r="C7139" s="2">
        <v>23750.2</v>
      </c>
      <c r="D7139" s="2">
        <v>23775.8</v>
      </c>
      <c r="E7139" s="2">
        <v>23854.5</v>
      </c>
      <c r="F7139" s="2">
        <v>23653.599999999999</v>
      </c>
      <c r="G7139" s="3">
        <f t="shared" si="335"/>
        <v>9.5036803054671104E-4</v>
      </c>
      <c r="H7139" s="2">
        <f t="shared" si="333"/>
        <v>200.90000000000146</v>
      </c>
      <c r="I7139" s="3">
        <f t="shared" si="334"/>
        <v>8.4497682517518432E-3</v>
      </c>
    </row>
    <row r="7140" spans="2:9" x14ac:dyDescent="0.25">
      <c r="B7140" s="1">
        <v>45653</v>
      </c>
      <c r="C7140" s="2">
        <v>23813.4</v>
      </c>
      <c r="D7140" s="2">
        <v>23801.4</v>
      </c>
      <c r="E7140" s="2">
        <v>23938.85</v>
      </c>
      <c r="F7140" s="2">
        <v>23800.6</v>
      </c>
      <c r="G7140" s="3">
        <f t="shared" si="335"/>
        <v>2.6610302229033156E-3</v>
      </c>
      <c r="H7140" s="2">
        <f t="shared" si="333"/>
        <v>138.25</v>
      </c>
      <c r="I7140" s="3">
        <f t="shared" si="334"/>
        <v>5.8084818540085877E-3</v>
      </c>
    </row>
    <row r="7141" spans="2:9" x14ac:dyDescent="0.25">
      <c r="B7141" s="1">
        <v>45656</v>
      </c>
      <c r="C7141" s="2">
        <v>23644.9</v>
      </c>
      <c r="D7141" s="2">
        <v>23796.9</v>
      </c>
      <c r="E7141" s="2">
        <v>23915.35</v>
      </c>
      <c r="F7141" s="2">
        <v>23599.3</v>
      </c>
      <c r="G7141" s="3">
        <f t="shared" si="335"/>
        <v>-7.0758480519371725E-3</v>
      </c>
      <c r="H7141" s="2">
        <f t="shared" si="333"/>
        <v>316.04999999999927</v>
      </c>
      <c r="I7141" s="3">
        <f t="shared" si="334"/>
        <v>1.3281141661308794E-2</v>
      </c>
    </row>
    <row r="7142" spans="2:9" x14ac:dyDescent="0.25">
      <c r="B7142" s="1">
        <v>45657</v>
      </c>
      <c r="C7142" s="2">
        <v>23644.799999999999</v>
      </c>
      <c r="D7142" s="2">
        <v>23560.6</v>
      </c>
      <c r="E7142" s="2">
        <v>23689.85</v>
      </c>
      <c r="F7142" s="2">
        <v>23460.45</v>
      </c>
      <c r="G7142" s="3">
        <f t="shared" si="335"/>
        <v>-4.2292418238609741E-6</v>
      </c>
      <c r="H7142" s="2">
        <f t="shared" si="333"/>
        <v>229.39999999999782</v>
      </c>
      <c r="I7142" s="3">
        <f t="shared" si="334"/>
        <v>9.7365941444614249E-3</v>
      </c>
    </row>
    <row r="7143" spans="2:9" x14ac:dyDescent="0.25">
      <c r="B7143" s="1">
        <v>45658</v>
      </c>
      <c r="C7143" s="2">
        <v>23742.9</v>
      </c>
      <c r="D7143" s="2">
        <v>23637.65</v>
      </c>
      <c r="E7143" s="2">
        <v>23822.799999999999</v>
      </c>
      <c r="F7143" s="2">
        <v>23562.799999999999</v>
      </c>
      <c r="G7143" s="3">
        <f t="shared" si="335"/>
        <v>4.1489037758830616E-3</v>
      </c>
      <c r="H7143" s="2">
        <f t="shared" si="333"/>
        <v>260</v>
      </c>
      <c r="I7143" s="3">
        <f t="shared" si="334"/>
        <v>1.0999401378732657E-2</v>
      </c>
    </row>
    <row r="7144" spans="2:9" x14ac:dyDescent="0.25">
      <c r="B7144" s="1">
        <v>45659</v>
      </c>
      <c r="C7144" s="2">
        <v>24188.65</v>
      </c>
      <c r="D7144" s="2">
        <v>23783</v>
      </c>
      <c r="E7144" s="2">
        <v>24226.7</v>
      </c>
      <c r="F7144" s="2">
        <v>23751.55</v>
      </c>
      <c r="G7144" s="3">
        <f t="shared" si="335"/>
        <v>1.8774033500541298E-2</v>
      </c>
      <c r="H7144" s="2">
        <f t="shared" si="333"/>
        <v>475.15000000000146</v>
      </c>
      <c r="I7144" s="3">
        <f t="shared" si="334"/>
        <v>1.997855611150828E-2</v>
      </c>
    </row>
    <row r="7145" spans="2:9" x14ac:dyDescent="0.25">
      <c r="B7145" s="1">
        <v>45660</v>
      </c>
      <c r="C7145" s="2">
        <v>24004.75</v>
      </c>
      <c r="D7145" s="2">
        <v>24196.400000000001</v>
      </c>
      <c r="E7145" s="2">
        <v>24196.45</v>
      </c>
      <c r="F7145" s="2">
        <v>23976</v>
      </c>
      <c r="G7145" s="3">
        <f t="shared" si="335"/>
        <v>-7.6027393012839672E-3</v>
      </c>
      <c r="H7145" s="2">
        <f t="shared" si="333"/>
        <v>220.45000000000073</v>
      </c>
      <c r="I7145" s="3">
        <f t="shared" si="334"/>
        <v>9.1108594666975545E-3</v>
      </c>
    </row>
    <row r="7146" spans="2:9" x14ac:dyDescent="0.25">
      <c r="B7146" s="1">
        <v>45663</v>
      </c>
      <c r="C7146" s="2">
        <v>23616.05</v>
      </c>
      <c r="D7146" s="2">
        <v>24045.8</v>
      </c>
      <c r="E7146" s="2">
        <v>24089.95</v>
      </c>
      <c r="F7146" s="2">
        <v>23551.9</v>
      </c>
      <c r="G7146" s="3">
        <f t="shared" si="335"/>
        <v>-1.6192628542267662E-2</v>
      </c>
      <c r="H7146" s="2">
        <f t="shared" si="333"/>
        <v>538.04999999999927</v>
      </c>
      <c r="I7146" s="3">
        <f t="shared" si="334"/>
        <v>2.2376049039749116E-2</v>
      </c>
    </row>
    <row r="7147" spans="2:9" x14ac:dyDescent="0.25">
      <c r="B7147" s="1">
        <v>45664</v>
      </c>
      <c r="C7147" s="2">
        <v>23707.9</v>
      </c>
      <c r="D7147" s="2">
        <v>23679.9</v>
      </c>
      <c r="E7147" s="2">
        <v>23795.200000000001</v>
      </c>
      <c r="F7147" s="2">
        <v>23637.8</v>
      </c>
      <c r="G7147" s="3">
        <f t="shared" si="335"/>
        <v>3.8893040961549552E-3</v>
      </c>
      <c r="H7147" s="2">
        <f t="shared" si="333"/>
        <v>157.40000000000146</v>
      </c>
      <c r="I7147" s="3">
        <f t="shared" si="334"/>
        <v>6.646987529508209E-3</v>
      </c>
    </row>
    <row r="7148" spans="2:9" x14ac:dyDescent="0.25">
      <c r="B7148" s="1">
        <v>45665</v>
      </c>
      <c r="C7148" s="2">
        <v>23688.95</v>
      </c>
      <c r="D7148" s="2">
        <v>23746.65</v>
      </c>
      <c r="E7148" s="2">
        <v>23751.85</v>
      </c>
      <c r="F7148" s="2">
        <v>23496.15</v>
      </c>
      <c r="G7148" s="3">
        <f t="shared" si="335"/>
        <v>-7.9931162186441806E-4</v>
      </c>
      <c r="H7148" s="2">
        <f t="shared" si="333"/>
        <v>255.69999999999709</v>
      </c>
      <c r="I7148" s="3">
        <f t="shared" si="334"/>
        <v>1.0767834620883243E-2</v>
      </c>
    </row>
    <row r="7149" spans="2:9" x14ac:dyDescent="0.25">
      <c r="B7149" s="1">
        <v>45666</v>
      </c>
      <c r="C7149" s="2">
        <v>23526.5</v>
      </c>
      <c r="D7149" s="2">
        <v>23674.75</v>
      </c>
      <c r="E7149" s="2">
        <v>23689.5</v>
      </c>
      <c r="F7149" s="2">
        <v>23503.05</v>
      </c>
      <c r="G7149" s="3">
        <f t="shared" si="335"/>
        <v>-6.8576277124988705E-3</v>
      </c>
      <c r="H7149" s="2">
        <f t="shared" si="333"/>
        <v>186.45000000000073</v>
      </c>
      <c r="I7149" s="3">
        <f t="shared" si="334"/>
        <v>7.8754791497270601E-3</v>
      </c>
    </row>
    <row r="7150" spans="2:9" x14ac:dyDescent="0.25">
      <c r="B7150" s="1">
        <v>45667</v>
      </c>
      <c r="C7150" s="2">
        <v>23431.5</v>
      </c>
      <c r="D7150" s="2">
        <v>23551.9</v>
      </c>
      <c r="E7150" s="2">
        <v>23596.6</v>
      </c>
      <c r="F7150" s="2">
        <v>23344.35</v>
      </c>
      <c r="G7150" s="3">
        <f t="shared" si="335"/>
        <v>-4.037999702463213E-3</v>
      </c>
      <c r="H7150" s="2">
        <f t="shared" si="333"/>
        <v>252.25</v>
      </c>
      <c r="I7150" s="3">
        <f t="shared" si="334"/>
        <v>1.0710388546147019E-2</v>
      </c>
    </row>
    <row r="7151" spans="2:9" x14ac:dyDescent="0.25">
      <c r="B7151" s="1">
        <v>45670</v>
      </c>
      <c r="C7151" s="2">
        <v>23085.95</v>
      </c>
      <c r="D7151" s="2">
        <v>23195.4</v>
      </c>
      <c r="E7151" s="2">
        <v>23340.95</v>
      </c>
      <c r="F7151" s="2">
        <v>23047.25</v>
      </c>
      <c r="G7151" s="3">
        <f t="shared" si="335"/>
        <v>-1.4747241960608504E-2</v>
      </c>
      <c r="H7151" s="2">
        <f t="shared" si="333"/>
        <v>293.70000000000073</v>
      </c>
      <c r="I7151" s="3">
        <f t="shared" si="334"/>
        <v>1.2661993326262996E-2</v>
      </c>
    </row>
    <row r="7152" spans="2:9" x14ac:dyDescent="0.25">
      <c r="B7152" s="1">
        <v>45671</v>
      </c>
      <c r="C7152" s="2">
        <v>23176.05</v>
      </c>
      <c r="D7152" s="2">
        <v>23165.9</v>
      </c>
      <c r="E7152" s="2">
        <v>23264.95</v>
      </c>
      <c r="F7152" s="2">
        <v>23134.15</v>
      </c>
      <c r="G7152" s="3">
        <f t="shared" si="335"/>
        <v>3.9028066854513987E-3</v>
      </c>
      <c r="H7152" s="2">
        <f t="shared" si="333"/>
        <v>130.79999999999927</v>
      </c>
      <c r="I7152" s="3">
        <f t="shared" si="334"/>
        <v>5.6462300191229033E-3</v>
      </c>
    </row>
    <row r="7153" spans="2:9" x14ac:dyDescent="0.25">
      <c r="B7153" s="1">
        <v>45672</v>
      </c>
      <c r="C7153" s="2">
        <v>23213.200000000001</v>
      </c>
      <c r="D7153" s="2">
        <v>23250.45</v>
      </c>
      <c r="E7153" s="2">
        <v>23293.65</v>
      </c>
      <c r="F7153" s="2">
        <v>23146.45</v>
      </c>
      <c r="G7153" s="3">
        <f t="shared" si="335"/>
        <v>1.6029478707546563E-3</v>
      </c>
      <c r="H7153" s="2">
        <f t="shared" si="333"/>
        <v>147.20000000000073</v>
      </c>
      <c r="I7153" s="3">
        <f t="shared" si="334"/>
        <v>6.331060259048781E-3</v>
      </c>
    </row>
    <row r="7154" spans="2:9" x14ac:dyDescent="0.25">
      <c r="B7154" s="1">
        <v>45673</v>
      </c>
      <c r="C7154" s="2">
        <v>23311.8</v>
      </c>
      <c r="D7154" s="2">
        <v>23377.25</v>
      </c>
      <c r="E7154" s="2">
        <v>23391.65</v>
      </c>
      <c r="F7154" s="2">
        <v>23272.05</v>
      </c>
      <c r="G7154" s="3">
        <f t="shared" si="335"/>
        <v>4.2475832715866968E-3</v>
      </c>
      <c r="H7154" s="2">
        <f t="shared" si="333"/>
        <v>119.60000000000218</v>
      </c>
      <c r="I7154" s="3">
        <f t="shared" si="334"/>
        <v>5.1160850827194036E-3</v>
      </c>
    </row>
    <row r="7155" spans="2:9" x14ac:dyDescent="0.25">
      <c r="B7155" s="1">
        <v>45674</v>
      </c>
      <c r="C7155" s="2">
        <v>23203.200000000001</v>
      </c>
      <c r="D7155" s="2">
        <v>23277.1</v>
      </c>
      <c r="E7155" s="2">
        <v>23292.1</v>
      </c>
      <c r="F7155" s="2">
        <v>23100.35</v>
      </c>
      <c r="G7155" s="3">
        <f t="shared" si="335"/>
        <v>-4.6585849226571385E-3</v>
      </c>
      <c r="H7155" s="2">
        <f t="shared" si="333"/>
        <v>191.75</v>
      </c>
      <c r="I7155" s="3">
        <f t="shared" si="334"/>
        <v>8.2377100240150197E-3</v>
      </c>
    </row>
    <row r="7156" spans="2:9" x14ac:dyDescent="0.25">
      <c r="B7156" s="1">
        <v>45677</v>
      </c>
      <c r="C7156" s="2">
        <v>23344.75</v>
      </c>
      <c r="D7156" s="2">
        <v>23290.400000000001</v>
      </c>
      <c r="E7156" s="2">
        <v>23391.1</v>
      </c>
      <c r="F7156" s="2">
        <v>23170.65</v>
      </c>
      <c r="G7156" s="3">
        <f t="shared" si="335"/>
        <v>6.1004516618397009E-3</v>
      </c>
      <c r="H7156" s="2">
        <f t="shared" si="333"/>
        <v>220.44999999999709</v>
      </c>
      <c r="I7156" s="3">
        <f t="shared" si="334"/>
        <v>9.4652732456289752E-3</v>
      </c>
    </row>
    <row r="7157" spans="2:9" x14ac:dyDescent="0.25">
      <c r="B7157" s="1">
        <v>45678</v>
      </c>
      <c r="C7157" s="2">
        <v>23024.65</v>
      </c>
      <c r="D7157" s="2">
        <v>23421.65</v>
      </c>
      <c r="E7157" s="2">
        <v>23426.3</v>
      </c>
      <c r="F7157" s="2">
        <v>22976.85</v>
      </c>
      <c r="G7157" s="3">
        <f t="shared" si="335"/>
        <v>-1.3711862410177855E-2</v>
      </c>
      <c r="H7157" s="2">
        <f t="shared" si="333"/>
        <v>449.45000000000073</v>
      </c>
      <c r="I7157" s="3">
        <f t="shared" si="334"/>
        <v>1.9189510559674518E-2</v>
      </c>
    </row>
    <row r="7158" spans="2:9" x14ac:dyDescent="0.25">
      <c r="B7158" s="1">
        <v>45679</v>
      </c>
      <c r="C7158" s="2">
        <v>23155.35</v>
      </c>
      <c r="D7158" s="2">
        <v>23099.15</v>
      </c>
      <c r="E7158" s="2">
        <v>23169.55</v>
      </c>
      <c r="F7158" s="2">
        <v>22981.3</v>
      </c>
      <c r="G7158" s="3">
        <f t="shared" si="335"/>
        <v>5.6765249417471964E-3</v>
      </c>
      <c r="H7158" s="2">
        <f t="shared" si="333"/>
        <v>188.25</v>
      </c>
      <c r="I7158" s="3">
        <f t="shared" si="334"/>
        <v>8.1496505282661908E-3</v>
      </c>
    </row>
    <row r="7159" spans="2:9" x14ac:dyDescent="0.25">
      <c r="B7159" s="1">
        <v>45680</v>
      </c>
      <c r="C7159" s="2">
        <v>23205.35</v>
      </c>
      <c r="D7159" s="2">
        <v>23128.3</v>
      </c>
      <c r="E7159" s="2">
        <v>23270.799999999999</v>
      </c>
      <c r="F7159" s="2">
        <v>23090.65</v>
      </c>
      <c r="G7159" s="3">
        <f t="shared" si="335"/>
        <v>2.1593281898135697E-3</v>
      </c>
      <c r="H7159" s="2">
        <f t="shared" si="333"/>
        <v>180.14999999999782</v>
      </c>
      <c r="I7159" s="3">
        <f t="shared" si="334"/>
        <v>7.7891587362667308E-3</v>
      </c>
    </row>
    <row r="7160" spans="2:9" x14ac:dyDescent="0.25">
      <c r="B7160" s="1">
        <v>45681</v>
      </c>
      <c r="C7160" s="2">
        <v>23092.2</v>
      </c>
      <c r="D7160" s="2">
        <v>23183.9</v>
      </c>
      <c r="E7160" s="2">
        <v>23347.3</v>
      </c>
      <c r="F7160" s="2">
        <v>23050</v>
      </c>
      <c r="G7160" s="3">
        <f t="shared" si="335"/>
        <v>-4.876030742910431E-3</v>
      </c>
      <c r="H7160" s="2">
        <f t="shared" si="333"/>
        <v>297.29999999999927</v>
      </c>
      <c r="I7160" s="3">
        <f t="shared" si="334"/>
        <v>1.2823554276890397E-2</v>
      </c>
    </row>
    <row r="7161" spans="2:9" x14ac:dyDescent="0.25">
      <c r="B7161" s="1">
        <v>45684</v>
      </c>
      <c r="C7161" s="2">
        <v>22829.15</v>
      </c>
      <c r="D7161" s="2">
        <v>22940.15</v>
      </c>
      <c r="E7161" s="2">
        <v>23007.45</v>
      </c>
      <c r="F7161" s="2">
        <v>22786.9</v>
      </c>
      <c r="G7161" s="3">
        <f t="shared" si="335"/>
        <v>-1.139129229783209E-2</v>
      </c>
      <c r="H7161" s="2">
        <f t="shared" si="333"/>
        <v>220.54999999999927</v>
      </c>
      <c r="I7161" s="3">
        <f t="shared" si="334"/>
        <v>9.6141481202171412E-3</v>
      </c>
    </row>
    <row r="7162" spans="2:9" x14ac:dyDescent="0.25">
      <c r="B7162" s="1">
        <v>45685</v>
      </c>
      <c r="C7162" s="2">
        <v>22957.25</v>
      </c>
      <c r="D7162" s="2">
        <v>22960.45</v>
      </c>
      <c r="E7162" s="2">
        <v>23137.95</v>
      </c>
      <c r="F7162" s="2">
        <v>22857.65</v>
      </c>
      <c r="G7162" s="3">
        <f t="shared" si="335"/>
        <v>5.6112470240896606E-3</v>
      </c>
      <c r="H7162" s="2">
        <f t="shared" si="333"/>
        <v>280.29999999999927</v>
      </c>
      <c r="I7162" s="3">
        <f t="shared" si="334"/>
        <v>1.2207948886019188E-2</v>
      </c>
    </row>
    <row r="7163" spans="2:9" x14ac:dyDescent="0.25">
      <c r="B7163" s="1">
        <v>45686</v>
      </c>
      <c r="C7163" s="2">
        <v>23163.1</v>
      </c>
      <c r="D7163" s="2">
        <v>23026.75</v>
      </c>
      <c r="E7163" s="2">
        <v>23183.35</v>
      </c>
      <c r="F7163" s="2">
        <v>22976.5</v>
      </c>
      <c r="G7163" s="3">
        <f t="shared" si="335"/>
        <v>8.9666663036731542E-3</v>
      </c>
      <c r="H7163" s="2">
        <f t="shared" si="333"/>
        <v>206.84999999999854</v>
      </c>
      <c r="I7163" s="3">
        <f t="shared" si="334"/>
        <v>8.9830306057085141E-3</v>
      </c>
    </row>
    <row r="7164" spans="2:9" x14ac:dyDescent="0.25">
      <c r="B7164" s="1">
        <v>45687</v>
      </c>
      <c r="C7164" s="2">
        <v>23249.5</v>
      </c>
      <c r="D7164" s="2">
        <v>23169.5</v>
      </c>
      <c r="E7164" s="2">
        <v>23322.05</v>
      </c>
      <c r="F7164" s="2">
        <v>23139.200000000001</v>
      </c>
      <c r="G7164" s="3">
        <f t="shared" si="335"/>
        <v>3.7300706727512178E-3</v>
      </c>
      <c r="H7164" s="2">
        <f t="shared" si="333"/>
        <v>182.84999999999854</v>
      </c>
      <c r="I7164" s="3">
        <f t="shared" si="334"/>
        <v>7.8918405662616181E-3</v>
      </c>
    </row>
    <row r="7165" spans="2:9" x14ac:dyDescent="0.25">
      <c r="B7165" s="1">
        <v>45688</v>
      </c>
      <c r="C7165" s="2">
        <v>23508.400000000001</v>
      </c>
      <c r="D7165" s="2">
        <v>23296.75</v>
      </c>
      <c r="E7165" s="2">
        <v>23546.799999999999</v>
      </c>
      <c r="F7165" s="2">
        <v>23277.4</v>
      </c>
      <c r="G7165" s="3">
        <f t="shared" si="335"/>
        <v>1.1135723348889348E-2</v>
      </c>
      <c r="H7165" s="2">
        <f t="shared" si="333"/>
        <v>269.39999999999782</v>
      </c>
      <c r="I7165" s="3">
        <f t="shared" si="334"/>
        <v>1.1563844742292287E-2</v>
      </c>
    </row>
    <row r="7166" spans="2:9" x14ac:dyDescent="0.25">
      <c r="B7166" s="1">
        <v>45689</v>
      </c>
      <c r="C7166" s="2">
        <v>23482.15</v>
      </c>
      <c r="D7166" s="2">
        <v>23528.6</v>
      </c>
      <c r="E7166" s="2">
        <v>23632.45</v>
      </c>
      <c r="F7166" s="2">
        <v>23318.3</v>
      </c>
      <c r="G7166" s="3">
        <f t="shared" si="335"/>
        <v>-1.1166221435742196E-3</v>
      </c>
      <c r="H7166" s="2">
        <f t="shared" si="333"/>
        <v>314.15000000000146</v>
      </c>
      <c r="I7166" s="3">
        <f t="shared" si="334"/>
        <v>1.3351835638329585E-2</v>
      </c>
    </row>
    <row r="7167" spans="2:9" x14ac:dyDescent="0.25">
      <c r="B7167" s="1">
        <v>45691</v>
      </c>
      <c r="C7167" s="2">
        <v>23361.05</v>
      </c>
      <c r="D7167" s="2">
        <v>23319.35</v>
      </c>
      <c r="E7167" s="2">
        <v>23381.599999999999</v>
      </c>
      <c r="F7167" s="2">
        <v>23222</v>
      </c>
      <c r="G7167" s="3">
        <f t="shared" si="335"/>
        <v>-5.1571086974575575E-3</v>
      </c>
      <c r="H7167" s="2">
        <f t="shared" si="333"/>
        <v>159.59999999999854</v>
      </c>
      <c r="I7167" s="3">
        <f t="shared" si="334"/>
        <v>6.8441015722993373E-3</v>
      </c>
    </row>
    <row r="7168" spans="2:9" x14ac:dyDescent="0.25">
      <c r="B7168" s="1">
        <v>45692</v>
      </c>
      <c r="C7168" s="2">
        <v>23739.25</v>
      </c>
      <c r="D7168" s="2">
        <v>23509.9</v>
      </c>
      <c r="E7168" s="2">
        <v>23762.75</v>
      </c>
      <c r="F7168" s="2">
        <v>23423.15</v>
      </c>
      <c r="G7168" s="3">
        <f t="shared" si="335"/>
        <v>1.6189340804458663E-2</v>
      </c>
      <c r="H7168" s="2">
        <f t="shared" si="333"/>
        <v>339.59999999999854</v>
      </c>
      <c r="I7168" s="3">
        <f t="shared" si="334"/>
        <v>1.4444978498419752E-2</v>
      </c>
    </row>
    <row r="7169" spans="2:9" x14ac:dyDescent="0.25">
      <c r="B7169" s="1">
        <v>45693</v>
      </c>
      <c r="C7169" s="2">
        <v>23696.3</v>
      </c>
      <c r="D7169" s="2">
        <v>23801.75</v>
      </c>
      <c r="E7169" s="2">
        <v>23807.3</v>
      </c>
      <c r="F7169" s="2">
        <v>23680.45</v>
      </c>
      <c r="G7169" s="3">
        <f t="shared" si="335"/>
        <v>-1.8092399717767327E-3</v>
      </c>
      <c r="H7169" s="2">
        <f t="shared" si="333"/>
        <v>126.84999999999854</v>
      </c>
      <c r="I7169" s="3">
        <f t="shared" si="334"/>
        <v>5.3294400621802405E-3</v>
      </c>
    </row>
    <row r="7170" spans="2:9" x14ac:dyDescent="0.25">
      <c r="B7170" s="1">
        <v>45694</v>
      </c>
      <c r="C7170" s="2">
        <v>23603.35</v>
      </c>
      <c r="D7170" s="2">
        <v>23761.95</v>
      </c>
      <c r="E7170" s="2">
        <v>23773.55</v>
      </c>
      <c r="F7170" s="2">
        <v>23556.25</v>
      </c>
      <c r="G7170" s="3">
        <f t="shared" si="335"/>
        <v>-3.922553310010457E-3</v>
      </c>
      <c r="H7170" s="2">
        <f t="shared" si="333"/>
        <v>217.29999999999927</v>
      </c>
      <c r="I7170" s="3">
        <f t="shared" si="334"/>
        <v>9.1448723694814299E-3</v>
      </c>
    </row>
    <row r="7171" spans="2:9" x14ac:dyDescent="0.25">
      <c r="B7171" s="1">
        <v>45695</v>
      </c>
      <c r="C7171" s="2">
        <v>23559.95</v>
      </c>
      <c r="D7171" s="2">
        <v>23649.5</v>
      </c>
      <c r="E7171" s="2">
        <v>23694.5</v>
      </c>
      <c r="F7171" s="2">
        <v>23443.200000000001</v>
      </c>
      <c r="G7171" s="3">
        <f t="shared" si="335"/>
        <v>-1.8387220458111475E-3</v>
      </c>
      <c r="H7171" s="2">
        <f t="shared" si="333"/>
        <v>251.29999999999927</v>
      </c>
      <c r="I7171" s="3">
        <f t="shared" si="334"/>
        <v>1.0626017463371287E-2</v>
      </c>
    </row>
    <row r="7172" spans="2:9" x14ac:dyDescent="0.25">
      <c r="B7172" s="1">
        <v>45698</v>
      </c>
      <c r="C7172" s="2">
        <v>23381.599999999999</v>
      </c>
      <c r="D7172" s="2">
        <v>23543.8</v>
      </c>
      <c r="E7172" s="2">
        <v>23568.6</v>
      </c>
      <c r="F7172" s="2">
        <v>23316.3</v>
      </c>
      <c r="G7172" s="3">
        <f t="shared" si="335"/>
        <v>-7.5700500213287114E-3</v>
      </c>
      <c r="H7172" s="2">
        <f t="shared" si="333"/>
        <v>252.29999999999927</v>
      </c>
      <c r="I7172" s="3">
        <f t="shared" si="334"/>
        <v>1.0716197045506642E-2</v>
      </c>
    </row>
    <row r="7173" spans="2:9" x14ac:dyDescent="0.25">
      <c r="B7173" s="1">
        <v>45699</v>
      </c>
      <c r="C7173" s="2">
        <v>23071.8</v>
      </c>
      <c r="D7173" s="2">
        <v>23383.55</v>
      </c>
      <c r="E7173" s="2">
        <v>23390.05</v>
      </c>
      <c r="F7173" s="2">
        <v>22986.65</v>
      </c>
      <c r="G7173" s="3">
        <f t="shared" si="335"/>
        <v>-1.3249734834228644E-2</v>
      </c>
      <c r="H7173" s="2">
        <f t="shared" ref="H7173:H7236" si="336">E7173-F7173</f>
        <v>403.39999999999782</v>
      </c>
      <c r="I7173" s="3">
        <f t="shared" si="334"/>
        <v>1.725144385689931E-2</v>
      </c>
    </row>
    <row r="7174" spans="2:9" x14ac:dyDescent="0.25">
      <c r="B7174" s="1">
        <v>45700</v>
      </c>
      <c r="C7174" s="2">
        <v>23045.25</v>
      </c>
      <c r="D7174" s="2">
        <v>23050.799999999999</v>
      </c>
      <c r="E7174" s="2">
        <v>23144.7</v>
      </c>
      <c r="F7174" s="2">
        <v>22798.35</v>
      </c>
      <c r="G7174" s="3">
        <f t="shared" si="335"/>
        <v>-1.1507554677138154E-3</v>
      </c>
      <c r="H7174" s="2">
        <f t="shared" si="336"/>
        <v>346.35000000000218</v>
      </c>
      <c r="I7174" s="3">
        <f t="shared" ref="I7174:I7237" si="337">H7174/D7174</f>
        <v>1.5025508876047781E-2</v>
      </c>
    </row>
    <row r="7175" spans="2:9" x14ac:dyDescent="0.25">
      <c r="B7175" s="1">
        <v>45701</v>
      </c>
      <c r="C7175" s="2">
        <v>23031.4</v>
      </c>
      <c r="D7175" s="2">
        <v>23055.75</v>
      </c>
      <c r="E7175" s="2">
        <v>23235.5</v>
      </c>
      <c r="F7175" s="2">
        <v>22992.2</v>
      </c>
      <c r="G7175" s="3">
        <f t="shared" ref="G7175:G7238" si="338">C7175/C7174-1</f>
        <v>-6.0099152753811946E-4</v>
      </c>
      <c r="H7175" s="2">
        <f t="shared" si="336"/>
        <v>243.29999999999927</v>
      </c>
      <c r="I7175" s="3">
        <f t="shared" si="337"/>
        <v>1.0552682085813702E-2</v>
      </c>
    </row>
    <row r="7176" spans="2:9" x14ac:dyDescent="0.25">
      <c r="B7176" s="1">
        <v>45702</v>
      </c>
      <c r="C7176" s="2">
        <v>22929.25</v>
      </c>
      <c r="D7176" s="2">
        <v>23096.45</v>
      </c>
      <c r="E7176" s="2">
        <v>23133.7</v>
      </c>
      <c r="F7176" s="2">
        <v>22774.85</v>
      </c>
      <c r="G7176" s="3">
        <f t="shared" si="338"/>
        <v>-4.4352492683902289E-3</v>
      </c>
      <c r="H7176" s="2">
        <f t="shared" si="336"/>
        <v>358.85000000000218</v>
      </c>
      <c r="I7176" s="3">
        <f t="shared" si="337"/>
        <v>1.5537019758447821E-2</v>
      </c>
    </row>
    <row r="7177" spans="2:9" x14ac:dyDescent="0.25">
      <c r="B7177" s="1">
        <v>45705</v>
      </c>
      <c r="C7177" s="2">
        <v>22959.5</v>
      </c>
      <c r="D7177" s="2">
        <v>22809.9</v>
      </c>
      <c r="E7177" s="2">
        <v>22974.2</v>
      </c>
      <c r="F7177" s="2">
        <v>22725.45</v>
      </c>
      <c r="G7177" s="3">
        <f t="shared" si="338"/>
        <v>1.3192755977626813E-3</v>
      </c>
      <c r="H7177" s="2">
        <f t="shared" si="336"/>
        <v>248.75</v>
      </c>
      <c r="I7177" s="3">
        <f t="shared" si="337"/>
        <v>1.0905352500449366E-2</v>
      </c>
    </row>
    <row r="7178" spans="2:9" x14ac:dyDescent="0.25">
      <c r="B7178" s="1">
        <v>45706</v>
      </c>
      <c r="C7178" s="2">
        <v>22945.3</v>
      </c>
      <c r="D7178" s="2">
        <v>22963.65</v>
      </c>
      <c r="E7178" s="2">
        <v>22992.5</v>
      </c>
      <c r="F7178" s="2">
        <v>22801.5</v>
      </c>
      <c r="G7178" s="3">
        <f t="shared" si="338"/>
        <v>-6.1848036760381309E-4</v>
      </c>
      <c r="H7178" s="2">
        <f t="shared" si="336"/>
        <v>191</v>
      </c>
      <c r="I7178" s="3">
        <f t="shared" si="337"/>
        <v>8.3174930814569979E-3</v>
      </c>
    </row>
    <row r="7179" spans="2:9" x14ac:dyDescent="0.25">
      <c r="B7179" s="1">
        <v>45707</v>
      </c>
      <c r="C7179" s="2">
        <v>22932.9</v>
      </c>
      <c r="D7179" s="2">
        <v>22847.25</v>
      </c>
      <c r="E7179" s="2">
        <v>23049.95</v>
      </c>
      <c r="F7179" s="2">
        <v>22814.85</v>
      </c>
      <c r="G7179" s="3">
        <f t="shared" si="338"/>
        <v>-5.4041568425766684E-4</v>
      </c>
      <c r="H7179" s="2">
        <f t="shared" si="336"/>
        <v>235.10000000000218</v>
      </c>
      <c r="I7179" s="3">
        <f t="shared" si="337"/>
        <v>1.0290078674676479E-2</v>
      </c>
    </row>
    <row r="7180" spans="2:9" x14ac:dyDescent="0.25">
      <c r="B7180" s="1">
        <v>45708</v>
      </c>
      <c r="C7180" s="2">
        <v>22913.15</v>
      </c>
      <c r="D7180" s="2">
        <v>22821.1</v>
      </c>
      <c r="E7180" s="2">
        <v>22923.85</v>
      </c>
      <c r="F7180" s="2">
        <v>22812.75</v>
      </c>
      <c r="G7180" s="3">
        <f t="shared" si="338"/>
        <v>-8.6120813329326751E-4</v>
      </c>
      <c r="H7180" s="2">
        <f t="shared" si="336"/>
        <v>111.09999999999854</v>
      </c>
      <c r="I7180" s="3">
        <f t="shared" si="337"/>
        <v>4.8683017032482463E-3</v>
      </c>
    </row>
    <row r="7181" spans="2:9" x14ac:dyDescent="0.25">
      <c r="B7181" s="1">
        <v>45709</v>
      </c>
      <c r="C7181" s="2">
        <v>22795.9</v>
      </c>
      <c r="D7181" s="2">
        <v>22857.200000000001</v>
      </c>
      <c r="E7181" s="2">
        <v>22921</v>
      </c>
      <c r="F7181" s="2">
        <v>22720.3</v>
      </c>
      <c r="G7181" s="3">
        <f t="shared" si="338"/>
        <v>-5.1171488861200265E-3</v>
      </c>
      <c r="H7181" s="2">
        <f t="shared" si="336"/>
        <v>200.70000000000073</v>
      </c>
      <c r="I7181" s="3">
        <f t="shared" si="337"/>
        <v>8.7806030484924111E-3</v>
      </c>
    </row>
    <row r="7182" spans="2:9" x14ac:dyDescent="0.25">
      <c r="B7182" s="1">
        <v>45712</v>
      </c>
      <c r="C7182" s="2">
        <v>22553.35</v>
      </c>
      <c r="D7182" s="2">
        <v>22609.35</v>
      </c>
      <c r="E7182" s="2">
        <v>22668.05</v>
      </c>
      <c r="F7182" s="2">
        <v>22518.799999999999</v>
      </c>
      <c r="G7182" s="3">
        <f t="shared" si="338"/>
        <v>-1.0640071240881177E-2</v>
      </c>
      <c r="H7182" s="2">
        <f t="shared" si="336"/>
        <v>149.25</v>
      </c>
      <c r="I7182" s="3">
        <f t="shared" si="337"/>
        <v>6.6012512522474111E-3</v>
      </c>
    </row>
    <row r="7183" spans="2:9" x14ac:dyDescent="0.25">
      <c r="B7183" s="1">
        <v>45713</v>
      </c>
      <c r="C7183" s="2">
        <v>22547.55</v>
      </c>
      <c r="D7183" s="2">
        <v>22516.45</v>
      </c>
      <c r="E7183" s="2">
        <v>22625.3</v>
      </c>
      <c r="F7183" s="2">
        <v>22513.9</v>
      </c>
      <c r="G7183" s="3">
        <f t="shared" si="338"/>
        <v>-2.5716800386632599E-4</v>
      </c>
      <c r="H7183" s="2">
        <f t="shared" si="336"/>
        <v>111.39999999999782</v>
      </c>
      <c r="I7183" s="3">
        <f t="shared" si="337"/>
        <v>4.9474939433169001E-3</v>
      </c>
    </row>
    <row r="7184" spans="2:9" x14ac:dyDescent="0.25">
      <c r="B7184" s="1">
        <v>45715</v>
      </c>
      <c r="C7184" s="2">
        <v>22545.05</v>
      </c>
      <c r="D7184" s="2">
        <v>22568.95</v>
      </c>
      <c r="E7184" s="2">
        <v>22613.3</v>
      </c>
      <c r="F7184" s="2">
        <v>22508.400000000001</v>
      </c>
      <c r="G7184" s="3">
        <f t="shared" si="338"/>
        <v>-1.1087679149179852E-4</v>
      </c>
      <c r="H7184" s="2">
        <f t="shared" si="336"/>
        <v>104.89999999999782</v>
      </c>
      <c r="I7184" s="3">
        <f t="shared" si="337"/>
        <v>4.647978749565124E-3</v>
      </c>
    </row>
    <row r="7185" spans="2:9" x14ac:dyDescent="0.25">
      <c r="B7185" s="1">
        <v>45716</v>
      </c>
      <c r="C7185" s="2">
        <v>22124.7</v>
      </c>
      <c r="D7185" s="2">
        <v>22433.4</v>
      </c>
      <c r="E7185" s="2">
        <v>22450.35</v>
      </c>
      <c r="F7185" s="2">
        <v>22104.85</v>
      </c>
      <c r="G7185" s="3">
        <f t="shared" si="338"/>
        <v>-1.8644891007116748E-2</v>
      </c>
      <c r="H7185" s="2">
        <f t="shared" si="336"/>
        <v>345.5</v>
      </c>
      <c r="I7185" s="3">
        <f t="shared" si="337"/>
        <v>1.540114293865397E-2</v>
      </c>
    </row>
    <row r="7186" spans="2:9" x14ac:dyDescent="0.25">
      <c r="B7186" s="1">
        <v>45719</v>
      </c>
      <c r="C7186" s="2">
        <v>22119.3</v>
      </c>
      <c r="D7186" s="2">
        <v>22194.55</v>
      </c>
      <c r="E7186" s="2">
        <v>22261.55</v>
      </c>
      <c r="F7186" s="2">
        <v>22004.7</v>
      </c>
      <c r="G7186" s="3">
        <f t="shared" si="338"/>
        <v>-2.4407110604895976E-4</v>
      </c>
      <c r="H7186" s="2">
        <f t="shared" si="336"/>
        <v>256.84999999999854</v>
      </c>
      <c r="I7186" s="3">
        <f t="shared" si="337"/>
        <v>1.1572660855930783E-2</v>
      </c>
    </row>
    <row r="7187" spans="2:9" x14ac:dyDescent="0.25">
      <c r="B7187" s="1">
        <v>45720</v>
      </c>
      <c r="C7187" s="2">
        <v>22082.65</v>
      </c>
      <c r="D7187" s="2">
        <v>21974.45</v>
      </c>
      <c r="E7187" s="2">
        <v>22105.05</v>
      </c>
      <c r="F7187" s="2">
        <v>21964.6</v>
      </c>
      <c r="G7187" s="3">
        <f t="shared" si="338"/>
        <v>-1.6569240437083188E-3</v>
      </c>
      <c r="H7187" s="2">
        <f t="shared" si="336"/>
        <v>140.45000000000073</v>
      </c>
      <c r="I7187" s="3">
        <f t="shared" si="337"/>
        <v>6.3915137807772533E-3</v>
      </c>
    </row>
    <row r="7188" spans="2:9" x14ac:dyDescent="0.25">
      <c r="B7188" s="1">
        <v>45721</v>
      </c>
      <c r="C7188" s="2">
        <v>22337.3</v>
      </c>
      <c r="D7188" s="2">
        <v>22073.05</v>
      </c>
      <c r="E7188" s="2">
        <v>22394.9</v>
      </c>
      <c r="F7188" s="2">
        <v>22067.8</v>
      </c>
      <c r="G7188" s="3">
        <f t="shared" si="338"/>
        <v>1.1531677583985545E-2</v>
      </c>
      <c r="H7188" s="2">
        <f t="shared" si="336"/>
        <v>327.10000000000218</v>
      </c>
      <c r="I7188" s="3">
        <f t="shared" si="337"/>
        <v>1.481897608169248E-2</v>
      </c>
    </row>
    <row r="7189" spans="2:9" x14ac:dyDescent="0.25">
      <c r="B7189" s="1">
        <v>45722</v>
      </c>
      <c r="C7189" s="2">
        <v>22544.7</v>
      </c>
      <c r="D7189" s="2">
        <v>22476.35</v>
      </c>
      <c r="E7189" s="2">
        <v>22556.45</v>
      </c>
      <c r="F7189" s="2">
        <v>22245.85</v>
      </c>
      <c r="G7189" s="3">
        <f t="shared" si="338"/>
        <v>9.2849180518683738E-3</v>
      </c>
      <c r="H7189" s="2">
        <f t="shared" si="336"/>
        <v>310.60000000000218</v>
      </c>
      <c r="I7189" s="3">
        <f t="shared" si="337"/>
        <v>1.381896971705825E-2</v>
      </c>
    </row>
    <row r="7190" spans="2:9" x14ac:dyDescent="0.25">
      <c r="B7190" s="1">
        <v>45723</v>
      </c>
      <c r="C7190" s="2">
        <v>22552.5</v>
      </c>
      <c r="D7190" s="2">
        <v>22508.65</v>
      </c>
      <c r="E7190" s="2">
        <v>22633.8</v>
      </c>
      <c r="F7190" s="2">
        <v>22464.75</v>
      </c>
      <c r="G7190" s="3">
        <f t="shared" si="338"/>
        <v>3.459793210820461E-4</v>
      </c>
      <c r="H7190" s="2">
        <f t="shared" si="336"/>
        <v>169.04999999999927</v>
      </c>
      <c r="I7190" s="3">
        <f t="shared" si="337"/>
        <v>7.5104459840994132E-3</v>
      </c>
    </row>
    <row r="7191" spans="2:9" x14ac:dyDescent="0.25">
      <c r="B7191" s="1">
        <v>45726</v>
      </c>
      <c r="C7191" s="2">
        <v>22460.3</v>
      </c>
      <c r="D7191" s="2">
        <v>22521.85</v>
      </c>
      <c r="E7191" s="2">
        <v>22676.75</v>
      </c>
      <c r="F7191" s="2">
        <v>22429.05</v>
      </c>
      <c r="G7191" s="3">
        <f t="shared" si="338"/>
        <v>-4.0882385544840361E-3</v>
      </c>
      <c r="H7191" s="2">
        <f t="shared" si="336"/>
        <v>247.70000000000073</v>
      </c>
      <c r="I7191" s="3">
        <f t="shared" si="337"/>
        <v>1.0998208406503051E-2</v>
      </c>
    </row>
    <row r="7192" spans="2:9" x14ac:dyDescent="0.25">
      <c r="B7192" s="1">
        <v>45727</v>
      </c>
      <c r="C7192" s="2">
        <v>22497.9</v>
      </c>
      <c r="D7192" s="2">
        <v>22345.95</v>
      </c>
      <c r="E7192" s="2">
        <v>22522.1</v>
      </c>
      <c r="F7192" s="2">
        <v>22314.7</v>
      </c>
      <c r="G7192" s="3">
        <f t="shared" si="338"/>
        <v>1.6740649056334878E-3</v>
      </c>
      <c r="H7192" s="2">
        <f t="shared" si="336"/>
        <v>207.39999999999782</v>
      </c>
      <c r="I7192" s="3">
        <f t="shared" si="337"/>
        <v>9.2813239088066438E-3</v>
      </c>
    </row>
    <row r="7193" spans="2:9" x14ac:dyDescent="0.25">
      <c r="B7193" s="1">
        <v>45728</v>
      </c>
      <c r="C7193" s="2">
        <v>22470.5</v>
      </c>
      <c r="D7193" s="2">
        <v>22536.35</v>
      </c>
      <c r="E7193" s="2">
        <v>22577.4</v>
      </c>
      <c r="F7193" s="2">
        <v>22329.55</v>
      </c>
      <c r="G7193" s="3">
        <f t="shared" si="338"/>
        <v>-1.2178914476462799E-3</v>
      </c>
      <c r="H7193" s="2">
        <f t="shared" si="336"/>
        <v>247.85000000000218</v>
      </c>
      <c r="I7193" s="3">
        <f t="shared" si="337"/>
        <v>1.0997788018024313E-2</v>
      </c>
    </row>
    <row r="7194" spans="2:9" x14ac:dyDescent="0.25">
      <c r="B7194" s="1">
        <v>45729</v>
      </c>
      <c r="C7194" s="2">
        <v>22397.200000000001</v>
      </c>
      <c r="D7194" s="2">
        <v>22541.5</v>
      </c>
      <c r="E7194" s="2">
        <v>22558.05</v>
      </c>
      <c r="F7194" s="2">
        <v>22377.35</v>
      </c>
      <c r="G7194" s="3">
        <f t="shared" si="338"/>
        <v>-3.2620546939320372E-3</v>
      </c>
      <c r="H7194" s="2">
        <f t="shared" si="336"/>
        <v>180.70000000000073</v>
      </c>
      <c r="I7194" s="3">
        <f t="shared" si="337"/>
        <v>8.0163254441807663E-3</v>
      </c>
    </row>
    <row r="7195" spans="2:9" x14ac:dyDescent="0.25">
      <c r="B7195" s="1">
        <v>45733</v>
      </c>
      <c r="C7195" s="2">
        <v>22508.75</v>
      </c>
      <c r="D7195" s="2">
        <v>22353.15</v>
      </c>
      <c r="E7195" s="2">
        <v>22577</v>
      </c>
      <c r="F7195" s="2">
        <v>22353.15</v>
      </c>
      <c r="G7195" s="3">
        <f t="shared" si="338"/>
        <v>4.9805332809458314E-3</v>
      </c>
      <c r="H7195" s="2">
        <f t="shared" si="336"/>
        <v>223.84999999999854</v>
      </c>
      <c r="I7195" s="3">
        <f t="shared" si="337"/>
        <v>1.0014248551098996E-2</v>
      </c>
    </row>
    <row r="7196" spans="2:9" x14ac:dyDescent="0.25">
      <c r="B7196" s="1">
        <v>45734</v>
      </c>
      <c r="C7196" s="2">
        <v>22834.3</v>
      </c>
      <c r="D7196" s="2">
        <v>22662.25</v>
      </c>
      <c r="E7196" s="2">
        <v>22857.8</v>
      </c>
      <c r="F7196" s="2">
        <v>22599.200000000001</v>
      </c>
      <c r="G7196" s="3">
        <f t="shared" si="338"/>
        <v>1.4463264286110888E-2</v>
      </c>
      <c r="H7196" s="2">
        <f t="shared" si="336"/>
        <v>258.59999999999854</v>
      </c>
      <c r="I7196" s="3">
        <f t="shared" si="337"/>
        <v>1.1411047005482622E-2</v>
      </c>
    </row>
    <row r="7197" spans="2:9" x14ac:dyDescent="0.25">
      <c r="B7197" s="1">
        <v>45735</v>
      </c>
      <c r="C7197" s="2">
        <v>22907.599999999999</v>
      </c>
      <c r="D7197" s="2">
        <v>22874.95</v>
      </c>
      <c r="E7197" s="2">
        <v>22940.7</v>
      </c>
      <c r="F7197" s="2">
        <v>22807.95</v>
      </c>
      <c r="G7197" s="3">
        <f t="shared" si="338"/>
        <v>3.2100830767747279E-3</v>
      </c>
      <c r="H7197" s="2">
        <f t="shared" si="336"/>
        <v>132.75</v>
      </c>
      <c r="I7197" s="3">
        <f t="shared" si="337"/>
        <v>5.8032913733144769E-3</v>
      </c>
    </row>
    <row r="7198" spans="2:9" x14ac:dyDescent="0.25">
      <c r="B7198" s="1">
        <v>45736</v>
      </c>
      <c r="C7198" s="2">
        <v>23190.65</v>
      </c>
      <c r="D7198" s="2">
        <v>23036.6</v>
      </c>
      <c r="E7198" s="2">
        <v>23216.7</v>
      </c>
      <c r="F7198" s="2">
        <v>22973.95</v>
      </c>
      <c r="G7198" s="3">
        <f t="shared" si="338"/>
        <v>1.2356161273987754E-2</v>
      </c>
      <c r="H7198" s="2">
        <f t="shared" si="336"/>
        <v>242.75</v>
      </c>
      <c r="I7198" s="3">
        <f t="shared" si="337"/>
        <v>1.0537579330283115E-2</v>
      </c>
    </row>
    <row r="7199" spans="2:9" x14ac:dyDescent="0.25">
      <c r="B7199" s="1">
        <v>45737</v>
      </c>
      <c r="C7199" s="2">
        <v>23350.400000000001</v>
      </c>
      <c r="D7199" s="2">
        <v>23168.25</v>
      </c>
      <c r="E7199" s="2">
        <v>23402.7</v>
      </c>
      <c r="F7199" s="2">
        <v>23132.799999999999</v>
      </c>
      <c r="G7199" s="3">
        <f t="shared" si="338"/>
        <v>6.8885520673203082E-3</v>
      </c>
      <c r="H7199" s="2">
        <f t="shared" si="336"/>
        <v>269.90000000000146</v>
      </c>
      <c r="I7199" s="3">
        <f t="shared" si="337"/>
        <v>1.1649563519040129E-2</v>
      </c>
    </row>
    <row r="7200" spans="2:9" x14ac:dyDescent="0.25">
      <c r="B7200" s="1">
        <v>45740</v>
      </c>
      <c r="C7200" s="2">
        <v>23658.35</v>
      </c>
      <c r="D7200" s="2">
        <v>23515.4</v>
      </c>
      <c r="E7200" s="2">
        <v>23708.75</v>
      </c>
      <c r="F7200" s="2">
        <v>23433.5</v>
      </c>
      <c r="G7200" s="3">
        <f t="shared" si="338"/>
        <v>1.3188210908592346E-2</v>
      </c>
      <c r="H7200" s="2">
        <f t="shared" si="336"/>
        <v>275.25</v>
      </c>
      <c r="I7200" s="3">
        <f t="shared" si="337"/>
        <v>1.1705095384301352E-2</v>
      </c>
    </row>
    <row r="7201" spans="2:9" x14ac:dyDescent="0.25">
      <c r="B7201" s="1">
        <v>45741</v>
      </c>
      <c r="C7201" s="2">
        <v>23668.65</v>
      </c>
      <c r="D7201" s="2">
        <v>23751.5</v>
      </c>
      <c r="E7201" s="2">
        <v>23869.599999999999</v>
      </c>
      <c r="F7201" s="2">
        <v>23601.4</v>
      </c>
      <c r="G7201" s="3">
        <f t="shared" si="338"/>
        <v>4.353642582852757E-4</v>
      </c>
      <c r="H7201" s="2">
        <f t="shared" si="336"/>
        <v>268.19999999999709</v>
      </c>
      <c r="I7201" s="3">
        <f t="shared" si="337"/>
        <v>1.1291918405153235E-2</v>
      </c>
    </row>
    <row r="7202" spans="2:9" x14ac:dyDescent="0.25">
      <c r="B7202" s="1">
        <v>45742</v>
      </c>
      <c r="C7202" s="2">
        <v>23486.85</v>
      </c>
      <c r="D7202" s="2">
        <v>23700.95</v>
      </c>
      <c r="E7202" s="2">
        <v>23736.5</v>
      </c>
      <c r="F7202" s="2">
        <v>23451.7</v>
      </c>
      <c r="G7202" s="3">
        <f t="shared" si="338"/>
        <v>-7.6810464475161044E-3</v>
      </c>
      <c r="H7202" s="2">
        <f t="shared" si="336"/>
        <v>284.79999999999927</v>
      </c>
      <c r="I7202" s="3">
        <f t="shared" si="337"/>
        <v>1.2016395967250227E-2</v>
      </c>
    </row>
    <row r="7203" spans="2:9" x14ac:dyDescent="0.25">
      <c r="B7203" s="1">
        <v>45743</v>
      </c>
      <c r="C7203" s="2">
        <v>23591.95</v>
      </c>
      <c r="D7203" s="2">
        <v>23433.95</v>
      </c>
      <c r="E7203" s="2">
        <v>23646.45</v>
      </c>
      <c r="F7203" s="2">
        <v>23412.2</v>
      </c>
      <c r="G7203" s="3">
        <f t="shared" si="338"/>
        <v>4.4748444342259663E-3</v>
      </c>
      <c r="H7203" s="2">
        <f t="shared" si="336"/>
        <v>234.25</v>
      </c>
      <c r="I7203" s="3">
        <f t="shared" si="337"/>
        <v>9.9961807548449993E-3</v>
      </c>
    </row>
    <row r="7204" spans="2:9" x14ac:dyDescent="0.25">
      <c r="B7204" s="1">
        <v>45744</v>
      </c>
      <c r="C7204" s="2">
        <v>23519.35</v>
      </c>
      <c r="D7204" s="2">
        <v>23600.400000000001</v>
      </c>
      <c r="E7204" s="2">
        <v>23649.200000000001</v>
      </c>
      <c r="F7204" s="2">
        <v>23450.2</v>
      </c>
      <c r="G7204" s="3">
        <f t="shared" si="338"/>
        <v>-3.0773208658039231E-3</v>
      </c>
      <c r="H7204" s="2">
        <f t="shared" si="336"/>
        <v>199</v>
      </c>
      <c r="I7204" s="3">
        <f t="shared" si="337"/>
        <v>8.4320604735512953E-3</v>
      </c>
    </row>
    <row r="7205" spans="2:9" x14ac:dyDescent="0.25">
      <c r="B7205" s="1">
        <v>45748</v>
      </c>
      <c r="C7205" s="2">
        <v>23165.7</v>
      </c>
      <c r="D7205" s="2">
        <v>23341.1</v>
      </c>
      <c r="E7205" s="2">
        <v>23565.15</v>
      </c>
      <c r="F7205" s="2">
        <v>23136.400000000001</v>
      </c>
      <c r="G7205" s="3">
        <f t="shared" si="338"/>
        <v>-1.5036555006834651E-2</v>
      </c>
      <c r="H7205" s="2">
        <f t="shared" si="336"/>
        <v>428.75</v>
      </c>
      <c r="I7205" s="3">
        <f t="shared" si="337"/>
        <v>1.8368885785160084E-2</v>
      </c>
    </row>
    <row r="7206" spans="2:9" x14ac:dyDescent="0.25">
      <c r="B7206" s="1">
        <v>45749</v>
      </c>
      <c r="C7206" s="2">
        <v>23332.35</v>
      </c>
      <c r="D7206" s="2">
        <v>23192.6</v>
      </c>
      <c r="E7206" s="2">
        <v>23350</v>
      </c>
      <c r="F7206" s="2">
        <v>23158.45</v>
      </c>
      <c r="G7206" s="3">
        <f t="shared" si="338"/>
        <v>7.1938253538634811E-3</v>
      </c>
      <c r="H7206" s="2">
        <f t="shared" si="336"/>
        <v>191.54999999999927</v>
      </c>
      <c r="I7206" s="3">
        <f t="shared" si="337"/>
        <v>8.2590998853082145E-3</v>
      </c>
    </row>
    <row r="7207" spans="2:9" x14ac:dyDescent="0.25">
      <c r="B7207" s="1">
        <v>45750</v>
      </c>
      <c r="C7207" s="2">
        <v>23250.1</v>
      </c>
      <c r="D7207" s="2">
        <v>23150.3</v>
      </c>
      <c r="E7207" s="2">
        <v>23306.5</v>
      </c>
      <c r="F7207" s="2">
        <v>23145.8</v>
      </c>
      <c r="G7207" s="3">
        <f t="shared" si="338"/>
        <v>-3.5251485598322141E-3</v>
      </c>
      <c r="H7207" s="2">
        <f t="shared" si="336"/>
        <v>160.70000000000073</v>
      </c>
      <c r="I7207" s="3">
        <f t="shared" si="337"/>
        <v>6.9415947093558498E-3</v>
      </c>
    </row>
    <row r="7208" spans="2:9" x14ac:dyDescent="0.25">
      <c r="B7208" s="1">
        <v>45751</v>
      </c>
      <c r="C7208" s="2">
        <v>22904.45</v>
      </c>
      <c r="D7208" s="2">
        <v>23190.400000000001</v>
      </c>
      <c r="E7208" s="2">
        <v>23214.7</v>
      </c>
      <c r="F7208" s="2">
        <v>22857.45</v>
      </c>
      <c r="G7208" s="3">
        <f t="shared" si="338"/>
        <v>-1.4866602724289302E-2</v>
      </c>
      <c r="H7208" s="2">
        <f t="shared" si="336"/>
        <v>357.25</v>
      </c>
      <c r="I7208" s="3">
        <f t="shared" si="337"/>
        <v>1.5405081412998482E-2</v>
      </c>
    </row>
    <row r="7209" spans="2:9" x14ac:dyDescent="0.25">
      <c r="B7209" s="1">
        <v>45754</v>
      </c>
      <c r="C7209" s="2">
        <v>22161.599999999999</v>
      </c>
      <c r="D7209" s="2">
        <v>21758.400000000001</v>
      </c>
      <c r="E7209" s="2">
        <v>22254</v>
      </c>
      <c r="F7209" s="2">
        <v>21743.65</v>
      </c>
      <c r="G7209" s="3">
        <f t="shared" si="338"/>
        <v>-3.2432562231356932E-2</v>
      </c>
      <c r="H7209" s="2">
        <f t="shared" si="336"/>
        <v>510.34999999999854</v>
      </c>
      <c r="I7209" s="3">
        <f t="shared" si="337"/>
        <v>2.3455309213912718E-2</v>
      </c>
    </row>
    <row r="7210" spans="2:9" x14ac:dyDescent="0.25">
      <c r="B7210" s="1">
        <v>45755</v>
      </c>
      <c r="C7210" s="2">
        <v>22535.85</v>
      </c>
      <c r="D7210" s="2">
        <v>22446.75</v>
      </c>
      <c r="E7210" s="2">
        <v>22697.200000000001</v>
      </c>
      <c r="F7210" s="2">
        <v>22270.85</v>
      </c>
      <c r="G7210" s="3">
        <f t="shared" si="338"/>
        <v>1.68873186051548E-2</v>
      </c>
      <c r="H7210" s="2">
        <f t="shared" si="336"/>
        <v>426.35000000000218</v>
      </c>
      <c r="I7210" s="3">
        <f t="shared" si="337"/>
        <v>1.899384097920644E-2</v>
      </c>
    </row>
    <row r="7211" spans="2:9" x14ac:dyDescent="0.25">
      <c r="B7211" s="1">
        <v>45756</v>
      </c>
      <c r="C7211" s="2">
        <v>22399.15</v>
      </c>
      <c r="D7211" s="2">
        <v>22460.3</v>
      </c>
      <c r="E7211" s="2">
        <v>22468.7</v>
      </c>
      <c r="F7211" s="2">
        <v>22353.25</v>
      </c>
      <c r="G7211" s="3">
        <f t="shared" si="338"/>
        <v>-6.0658905699140231E-3</v>
      </c>
      <c r="H7211" s="2">
        <f t="shared" si="336"/>
        <v>115.45000000000073</v>
      </c>
      <c r="I7211" s="3">
        <f t="shared" si="337"/>
        <v>5.1401806743454331E-3</v>
      </c>
    </row>
    <row r="7212" spans="2:9" x14ac:dyDescent="0.25">
      <c r="B7212" s="1">
        <v>45758</v>
      </c>
      <c r="C7212" s="2">
        <v>22828.55</v>
      </c>
      <c r="D7212" s="2">
        <v>22695.4</v>
      </c>
      <c r="E7212" s="2">
        <v>22923.9</v>
      </c>
      <c r="F7212" s="2">
        <v>22695.4</v>
      </c>
      <c r="G7212" s="3">
        <f t="shared" si="338"/>
        <v>1.91703703042303E-2</v>
      </c>
      <c r="H7212" s="2">
        <f t="shared" si="336"/>
        <v>228.5</v>
      </c>
      <c r="I7212" s="3">
        <f t="shared" si="337"/>
        <v>1.0068119530830035E-2</v>
      </c>
    </row>
    <row r="7213" spans="2:9" x14ac:dyDescent="0.25">
      <c r="B7213" s="1">
        <v>45762</v>
      </c>
      <c r="C7213" s="2">
        <v>23328.55</v>
      </c>
      <c r="D7213" s="2">
        <v>23368.35</v>
      </c>
      <c r="E7213" s="2">
        <v>23368.35</v>
      </c>
      <c r="F7213" s="2">
        <v>23207</v>
      </c>
      <c r="G7213" s="3">
        <f t="shared" si="338"/>
        <v>2.1902398531663314E-2</v>
      </c>
      <c r="H7213" s="2">
        <f t="shared" si="336"/>
        <v>161.34999999999854</v>
      </c>
      <c r="I7213" s="3">
        <f t="shared" si="337"/>
        <v>6.9046381109491494E-3</v>
      </c>
    </row>
    <row r="7214" spans="2:9" x14ac:dyDescent="0.25">
      <c r="B7214" s="1">
        <v>45763</v>
      </c>
      <c r="C7214" s="2">
        <v>23437.200000000001</v>
      </c>
      <c r="D7214" s="2">
        <v>23344.1</v>
      </c>
      <c r="E7214" s="2">
        <v>23452.2</v>
      </c>
      <c r="F7214" s="2">
        <v>23273.05</v>
      </c>
      <c r="G7214" s="3">
        <f t="shared" si="338"/>
        <v>4.6573833350123106E-3</v>
      </c>
      <c r="H7214" s="2">
        <f t="shared" si="336"/>
        <v>179.15000000000146</v>
      </c>
      <c r="I7214" s="3">
        <f t="shared" si="337"/>
        <v>7.6743159941913145E-3</v>
      </c>
    </row>
    <row r="7215" spans="2:9" x14ac:dyDescent="0.25">
      <c r="B7215" s="1">
        <v>45764</v>
      </c>
      <c r="C7215" s="2">
        <v>23851.65</v>
      </c>
      <c r="D7215" s="2">
        <v>23401.85</v>
      </c>
      <c r="E7215" s="2">
        <v>23872.35</v>
      </c>
      <c r="F7215" s="2">
        <v>23298.55</v>
      </c>
      <c r="G7215" s="3">
        <f t="shared" si="338"/>
        <v>1.7683426347857356E-2</v>
      </c>
      <c r="H7215" s="2">
        <f t="shared" si="336"/>
        <v>573.79999999999927</v>
      </c>
      <c r="I7215" s="3">
        <f t="shared" si="337"/>
        <v>2.4519429019500567E-2</v>
      </c>
    </row>
    <row r="7216" spans="2:9" x14ac:dyDescent="0.25">
      <c r="B7216" s="1">
        <v>45768</v>
      </c>
      <c r="C7216" s="2">
        <v>24125.55</v>
      </c>
      <c r="D7216" s="2">
        <v>23949.15</v>
      </c>
      <c r="E7216" s="2">
        <v>24189.55</v>
      </c>
      <c r="F7216" s="2">
        <v>23903.65</v>
      </c>
      <c r="G7216" s="3">
        <f t="shared" si="338"/>
        <v>1.1483482274811108E-2</v>
      </c>
      <c r="H7216" s="2">
        <f t="shared" si="336"/>
        <v>285.89999999999782</v>
      </c>
      <c r="I7216" s="3">
        <f t="shared" si="337"/>
        <v>1.1937793199341013E-2</v>
      </c>
    </row>
    <row r="7217" spans="2:9" x14ac:dyDescent="0.25">
      <c r="B7217" s="1">
        <v>45769</v>
      </c>
      <c r="C7217" s="2">
        <v>24167.25</v>
      </c>
      <c r="D7217" s="2">
        <v>24185.4</v>
      </c>
      <c r="E7217" s="2">
        <v>24242.6</v>
      </c>
      <c r="F7217" s="2">
        <v>24072</v>
      </c>
      <c r="G7217" s="3">
        <f t="shared" si="338"/>
        <v>1.7284580040661801E-3</v>
      </c>
      <c r="H7217" s="2">
        <f t="shared" si="336"/>
        <v>170.59999999999854</v>
      </c>
      <c r="I7217" s="3">
        <f t="shared" si="337"/>
        <v>7.053842400787191E-3</v>
      </c>
    </row>
    <row r="7218" spans="2:9" x14ac:dyDescent="0.25">
      <c r="B7218" s="1">
        <v>45770</v>
      </c>
      <c r="C7218" s="2">
        <v>24328.95</v>
      </c>
      <c r="D7218" s="2">
        <v>24357.599999999999</v>
      </c>
      <c r="E7218" s="2">
        <v>24359.3</v>
      </c>
      <c r="F7218" s="2">
        <v>24119.95</v>
      </c>
      <c r="G7218" s="3">
        <f t="shared" si="338"/>
        <v>6.6908729789281196E-3</v>
      </c>
      <c r="H7218" s="2">
        <f t="shared" si="336"/>
        <v>239.34999999999854</v>
      </c>
      <c r="I7218" s="3">
        <f t="shared" si="337"/>
        <v>9.8265017899956709E-3</v>
      </c>
    </row>
    <row r="7219" spans="2:9" x14ac:dyDescent="0.25">
      <c r="B7219" s="1">
        <v>45771</v>
      </c>
      <c r="C7219" s="2">
        <v>24246.7</v>
      </c>
      <c r="D7219" s="2">
        <v>24277.9</v>
      </c>
      <c r="E7219" s="2">
        <v>24347.85</v>
      </c>
      <c r="F7219" s="2">
        <v>24216.15</v>
      </c>
      <c r="G7219" s="3">
        <f t="shared" si="338"/>
        <v>-3.380745983694311E-3</v>
      </c>
      <c r="H7219" s="2">
        <f t="shared" si="336"/>
        <v>131.69999999999709</v>
      </c>
      <c r="I7219" s="3">
        <f t="shared" si="337"/>
        <v>5.4246866491746435E-3</v>
      </c>
    </row>
    <row r="7220" spans="2:9" x14ac:dyDescent="0.25">
      <c r="B7220" s="1">
        <v>45772</v>
      </c>
      <c r="C7220" s="2">
        <v>24039.35</v>
      </c>
      <c r="D7220" s="2">
        <v>24289</v>
      </c>
      <c r="E7220" s="2">
        <v>24365.45</v>
      </c>
      <c r="F7220" s="2">
        <v>23847.85</v>
      </c>
      <c r="G7220" s="3">
        <f t="shared" si="338"/>
        <v>-8.5516791975815964E-3</v>
      </c>
      <c r="H7220" s="2">
        <f t="shared" si="336"/>
        <v>517.60000000000218</v>
      </c>
      <c r="I7220" s="3">
        <f t="shared" si="337"/>
        <v>2.1310058050969666E-2</v>
      </c>
    </row>
    <row r="7221" spans="2:9" x14ac:dyDescent="0.25">
      <c r="B7221" s="1">
        <v>45775</v>
      </c>
      <c r="C7221" s="2">
        <v>24328.5</v>
      </c>
      <c r="D7221" s="2">
        <v>24070.25</v>
      </c>
      <c r="E7221" s="2">
        <v>24355.1</v>
      </c>
      <c r="F7221" s="2">
        <v>24054.05</v>
      </c>
      <c r="G7221" s="3">
        <f t="shared" si="338"/>
        <v>1.2028195437896683E-2</v>
      </c>
      <c r="H7221" s="2">
        <f t="shared" si="336"/>
        <v>301.04999999999927</v>
      </c>
      <c r="I7221" s="3">
        <f t="shared" si="337"/>
        <v>1.2507140557326961E-2</v>
      </c>
    </row>
    <row r="7222" spans="2:9" x14ac:dyDescent="0.25">
      <c r="B7222" s="1">
        <v>45776</v>
      </c>
      <c r="C7222" s="2">
        <v>24335.95</v>
      </c>
      <c r="D7222" s="2">
        <v>24370.7</v>
      </c>
      <c r="E7222" s="2">
        <v>24457.65</v>
      </c>
      <c r="F7222" s="2">
        <v>24290.75</v>
      </c>
      <c r="G7222" s="3">
        <f t="shared" si="338"/>
        <v>3.0622520911682827E-4</v>
      </c>
      <c r="H7222" s="2">
        <f t="shared" si="336"/>
        <v>166.90000000000146</v>
      </c>
      <c r="I7222" s="3">
        <f t="shared" si="337"/>
        <v>6.8483876129943515E-3</v>
      </c>
    </row>
    <row r="7223" spans="2:9" x14ac:dyDescent="0.25">
      <c r="B7223" s="1">
        <v>45777</v>
      </c>
      <c r="C7223" s="2">
        <v>24334.2</v>
      </c>
      <c r="D7223" s="2">
        <v>24342.05</v>
      </c>
      <c r="E7223" s="2">
        <v>24396.15</v>
      </c>
      <c r="F7223" s="2">
        <v>24198.75</v>
      </c>
      <c r="G7223" s="3">
        <f t="shared" si="338"/>
        <v>-7.1910075423398112E-5</v>
      </c>
      <c r="H7223" s="2">
        <f t="shared" si="336"/>
        <v>197.40000000000146</v>
      </c>
      <c r="I7223" s="3">
        <f t="shared" si="337"/>
        <v>8.1094238159892633E-3</v>
      </c>
    </row>
    <row r="7224" spans="2:9" x14ac:dyDescent="0.25">
      <c r="B7224" s="1">
        <v>45779</v>
      </c>
      <c r="C7224" s="2">
        <v>24346.7</v>
      </c>
      <c r="D7224" s="2">
        <v>24311.9</v>
      </c>
      <c r="E7224" s="2">
        <v>24589.15</v>
      </c>
      <c r="F7224" s="2">
        <v>24238.5</v>
      </c>
      <c r="G7224" s="3">
        <f t="shared" si="338"/>
        <v>5.1368033467302787E-4</v>
      </c>
      <c r="H7224" s="2">
        <f t="shared" si="336"/>
        <v>350.65000000000146</v>
      </c>
      <c r="I7224" s="3">
        <f t="shared" si="337"/>
        <v>1.4422978047787357E-2</v>
      </c>
    </row>
    <row r="7225" spans="2:9" x14ac:dyDescent="0.25">
      <c r="B7225" s="1">
        <v>45782</v>
      </c>
      <c r="C7225" s="2">
        <v>24461.15</v>
      </c>
      <c r="D7225" s="2">
        <v>24419.5</v>
      </c>
      <c r="E7225" s="2">
        <v>24526.400000000001</v>
      </c>
      <c r="F7225" s="2">
        <v>24400.65</v>
      </c>
      <c r="G7225" s="3">
        <f t="shared" si="338"/>
        <v>4.7008424139616256E-3</v>
      </c>
      <c r="H7225" s="2">
        <f t="shared" si="336"/>
        <v>125.75</v>
      </c>
      <c r="I7225" s="3">
        <f t="shared" si="337"/>
        <v>5.1495730870820449E-3</v>
      </c>
    </row>
    <row r="7226" spans="2:9" x14ac:dyDescent="0.25">
      <c r="B7226" s="1">
        <v>45783</v>
      </c>
      <c r="C7226" s="2">
        <v>24379.599999999999</v>
      </c>
      <c r="D7226" s="2">
        <v>24500.75</v>
      </c>
      <c r="E7226" s="2">
        <v>24509.65</v>
      </c>
      <c r="F7226" s="2">
        <v>24331.8</v>
      </c>
      <c r="G7226" s="3">
        <f t="shared" si="338"/>
        <v>-3.3338579747886898E-3</v>
      </c>
      <c r="H7226" s="2">
        <f t="shared" si="336"/>
        <v>177.85000000000218</v>
      </c>
      <c r="I7226" s="3">
        <f t="shared" si="337"/>
        <v>7.2589614603635472E-3</v>
      </c>
    </row>
    <row r="7227" spans="2:9" x14ac:dyDescent="0.25">
      <c r="B7227" s="1">
        <v>45784</v>
      </c>
      <c r="C7227" s="2">
        <v>24414.400000000001</v>
      </c>
      <c r="D7227" s="2">
        <v>24233.3</v>
      </c>
      <c r="E7227" s="2">
        <v>24449.599999999999</v>
      </c>
      <c r="F7227" s="2">
        <v>24220</v>
      </c>
      <c r="G7227" s="3">
        <f t="shared" si="338"/>
        <v>1.4274229273656402E-3</v>
      </c>
      <c r="H7227" s="2">
        <f t="shared" si="336"/>
        <v>229.59999999999854</v>
      </c>
      <c r="I7227" s="3">
        <f t="shared" si="337"/>
        <v>9.4745659897743414E-3</v>
      </c>
    </row>
    <row r="7228" spans="2:9" x14ac:dyDescent="0.25">
      <c r="B7228" s="1">
        <v>45785</v>
      </c>
      <c r="C7228" s="2">
        <v>24273.8</v>
      </c>
      <c r="D7228" s="2">
        <v>24431.5</v>
      </c>
      <c r="E7228" s="2">
        <v>24447.25</v>
      </c>
      <c r="F7228" s="2">
        <v>24150.2</v>
      </c>
      <c r="G7228" s="3">
        <f t="shared" si="338"/>
        <v>-5.758896389016388E-3</v>
      </c>
      <c r="H7228" s="2">
        <f t="shared" si="336"/>
        <v>297.04999999999927</v>
      </c>
      <c r="I7228" s="3">
        <f t="shared" si="337"/>
        <v>1.2158483924441776E-2</v>
      </c>
    </row>
    <row r="7229" spans="2:9" x14ac:dyDescent="0.25">
      <c r="B7229" s="1">
        <v>45786</v>
      </c>
      <c r="C7229" s="2">
        <v>24008</v>
      </c>
      <c r="D7229" s="2">
        <v>23935.75</v>
      </c>
      <c r="E7229" s="2">
        <v>24164.25</v>
      </c>
      <c r="F7229" s="2">
        <v>23935.75</v>
      </c>
      <c r="G7229" s="3">
        <f t="shared" si="338"/>
        <v>-1.0950077861727414E-2</v>
      </c>
      <c r="H7229" s="2">
        <f t="shared" si="336"/>
        <v>228.5</v>
      </c>
      <c r="I7229" s="3">
        <f t="shared" si="337"/>
        <v>9.5463898143989638E-3</v>
      </c>
    </row>
    <row r="7230" spans="2:9" x14ac:dyDescent="0.25">
      <c r="B7230" s="1">
        <v>45789</v>
      </c>
      <c r="C7230" s="2">
        <v>24924.7</v>
      </c>
      <c r="D7230" s="2">
        <v>24420.1</v>
      </c>
      <c r="E7230" s="2">
        <v>24944.799999999999</v>
      </c>
      <c r="F7230" s="2">
        <v>24378.85</v>
      </c>
      <c r="G7230" s="3">
        <f t="shared" si="338"/>
        <v>3.8183105631456105E-2</v>
      </c>
      <c r="H7230" s="2">
        <f t="shared" si="336"/>
        <v>565.95000000000073</v>
      </c>
      <c r="I7230" s="3">
        <f t="shared" si="337"/>
        <v>2.3175580771577543E-2</v>
      </c>
    </row>
    <row r="7231" spans="2:9" x14ac:dyDescent="0.25">
      <c r="B7231" s="1">
        <v>45790</v>
      </c>
      <c r="C7231" s="2">
        <v>24578.35</v>
      </c>
      <c r="D7231" s="2">
        <v>24864.05</v>
      </c>
      <c r="E7231" s="2">
        <v>24973.8</v>
      </c>
      <c r="F7231" s="2">
        <v>24547.5</v>
      </c>
      <c r="G7231" s="3">
        <f t="shared" si="338"/>
        <v>-1.3895854313191403E-2</v>
      </c>
      <c r="H7231" s="2">
        <f t="shared" si="336"/>
        <v>426.29999999999927</v>
      </c>
      <c r="I7231" s="3">
        <f t="shared" si="337"/>
        <v>1.7145235792238162E-2</v>
      </c>
    </row>
    <row r="7232" spans="2:9" x14ac:dyDescent="0.25">
      <c r="B7232" s="1">
        <v>45791</v>
      </c>
      <c r="C7232" s="2">
        <v>24666.9</v>
      </c>
      <c r="D7232" s="2">
        <v>24613.8</v>
      </c>
      <c r="E7232" s="2">
        <v>24767.55</v>
      </c>
      <c r="F7232" s="2">
        <v>24535.55</v>
      </c>
      <c r="G7232" s="3">
        <f t="shared" si="338"/>
        <v>3.602764221357635E-3</v>
      </c>
      <c r="H7232" s="2">
        <f t="shared" si="336"/>
        <v>232</v>
      </c>
      <c r="I7232" s="3">
        <f t="shared" si="337"/>
        <v>9.4256067734360405E-3</v>
      </c>
    </row>
    <row r="7233" spans="2:9" x14ac:dyDescent="0.25">
      <c r="B7233" s="1">
        <v>45792</v>
      </c>
      <c r="C7233" s="2">
        <v>25062.1</v>
      </c>
      <c r="D7233" s="2">
        <v>24694.45</v>
      </c>
      <c r="E7233" s="2">
        <v>25116.25</v>
      </c>
      <c r="F7233" s="2">
        <v>24494.45</v>
      </c>
      <c r="G7233" s="3">
        <f t="shared" si="338"/>
        <v>1.6021470067175025E-2</v>
      </c>
      <c r="H7233" s="2">
        <f t="shared" si="336"/>
        <v>621.79999999999927</v>
      </c>
      <c r="I7233" s="3">
        <f t="shared" si="337"/>
        <v>2.517974686619865E-2</v>
      </c>
    </row>
    <row r="7234" spans="2:9" x14ac:dyDescent="0.25">
      <c r="B7234" s="1">
        <v>45793</v>
      </c>
      <c r="C7234" s="2">
        <v>25019.8</v>
      </c>
      <c r="D7234" s="2">
        <v>25064.65</v>
      </c>
      <c r="E7234" s="2">
        <v>25070</v>
      </c>
      <c r="F7234" s="2">
        <v>24953.05</v>
      </c>
      <c r="G7234" s="3">
        <f t="shared" si="338"/>
        <v>-1.6878074862042292E-3</v>
      </c>
      <c r="H7234" s="2">
        <f t="shared" si="336"/>
        <v>116.95000000000073</v>
      </c>
      <c r="I7234" s="3">
        <f t="shared" si="337"/>
        <v>4.6659338949476938E-3</v>
      </c>
    </row>
    <row r="7235" spans="2:9" x14ac:dyDescent="0.25">
      <c r="B7235" s="1">
        <v>45796</v>
      </c>
      <c r="C7235" s="2">
        <v>24945.45</v>
      </c>
      <c r="D7235" s="2">
        <v>25005.35</v>
      </c>
      <c r="E7235" s="2">
        <v>25062.95</v>
      </c>
      <c r="F7235" s="2">
        <v>24916.65</v>
      </c>
      <c r="G7235" s="3">
        <f t="shared" si="338"/>
        <v>-2.9716464560067823E-3</v>
      </c>
      <c r="H7235" s="2">
        <f t="shared" si="336"/>
        <v>146.29999999999927</v>
      </c>
      <c r="I7235" s="3">
        <f t="shared" si="337"/>
        <v>5.8507479399408239E-3</v>
      </c>
    </row>
    <row r="7236" spans="2:9" x14ac:dyDescent="0.25">
      <c r="B7236" s="1">
        <v>45797</v>
      </c>
      <c r="C7236" s="2">
        <v>24683.9</v>
      </c>
      <c r="D7236" s="2">
        <v>24996.2</v>
      </c>
      <c r="E7236" s="2">
        <v>25010.35</v>
      </c>
      <c r="F7236" s="2">
        <v>24669.7</v>
      </c>
      <c r="G7236" s="3">
        <f t="shared" si="338"/>
        <v>-1.0484878003804265E-2</v>
      </c>
      <c r="H7236" s="2">
        <f t="shared" si="336"/>
        <v>340.64999999999782</v>
      </c>
      <c r="I7236" s="3">
        <f t="shared" si="337"/>
        <v>1.3628071466862875E-2</v>
      </c>
    </row>
    <row r="7237" spans="2:9" x14ac:dyDescent="0.25">
      <c r="B7237" s="1">
        <v>45798</v>
      </c>
      <c r="C7237" s="2">
        <v>24813.45</v>
      </c>
      <c r="D7237" s="2">
        <v>24744.25</v>
      </c>
      <c r="E7237" s="2">
        <v>24946.2</v>
      </c>
      <c r="F7237" s="2">
        <v>24685.35</v>
      </c>
      <c r="G7237" s="3">
        <f t="shared" si="338"/>
        <v>5.2483602672186436E-3</v>
      </c>
      <c r="H7237" s="2">
        <f t="shared" ref="H7237:H7300" si="339">E7237-F7237</f>
        <v>260.85000000000218</v>
      </c>
      <c r="I7237" s="3">
        <f t="shared" si="337"/>
        <v>1.0541843054447081E-2</v>
      </c>
    </row>
    <row r="7238" spans="2:9" x14ac:dyDescent="0.25">
      <c r="B7238" s="1">
        <v>45799</v>
      </c>
      <c r="C7238" s="2">
        <v>24609.7</v>
      </c>
      <c r="D7238" s="2">
        <v>24733.95</v>
      </c>
      <c r="E7238" s="2">
        <v>24737.5</v>
      </c>
      <c r="F7238" s="2">
        <v>24462.400000000001</v>
      </c>
      <c r="G7238" s="3">
        <f t="shared" si="338"/>
        <v>-8.2112725155107924E-3</v>
      </c>
      <c r="H7238" s="2">
        <f t="shared" si="339"/>
        <v>275.09999999999854</v>
      </c>
      <c r="I7238" s="3">
        <f t="shared" ref="I7238:I7301" si="340">H7238/D7238</f>
        <v>1.1122364199814366E-2</v>
      </c>
    </row>
    <row r="7239" spans="2:9" x14ac:dyDescent="0.25">
      <c r="B7239" s="1">
        <v>45800</v>
      </c>
      <c r="C7239" s="2">
        <v>24853.15</v>
      </c>
      <c r="D7239" s="2">
        <v>24639.5</v>
      </c>
      <c r="E7239" s="2">
        <v>24909.05</v>
      </c>
      <c r="F7239" s="2">
        <v>24614.05</v>
      </c>
      <c r="G7239" s="3">
        <f t="shared" ref="G7239:G7302" si="341">C7239/C7238-1</f>
        <v>9.8924407855438545E-3</v>
      </c>
      <c r="H7239" s="2">
        <f t="shared" si="339"/>
        <v>295</v>
      </c>
      <c r="I7239" s="3">
        <f t="shared" si="340"/>
        <v>1.1972645548813896E-2</v>
      </c>
    </row>
    <row r="7240" spans="2:9" x14ac:dyDescent="0.25">
      <c r="B7240" s="1">
        <v>45803</v>
      </c>
      <c r="C7240" s="2">
        <v>25001.15</v>
      </c>
      <c r="D7240" s="2">
        <v>24919.35</v>
      </c>
      <c r="E7240" s="2">
        <v>25079.200000000001</v>
      </c>
      <c r="F7240" s="2">
        <v>24900.5</v>
      </c>
      <c r="G7240" s="3">
        <f t="shared" si="341"/>
        <v>5.954979549875894E-3</v>
      </c>
      <c r="H7240" s="2">
        <f t="shared" si="339"/>
        <v>178.70000000000073</v>
      </c>
      <c r="I7240" s="3">
        <f t="shared" si="340"/>
        <v>7.171134078537391E-3</v>
      </c>
    </row>
    <row r="7241" spans="2:9" x14ac:dyDescent="0.25">
      <c r="B7241" s="1">
        <v>45804</v>
      </c>
      <c r="C7241" s="2">
        <v>24826.2</v>
      </c>
      <c r="D7241" s="2">
        <v>24956.65</v>
      </c>
      <c r="E7241" s="2">
        <v>25062.9</v>
      </c>
      <c r="F7241" s="2">
        <v>24704.1</v>
      </c>
      <c r="G7241" s="3">
        <f t="shared" si="341"/>
        <v>-6.9976781068070704E-3</v>
      </c>
      <c r="H7241" s="2">
        <f t="shared" si="339"/>
        <v>358.80000000000291</v>
      </c>
      <c r="I7241" s="3">
        <f t="shared" si="340"/>
        <v>1.4376929595919441E-2</v>
      </c>
    </row>
    <row r="7242" spans="2:9" x14ac:dyDescent="0.25">
      <c r="B7242" s="1">
        <v>45805</v>
      </c>
      <c r="C7242" s="2">
        <v>24752.45</v>
      </c>
      <c r="D7242" s="2">
        <v>24832.5</v>
      </c>
      <c r="E7242" s="2">
        <v>24864.25</v>
      </c>
      <c r="F7242" s="2">
        <v>24737.05</v>
      </c>
      <c r="G7242" s="3">
        <f t="shared" si="341"/>
        <v>-2.9706519725128944E-3</v>
      </c>
      <c r="H7242" s="2">
        <f t="shared" si="339"/>
        <v>127.20000000000073</v>
      </c>
      <c r="I7242" s="3">
        <f t="shared" si="340"/>
        <v>5.1223195409242214E-3</v>
      </c>
    </row>
    <row r="7243" spans="2:9" x14ac:dyDescent="0.25">
      <c r="B7243" s="1">
        <v>45806</v>
      </c>
      <c r="C7243" s="2">
        <v>24833.599999999999</v>
      </c>
      <c r="D7243" s="2">
        <v>24825.1</v>
      </c>
      <c r="E7243" s="2">
        <v>24892.6</v>
      </c>
      <c r="F7243" s="2">
        <v>24677.3</v>
      </c>
      <c r="G7243" s="3">
        <f t="shared" si="341"/>
        <v>3.2784633440325894E-3</v>
      </c>
      <c r="H7243" s="2">
        <f t="shared" si="339"/>
        <v>215.29999999999927</v>
      </c>
      <c r="I7243" s="3">
        <f t="shared" si="340"/>
        <v>8.6726740274963351E-3</v>
      </c>
    </row>
    <row r="7244" spans="2:9" x14ac:dyDescent="0.25">
      <c r="B7244" s="1">
        <v>45807</v>
      </c>
      <c r="C7244" s="2">
        <v>24750.7</v>
      </c>
      <c r="D7244" s="2">
        <v>24812.6</v>
      </c>
      <c r="E7244" s="2">
        <v>24863.95</v>
      </c>
      <c r="F7244" s="2">
        <v>24717.4</v>
      </c>
      <c r="G7244" s="3">
        <f t="shared" si="341"/>
        <v>-3.3382191869080202E-3</v>
      </c>
      <c r="H7244" s="2">
        <f t="shared" si="339"/>
        <v>146.54999999999927</v>
      </c>
      <c r="I7244" s="3">
        <f t="shared" si="340"/>
        <v>5.9062734255982555E-3</v>
      </c>
    </row>
    <row r="7245" spans="2:9" x14ac:dyDescent="0.25">
      <c r="B7245" s="1">
        <v>45810</v>
      </c>
      <c r="C7245" s="2">
        <v>24716.6</v>
      </c>
      <c r="D7245" s="2">
        <v>24669.7</v>
      </c>
      <c r="E7245" s="2">
        <v>24754.400000000001</v>
      </c>
      <c r="F7245" s="2">
        <v>24526.15</v>
      </c>
      <c r="G7245" s="3">
        <f t="shared" si="341"/>
        <v>-1.3777388114276645E-3</v>
      </c>
      <c r="H7245" s="2">
        <f t="shared" si="339"/>
        <v>228.25</v>
      </c>
      <c r="I7245" s="3">
        <f t="shared" si="340"/>
        <v>9.2522406028447846E-3</v>
      </c>
    </row>
    <row r="7246" spans="2:9" x14ac:dyDescent="0.25">
      <c r="B7246" s="1">
        <v>45811</v>
      </c>
      <c r="C7246" s="2">
        <v>24542.5</v>
      </c>
      <c r="D7246" s="2">
        <v>24786.3</v>
      </c>
      <c r="E7246" s="2">
        <v>24845.1</v>
      </c>
      <c r="F7246" s="2">
        <v>24502.15</v>
      </c>
      <c r="G7246" s="3">
        <f t="shared" si="341"/>
        <v>-7.0438490730925229E-3</v>
      </c>
      <c r="H7246" s="2">
        <f t="shared" si="339"/>
        <v>342.94999999999709</v>
      </c>
      <c r="I7246" s="3">
        <f t="shared" si="340"/>
        <v>1.3836272456961994E-2</v>
      </c>
    </row>
    <row r="7247" spans="2:9" x14ac:dyDescent="0.25">
      <c r="B7247" s="1">
        <v>45812</v>
      </c>
      <c r="C7247" s="2">
        <v>24620.2</v>
      </c>
      <c r="D7247" s="2">
        <v>24560.45</v>
      </c>
      <c r="E7247" s="2">
        <v>24644.25</v>
      </c>
      <c r="F7247" s="2">
        <v>24530.45</v>
      </c>
      <c r="G7247" s="3">
        <f t="shared" si="341"/>
        <v>3.1659366405216716E-3</v>
      </c>
      <c r="H7247" s="2">
        <f t="shared" si="339"/>
        <v>113.79999999999927</v>
      </c>
      <c r="I7247" s="3">
        <f t="shared" si="340"/>
        <v>4.6334655920392039E-3</v>
      </c>
    </row>
    <row r="7248" spans="2:9" x14ac:dyDescent="0.25">
      <c r="B7248" s="1">
        <v>45813</v>
      </c>
      <c r="C7248" s="2">
        <v>24750.9</v>
      </c>
      <c r="D7248" s="2">
        <v>24691.200000000001</v>
      </c>
      <c r="E7248" s="2">
        <v>24899.85</v>
      </c>
      <c r="F7248" s="2">
        <v>24613.1</v>
      </c>
      <c r="G7248" s="3">
        <f t="shared" si="341"/>
        <v>5.3086489955402882E-3</v>
      </c>
      <c r="H7248" s="2">
        <f t="shared" si="339"/>
        <v>286.75</v>
      </c>
      <c r="I7248" s="3">
        <f t="shared" si="340"/>
        <v>1.1613449326075687E-2</v>
      </c>
    </row>
    <row r="7249" spans="2:9" x14ac:dyDescent="0.25">
      <c r="B7249" s="1">
        <v>45814</v>
      </c>
      <c r="C7249" s="2">
        <v>25003.05</v>
      </c>
      <c r="D7249" s="2">
        <v>24748.7</v>
      </c>
      <c r="E7249" s="2">
        <v>25029.5</v>
      </c>
      <c r="F7249" s="2">
        <v>24671.45</v>
      </c>
      <c r="G7249" s="3">
        <f t="shared" si="341"/>
        <v>1.0187508333030282E-2</v>
      </c>
      <c r="H7249" s="2">
        <f t="shared" si="339"/>
        <v>358.04999999999927</v>
      </c>
      <c r="I7249" s="3">
        <f t="shared" si="340"/>
        <v>1.4467426571900716E-2</v>
      </c>
    </row>
    <row r="7250" spans="2:9" x14ac:dyDescent="0.25">
      <c r="B7250" s="1">
        <v>45817</v>
      </c>
      <c r="C7250" s="2">
        <v>25103.200000000001</v>
      </c>
      <c r="D7250" s="2">
        <v>25160.1</v>
      </c>
      <c r="E7250" s="2">
        <v>25160.1</v>
      </c>
      <c r="F7250" s="2">
        <v>25077.15</v>
      </c>
      <c r="G7250" s="3">
        <f t="shared" si="341"/>
        <v>4.0055113276180609E-3</v>
      </c>
      <c r="H7250" s="2">
        <f t="shared" si="339"/>
        <v>82.94999999999709</v>
      </c>
      <c r="I7250" s="3">
        <f t="shared" si="340"/>
        <v>3.296886737333997E-3</v>
      </c>
    </row>
    <row r="7251" spans="2:9" x14ac:dyDescent="0.25">
      <c r="B7251" s="1">
        <v>45818</v>
      </c>
      <c r="C7251" s="2">
        <v>25104.25</v>
      </c>
      <c r="D7251" s="2">
        <v>25196.05</v>
      </c>
      <c r="E7251" s="2">
        <v>25199.3</v>
      </c>
      <c r="F7251" s="2">
        <v>25055.45</v>
      </c>
      <c r="G7251" s="3">
        <f t="shared" si="341"/>
        <v>4.1827336753952338E-5</v>
      </c>
      <c r="H7251" s="2">
        <f t="shared" si="339"/>
        <v>143.84999999999854</v>
      </c>
      <c r="I7251" s="3">
        <f t="shared" si="340"/>
        <v>5.7092282322030062E-3</v>
      </c>
    </row>
    <row r="7252" spans="2:9" x14ac:dyDescent="0.25">
      <c r="B7252" s="1">
        <v>45819</v>
      </c>
      <c r="C7252" s="2">
        <v>25141.4</v>
      </c>
      <c r="D7252" s="2">
        <v>25134.15</v>
      </c>
      <c r="E7252" s="2">
        <v>25222.400000000001</v>
      </c>
      <c r="F7252" s="2">
        <v>25081.3</v>
      </c>
      <c r="G7252" s="3">
        <f t="shared" si="341"/>
        <v>1.4798291126005836E-3</v>
      </c>
      <c r="H7252" s="2">
        <f t="shared" si="339"/>
        <v>141.10000000000218</v>
      </c>
      <c r="I7252" s="3">
        <f t="shared" si="340"/>
        <v>5.6138759416969409E-3</v>
      </c>
    </row>
    <row r="7253" spans="2:9" x14ac:dyDescent="0.25">
      <c r="B7253" s="1">
        <v>45820</v>
      </c>
      <c r="C7253" s="2">
        <v>24888.2</v>
      </c>
      <c r="D7253" s="2">
        <v>25164.45</v>
      </c>
      <c r="E7253" s="2">
        <v>25196.2</v>
      </c>
      <c r="F7253" s="2">
        <v>24825.9</v>
      </c>
      <c r="G7253" s="3">
        <f t="shared" si="341"/>
        <v>-1.0071038207896121E-2</v>
      </c>
      <c r="H7253" s="2">
        <f t="shared" si="339"/>
        <v>370.29999999999927</v>
      </c>
      <c r="I7253" s="3">
        <f t="shared" si="340"/>
        <v>1.4715203392086823E-2</v>
      </c>
    </row>
    <row r="7254" spans="2:9" x14ac:dyDescent="0.25">
      <c r="B7254" s="1">
        <v>45821</v>
      </c>
      <c r="C7254" s="2">
        <v>24718.6</v>
      </c>
      <c r="D7254" s="2">
        <v>24473</v>
      </c>
      <c r="E7254" s="2">
        <v>24754.35</v>
      </c>
      <c r="F7254" s="2">
        <v>24473</v>
      </c>
      <c r="G7254" s="3">
        <f t="shared" si="341"/>
        <v>-6.8144743292002374E-3</v>
      </c>
      <c r="H7254" s="2">
        <f t="shared" si="339"/>
        <v>281.34999999999854</v>
      </c>
      <c r="I7254" s="3">
        <f t="shared" si="340"/>
        <v>1.1496342908511361E-2</v>
      </c>
    </row>
    <row r="7255" spans="2:9" x14ac:dyDescent="0.25">
      <c r="B7255" s="1">
        <v>45824</v>
      </c>
      <c r="C7255" s="2">
        <v>24946.5</v>
      </c>
      <c r="D7255" s="2">
        <v>24732.35</v>
      </c>
      <c r="E7255" s="2">
        <v>24967.1</v>
      </c>
      <c r="F7255" s="2">
        <v>24703.599999999999</v>
      </c>
      <c r="G7255" s="3">
        <f t="shared" si="341"/>
        <v>9.2197778191323021E-3</v>
      </c>
      <c r="H7255" s="2">
        <f t="shared" si="339"/>
        <v>263.5</v>
      </c>
      <c r="I7255" s="3">
        <f t="shared" si="340"/>
        <v>1.0654062391968415E-2</v>
      </c>
    </row>
    <row r="7256" spans="2:9" x14ac:dyDescent="0.25">
      <c r="B7256" s="1">
        <v>45825</v>
      </c>
      <c r="C7256" s="2">
        <v>24853.4</v>
      </c>
      <c r="D7256" s="2">
        <v>24977.85</v>
      </c>
      <c r="E7256" s="2">
        <v>24982.05</v>
      </c>
      <c r="F7256" s="2">
        <v>24813.7</v>
      </c>
      <c r="G7256" s="3">
        <f t="shared" si="341"/>
        <v>-3.7319864510051426E-3</v>
      </c>
      <c r="H7256" s="2">
        <f t="shared" si="339"/>
        <v>168.34999999999854</v>
      </c>
      <c r="I7256" s="3">
        <f t="shared" si="340"/>
        <v>6.7399716148506999E-3</v>
      </c>
    </row>
    <row r="7257" spans="2:9" x14ac:dyDescent="0.25">
      <c r="B7257" s="1">
        <v>45826</v>
      </c>
      <c r="C7257" s="2">
        <v>24812.05</v>
      </c>
      <c r="D7257" s="2">
        <v>24788.35</v>
      </c>
      <c r="E7257" s="2">
        <v>24947.55</v>
      </c>
      <c r="F7257" s="2">
        <v>24750.45</v>
      </c>
      <c r="G7257" s="3">
        <f t="shared" si="341"/>
        <v>-1.6637562667483063E-3</v>
      </c>
      <c r="H7257" s="2">
        <f t="shared" si="339"/>
        <v>197.09999999999854</v>
      </c>
      <c r="I7257" s="3">
        <f t="shared" si="340"/>
        <v>7.9513158399005402E-3</v>
      </c>
    </row>
    <row r="7258" spans="2:9" x14ac:dyDescent="0.25">
      <c r="B7258" s="1">
        <v>45827</v>
      </c>
      <c r="C7258" s="2">
        <v>24793.25</v>
      </c>
      <c r="D7258" s="2">
        <v>24803.25</v>
      </c>
      <c r="E7258" s="2">
        <v>24863.1</v>
      </c>
      <c r="F7258" s="2">
        <v>24733.4</v>
      </c>
      <c r="G7258" s="3">
        <f t="shared" si="341"/>
        <v>-7.5769636124378703E-4</v>
      </c>
      <c r="H7258" s="2">
        <f t="shared" si="339"/>
        <v>129.69999999999709</v>
      </c>
      <c r="I7258" s="3">
        <f t="shared" si="340"/>
        <v>5.2291534375534287E-3</v>
      </c>
    </row>
    <row r="7259" spans="2:9" x14ac:dyDescent="0.25">
      <c r="B7259" s="1">
        <v>45828</v>
      </c>
      <c r="C7259" s="2">
        <v>25112.400000000001</v>
      </c>
      <c r="D7259" s="2">
        <v>24787.65</v>
      </c>
      <c r="E7259" s="2">
        <v>25136.2</v>
      </c>
      <c r="F7259" s="2">
        <v>24783.65</v>
      </c>
      <c r="G7259" s="3">
        <f t="shared" si="341"/>
        <v>1.2872455204541611E-2</v>
      </c>
      <c r="H7259" s="2">
        <f t="shared" si="339"/>
        <v>352.54999999999927</v>
      </c>
      <c r="I7259" s="3">
        <f t="shared" si="340"/>
        <v>1.4222808535702226E-2</v>
      </c>
    </row>
    <row r="7260" spans="2:9" x14ac:dyDescent="0.25">
      <c r="B7260" s="1">
        <v>45831</v>
      </c>
      <c r="C7260" s="2">
        <v>24971.9</v>
      </c>
      <c r="D7260" s="2">
        <v>24939.75</v>
      </c>
      <c r="E7260" s="2">
        <v>25057</v>
      </c>
      <c r="F7260" s="2">
        <v>24824.85</v>
      </c>
      <c r="G7260" s="3">
        <f t="shared" si="341"/>
        <v>-5.594845574297902E-3</v>
      </c>
      <c r="H7260" s="2">
        <f t="shared" si="339"/>
        <v>232.15000000000146</v>
      </c>
      <c r="I7260" s="3">
        <f t="shared" si="340"/>
        <v>9.3084333243116501E-3</v>
      </c>
    </row>
    <row r="7261" spans="2:9" x14ac:dyDescent="0.25">
      <c r="B7261" s="1">
        <v>45832</v>
      </c>
      <c r="C7261" s="2">
        <v>25044.35</v>
      </c>
      <c r="D7261" s="2">
        <v>25179.9</v>
      </c>
      <c r="E7261" s="2">
        <v>25317.7</v>
      </c>
      <c r="F7261" s="2">
        <v>24999.7</v>
      </c>
      <c r="G7261" s="3">
        <f t="shared" si="341"/>
        <v>2.9012610173835274E-3</v>
      </c>
      <c r="H7261" s="2">
        <f t="shared" si="339"/>
        <v>318</v>
      </c>
      <c r="I7261" s="3">
        <f t="shared" si="340"/>
        <v>1.2629120846389381E-2</v>
      </c>
    </row>
    <row r="7262" spans="2:9" x14ac:dyDescent="0.25">
      <c r="B7262" s="1">
        <v>45833</v>
      </c>
      <c r="C7262" s="2">
        <v>25244.75</v>
      </c>
      <c r="D7262" s="2">
        <v>25150.35</v>
      </c>
      <c r="E7262" s="2">
        <v>25266.799999999999</v>
      </c>
      <c r="F7262" s="2">
        <v>25125.05</v>
      </c>
      <c r="G7262" s="3">
        <f t="shared" si="341"/>
        <v>8.001804798287937E-3</v>
      </c>
      <c r="H7262" s="2">
        <f t="shared" si="339"/>
        <v>141.75</v>
      </c>
      <c r="I7262" s="3">
        <f t="shared" si="340"/>
        <v>5.636104467731066E-3</v>
      </c>
    </row>
    <row r="7263" spans="2:9" x14ac:dyDescent="0.25">
      <c r="B7263" s="1">
        <v>45834</v>
      </c>
      <c r="C7263" s="2">
        <v>25549</v>
      </c>
      <c r="D7263" s="2">
        <v>25268.95</v>
      </c>
      <c r="E7263" s="2">
        <v>25565.3</v>
      </c>
      <c r="F7263" s="2">
        <v>25259.9</v>
      </c>
      <c r="G7263" s="3">
        <f t="shared" si="341"/>
        <v>1.2052010814129765E-2</v>
      </c>
      <c r="H7263" s="2">
        <f t="shared" si="339"/>
        <v>305.39999999999782</v>
      </c>
      <c r="I7263" s="3">
        <f t="shared" si="340"/>
        <v>1.2085979037514334E-2</v>
      </c>
    </row>
    <row r="7264" spans="2:9" x14ac:dyDescent="0.25">
      <c r="B7264" s="1">
        <v>45835</v>
      </c>
      <c r="C7264" s="2">
        <v>25637.8</v>
      </c>
      <c r="D7264" s="2">
        <v>25576.65</v>
      </c>
      <c r="E7264" s="2">
        <v>25654.2</v>
      </c>
      <c r="F7264" s="2">
        <v>25523.55</v>
      </c>
      <c r="G7264" s="3">
        <f t="shared" si="341"/>
        <v>3.4756741946846414E-3</v>
      </c>
      <c r="H7264" s="2">
        <f t="shared" si="339"/>
        <v>130.65000000000146</v>
      </c>
      <c r="I7264" s="3">
        <f t="shared" si="340"/>
        <v>5.1081748391599933E-3</v>
      </c>
    </row>
    <row r="7265" spans="2:9" x14ac:dyDescent="0.25">
      <c r="B7265" s="1">
        <v>45838</v>
      </c>
      <c r="C7265" s="2">
        <v>25517.05</v>
      </c>
      <c r="D7265" s="2">
        <v>25661.65</v>
      </c>
      <c r="E7265" s="2">
        <v>25669.35</v>
      </c>
      <c r="F7265" s="2">
        <v>25473.3</v>
      </c>
      <c r="G7265" s="3">
        <f t="shared" si="341"/>
        <v>-4.7098424981862896E-3</v>
      </c>
      <c r="H7265" s="2">
        <f t="shared" si="339"/>
        <v>196.04999999999927</v>
      </c>
      <c r="I7265" s="3">
        <f t="shared" si="340"/>
        <v>7.6398049229102283E-3</v>
      </c>
    </row>
    <row r="7266" spans="2:9" x14ac:dyDescent="0.25">
      <c r="B7266" s="1">
        <v>45839</v>
      </c>
      <c r="C7266" s="2">
        <v>25541.8</v>
      </c>
      <c r="D7266" s="2">
        <v>25551.35</v>
      </c>
      <c r="E7266" s="2">
        <v>25593.4</v>
      </c>
      <c r="F7266" s="2">
        <v>25501.8</v>
      </c>
      <c r="G7266" s="3">
        <f t="shared" si="341"/>
        <v>9.6993970698022736E-4</v>
      </c>
      <c r="H7266" s="2">
        <f t="shared" si="339"/>
        <v>91.600000000002183</v>
      </c>
      <c r="I7266" s="3">
        <f t="shared" si="340"/>
        <v>3.5849377821524963E-3</v>
      </c>
    </row>
    <row r="7267" spans="2:9" x14ac:dyDescent="0.25">
      <c r="B7267" s="1">
        <v>45840</v>
      </c>
      <c r="C7267" s="2">
        <v>25453.4</v>
      </c>
      <c r="D7267" s="2">
        <v>25588.3</v>
      </c>
      <c r="E7267" s="2">
        <v>25608.1</v>
      </c>
      <c r="F7267" s="2">
        <v>25378.75</v>
      </c>
      <c r="G7267" s="3">
        <f t="shared" si="341"/>
        <v>-3.4609933520737268E-3</v>
      </c>
      <c r="H7267" s="2">
        <f t="shared" si="339"/>
        <v>229.34999999999854</v>
      </c>
      <c r="I7267" s="3">
        <f t="shared" si="340"/>
        <v>8.9630807830140546E-3</v>
      </c>
    </row>
    <row r="7268" spans="2:9" x14ac:dyDescent="0.25">
      <c r="B7268" s="1">
        <v>45841</v>
      </c>
      <c r="C7268" s="2">
        <v>25405.3</v>
      </c>
      <c r="D7268" s="2">
        <v>25505.1</v>
      </c>
      <c r="E7268" s="2">
        <v>25587.5</v>
      </c>
      <c r="F7268" s="2">
        <v>25384.35</v>
      </c>
      <c r="G7268" s="3">
        <f t="shared" si="341"/>
        <v>-1.8897278948981633E-3</v>
      </c>
      <c r="H7268" s="2">
        <f t="shared" si="339"/>
        <v>203.15000000000146</v>
      </c>
      <c r="I7268" s="3">
        <f t="shared" si="340"/>
        <v>7.9650736519363361E-3</v>
      </c>
    </row>
    <row r="7269" spans="2:9" x14ac:dyDescent="0.25">
      <c r="B7269" s="1">
        <v>45842</v>
      </c>
      <c r="C7269" s="2">
        <v>25461</v>
      </c>
      <c r="D7269" s="2">
        <v>25428.85</v>
      </c>
      <c r="E7269" s="2">
        <v>25470.25</v>
      </c>
      <c r="F7269" s="2">
        <v>25331.65</v>
      </c>
      <c r="G7269" s="3">
        <f t="shared" si="341"/>
        <v>2.1924559048702719E-3</v>
      </c>
      <c r="H7269" s="2">
        <f t="shared" si="339"/>
        <v>138.59999999999854</v>
      </c>
      <c r="I7269" s="3">
        <f t="shared" si="340"/>
        <v>5.4505020871961785E-3</v>
      </c>
    </row>
    <row r="7270" spans="2:9" x14ac:dyDescent="0.25">
      <c r="B7270" s="1">
        <v>45845</v>
      </c>
      <c r="C7270" s="2">
        <v>25461.3</v>
      </c>
      <c r="D7270" s="2">
        <v>25450.45</v>
      </c>
      <c r="E7270" s="2">
        <v>25489.8</v>
      </c>
      <c r="F7270" s="2">
        <v>25407.25</v>
      </c>
      <c r="G7270" s="3">
        <f t="shared" si="341"/>
        <v>1.1782726522913123E-5</v>
      </c>
      <c r="H7270" s="2">
        <f t="shared" si="339"/>
        <v>82.549999999999272</v>
      </c>
      <c r="I7270" s="3">
        <f t="shared" si="340"/>
        <v>3.2435575795319639E-3</v>
      </c>
    </row>
    <row r="7271" spans="2:9" x14ac:dyDescent="0.25">
      <c r="B7271" s="1">
        <v>45846</v>
      </c>
      <c r="C7271" s="2">
        <v>25522.5</v>
      </c>
      <c r="D7271" s="2">
        <v>25427.85</v>
      </c>
      <c r="E7271" s="2">
        <v>25548.05</v>
      </c>
      <c r="F7271" s="2">
        <v>25424.15</v>
      </c>
      <c r="G7271" s="3">
        <f t="shared" si="341"/>
        <v>2.403647889149374E-3</v>
      </c>
      <c r="H7271" s="2">
        <f t="shared" si="339"/>
        <v>123.89999999999782</v>
      </c>
      <c r="I7271" s="3">
        <f t="shared" si="340"/>
        <v>4.8726101498946161E-3</v>
      </c>
    </row>
    <row r="7272" spans="2:9" x14ac:dyDescent="0.25">
      <c r="B7272" s="1">
        <v>45847</v>
      </c>
      <c r="C7272" s="2">
        <v>25476.1</v>
      </c>
      <c r="D7272" s="2">
        <v>25514.6</v>
      </c>
      <c r="E7272" s="2">
        <v>25548.7</v>
      </c>
      <c r="F7272" s="2">
        <v>25424.35</v>
      </c>
      <c r="G7272" s="3">
        <f t="shared" si="341"/>
        <v>-1.8180037222059742E-3</v>
      </c>
      <c r="H7272" s="2">
        <f t="shared" si="339"/>
        <v>124.35000000000218</v>
      </c>
      <c r="I7272" s="3">
        <f t="shared" si="340"/>
        <v>4.8736801674336338E-3</v>
      </c>
    </row>
    <row r="7273" spans="2:9" x14ac:dyDescent="0.25">
      <c r="B7273" s="1">
        <v>45848</v>
      </c>
      <c r="C7273" s="2">
        <v>25355.25</v>
      </c>
      <c r="D7273" s="2">
        <v>25511.65</v>
      </c>
      <c r="E7273" s="2">
        <v>25524.05</v>
      </c>
      <c r="F7273" s="2">
        <v>25340.45</v>
      </c>
      <c r="G7273" s="3">
        <f t="shared" si="341"/>
        <v>-4.7436617064621212E-3</v>
      </c>
      <c r="H7273" s="2">
        <f t="shared" si="339"/>
        <v>183.59999999999854</v>
      </c>
      <c r="I7273" s="3">
        <f t="shared" si="340"/>
        <v>7.1967120903586607E-3</v>
      </c>
    </row>
    <row r="7274" spans="2:9" x14ac:dyDescent="0.25">
      <c r="B7274" s="1">
        <v>45849</v>
      </c>
      <c r="C7274" s="2">
        <v>25149.85</v>
      </c>
      <c r="D7274" s="2">
        <v>25255.5</v>
      </c>
      <c r="E7274" s="2">
        <v>25322.45</v>
      </c>
      <c r="F7274" s="2">
        <v>25129</v>
      </c>
      <c r="G7274" s="3">
        <f t="shared" si="341"/>
        <v>-8.1008864041963724E-3</v>
      </c>
      <c r="H7274" s="2">
        <f t="shared" si="339"/>
        <v>193.45000000000073</v>
      </c>
      <c r="I7274" s="3">
        <f t="shared" si="340"/>
        <v>7.6597176852567055E-3</v>
      </c>
    </row>
    <row r="7275" spans="2:9" x14ac:dyDescent="0.25">
      <c r="B7275" s="1">
        <v>45852</v>
      </c>
      <c r="C7275" s="2">
        <v>25082.3</v>
      </c>
      <c r="D7275" s="2">
        <v>25149.5</v>
      </c>
      <c r="E7275" s="2">
        <v>25151.1</v>
      </c>
      <c r="F7275" s="2">
        <v>25001.95</v>
      </c>
      <c r="G7275" s="3">
        <f t="shared" si="341"/>
        <v>-2.68590071113739E-3</v>
      </c>
      <c r="H7275" s="2">
        <f t="shared" si="339"/>
        <v>149.14999999999782</v>
      </c>
      <c r="I7275" s="3">
        <f t="shared" si="340"/>
        <v>5.9305353983179713E-3</v>
      </c>
    </row>
    <row r="7276" spans="2:9" x14ac:dyDescent="0.25">
      <c r="B7276" s="1">
        <v>45853</v>
      </c>
      <c r="C7276" s="2">
        <v>25195.8</v>
      </c>
      <c r="D7276" s="2">
        <v>25089.5</v>
      </c>
      <c r="E7276" s="2">
        <v>25245.200000000001</v>
      </c>
      <c r="F7276" s="2">
        <v>25088.45</v>
      </c>
      <c r="G7276" s="3">
        <f t="shared" si="341"/>
        <v>4.5251033597397683E-3</v>
      </c>
      <c r="H7276" s="2">
        <f t="shared" si="339"/>
        <v>156.75</v>
      </c>
      <c r="I7276" s="3">
        <f t="shared" si="340"/>
        <v>6.2476334721696331E-3</v>
      </c>
    </row>
    <row r="7277" spans="2:9" x14ac:dyDescent="0.25">
      <c r="B7277" s="1">
        <v>45854</v>
      </c>
      <c r="C7277" s="2">
        <v>25212.05</v>
      </c>
      <c r="D7277" s="2">
        <v>25196.6</v>
      </c>
      <c r="E7277" s="2">
        <v>25255.3</v>
      </c>
      <c r="F7277" s="2">
        <v>25121.05</v>
      </c>
      <c r="G7277" s="3">
        <f t="shared" si="341"/>
        <v>6.4494876130138934E-4</v>
      </c>
      <c r="H7277" s="2">
        <f t="shared" si="339"/>
        <v>134.25</v>
      </c>
      <c r="I7277" s="3">
        <f t="shared" si="340"/>
        <v>5.3280998229919916E-3</v>
      </c>
    </row>
    <row r="7278" spans="2:9" x14ac:dyDescent="0.25">
      <c r="B7278" s="1">
        <v>45855</v>
      </c>
      <c r="C7278" s="2">
        <v>25111.45</v>
      </c>
      <c r="D7278" s="2">
        <v>25230.75</v>
      </c>
      <c r="E7278" s="2">
        <v>25238.35</v>
      </c>
      <c r="F7278" s="2">
        <v>25101</v>
      </c>
      <c r="G7278" s="3">
        <f t="shared" si="341"/>
        <v>-3.9901555010400935E-3</v>
      </c>
      <c r="H7278" s="2">
        <f t="shared" si="339"/>
        <v>137.34999999999854</v>
      </c>
      <c r="I7278" s="3">
        <f t="shared" si="340"/>
        <v>5.4437541492027997E-3</v>
      </c>
    </row>
    <row r="7279" spans="2:9" x14ac:dyDescent="0.25">
      <c r="B7279" s="1">
        <v>45856</v>
      </c>
      <c r="C7279" s="2">
        <v>24968.400000000001</v>
      </c>
      <c r="D7279" s="2">
        <v>25108.55</v>
      </c>
      <c r="E7279" s="2">
        <v>25144.6</v>
      </c>
      <c r="F7279" s="2">
        <v>24918.65</v>
      </c>
      <c r="G7279" s="3">
        <f t="shared" si="341"/>
        <v>-5.6966045369741813E-3</v>
      </c>
      <c r="H7279" s="2">
        <f t="shared" si="339"/>
        <v>225.94999999999709</v>
      </c>
      <c r="I7279" s="3">
        <f t="shared" si="340"/>
        <v>8.9989266604402519E-3</v>
      </c>
    </row>
    <row r="7280" spans="2:9" x14ac:dyDescent="0.25">
      <c r="B7280" s="1">
        <v>45859</v>
      </c>
      <c r="C7280" s="2">
        <v>25090.7</v>
      </c>
      <c r="D7280" s="2">
        <v>24999</v>
      </c>
      <c r="E7280" s="2">
        <v>25111.4</v>
      </c>
      <c r="F7280" s="2">
        <v>24882.3</v>
      </c>
      <c r="G7280" s="3">
        <f t="shared" si="341"/>
        <v>4.8981913138206323E-3</v>
      </c>
      <c r="H7280" s="2">
        <f t="shared" si="339"/>
        <v>229.10000000000218</v>
      </c>
      <c r="I7280" s="3">
        <f t="shared" si="340"/>
        <v>9.1643665746630742E-3</v>
      </c>
    </row>
    <row r="7281" spans="2:9" x14ac:dyDescent="0.25">
      <c r="B7281" s="1">
        <v>45860</v>
      </c>
      <c r="C7281" s="2">
        <v>25060.9</v>
      </c>
      <c r="D7281" s="2">
        <v>25166.65</v>
      </c>
      <c r="E7281" s="2">
        <v>25182</v>
      </c>
      <c r="F7281" s="2">
        <v>25035.55</v>
      </c>
      <c r="G7281" s="3">
        <f t="shared" si="341"/>
        <v>-1.1876910568456855E-3</v>
      </c>
      <c r="H7281" s="2">
        <f t="shared" si="339"/>
        <v>146.45000000000073</v>
      </c>
      <c r="I7281" s="3">
        <f t="shared" si="340"/>
        <v>5.8192091517941689E-3</v>
      </c>
    </row>
    <row r="7282" spans="2:9" x14ac:dyDescent="0.25">
      <c r="B7282" s="1">
        <v>45861</v>
      </c>
      <c r="C7282" s="2">
        <v>25219.9</v>
      </c>
      <c r="D7282" s="2">
        <v>25139.35</v>
      </c>
      <c r="E7282" s="2">
        <v>25233.5</v>
      </c>
      <c r="F7282" s="2">
        <v>25085.5</v>
      </c>
      <c r="G7282" s="3">
        <f t="shared" si="341"/>
        <v>6.3445446891372548E-3</v>
      </c>
      <c r="H7282" s="2">
        <f t="shared" si="339"/>
        <v>148</v>
      </c>
      <c r="I7282" s="3">
        <f t="shared" si="340"/>
        <v>5.8871848317478383E-3</v>
      </c>
    </row>
    <row r="7283" spans="2:9" x14ac:dyDescent="0.25">
      <c r="B7283" s="1">
        <v>45862</v>
      </c>
      <c r="C7283" s="2">
        <v>25062.1</v>
      </c>
      <c r="D7283" s="2">
        <v>25243.3</v>
      </c>
      <c r="E7283" s="2">
        <v>25246.25</v>
      </c>
      <c r="F7283" s="2">
        <v>25018.7</v>
      </c>
      <c r="G7283" s="3">
        <f t="shared" si="341"/>
        <v>-6.2569637468825601E-3</v>
      </c>
      <c r="H7283" s="2">
        <f t="shared" si="339"/>
        <v>227.54999999999927</v>
      </c>
      <c r="I7283" s="3">
        <f t="shared" si="340"/>
        <v>9.0142730942467612E-3</v>
      </c>
    </row>
    <row r="7284" spans="2:9" x14ac:dyDescent="0.25">
      <c r="B7284" s="1">
        <v>45863</v>
      </c>
      <c r="C7284" s="2">
        <v>24837</v>
      </c>
      <c r="D7284" s="2">
        <v>25010.35</v>
      </c>
      <c r="E7284" s="2">
        <v>25010.35</v>
      </c>
      <c r="F7284" s="2">
        <v>24806.35</v>
      </c>
      <c r="G7284" s="3">
        <f t="shared" si="341"/>
        <v>-8.9816894833233407E-3</v>
      </c>
      <c r="H7284" s="2">
        <f t="shared" si="339"/>
        <v>204</v>
      </c>
      <c r="I7284" s="3">
        <f t="shared" si="340"/>
        <v>8.1566231580125839E-3</v>
      </c>
    </row>
    <row r="7285" spans="2:9" x14ac:dyDescent="0.25">
      <c r="B7285" s="1">
        <v>45866</v>
      </c>
      <c r="C7285" s="2">
        <v>24680.9</v>
      </c>
      <c r="D7285" s="2">
        <v>24782.45</v>
      </c>
      <c r="E7285" s="2">
        <v>24889.200000000001</v>
      </c>
      <c r="F7285" s="2">
        <v>24646.6</v>
      </c>
      <c r="G7285" s="3">
        <f t="shared" si="341"/>
        <v>-6.2849780569311786E-3</v>
      </c>
      <c r="H7285" s="2">
        <f t="shared" si="339"/>
        <v>242.60000000000218</v>
      </c>
      <c r="I7285" s="3">
        <f t="shared" si="340"/>
        <v>9.7891854921528E-3</v>
      </c>
    </row>
    <row r="7286" spans="2:9" x14ac:dyDescent="0.25">
      <c r="B7286" s="1">
        <v>45867</v>
      </c>
      <c r="C7286" s="2">
        <v>24821.1</v>
      </c>
      <c r="D7286" s="2">
        <v>24609.65</v>
      </c>
      <c r="E7286" s="2">
        <v>24847.15</v>
      </c>
      <c r="F7286" s="2">
        <v>24598.6</v>
      </c>
      <c r="G7286" s="3">
        <f t="shared" si="341"/>
        <v>5.6805059783069378E-3</v>
      </c>
      <c r="H7286" s="2">
        <f t="shared" si="339"/>
        <v>248.55000000000291</v>
      </c>
      <c r="I7286" s="3">
        <f t="shared" si="340"/>
        <v>1.009969666370724E-2</v>
      </c>
    </row>
    <row r="7287" spans="2:9" x14ac:dyDescent="0.25">
      <c r="B7287" s="1">
        <v>45868</v>
      </c>
      <c r="C7287" s="2">
        <v>24855.05</v>
      </c>
      <c r="D7287" s="2">
        <v>24890.400000000001</v>
      </c>
      <c r="E7287" s="2">
        <v>24902.3</v>
      </c>
      <c r="F7287" s="2">
        <v>24771.95</v>
      </c>
      <c r="G7287" s="3">
        <f t="shared" si="341"/>
        <v>1.3677878901419138E-3</v>
      </c>
      <c r="H7287" s="2">
        <f t="shared" si="339"/>
        <v>130.34999999999854</v>
      </c>
      <c r="I7287" s="3">
        <f t="shared" si="340"/>
        <v>5.2369588274997006E-3</v>
      </c>
    </row>
    <row r="7288" spans="2:9" x14ac:dyDescent="0.25">
      <c r="B7288" s="1">
        <v>45869</v>
      </c>
      <c r="C7288" s="2">
        <v>24768.35</v>
      </c>
      <c r="D7288" s="2">
        <v>24642.25</v>
      </c>
      <c r="E7288" s="2">
        <v>24956.5</v>
      </c>
      <c r="F7288" s="2">
        <v>24635</v>
      </c>
      <c r="G7288" s="3">
        <f t="shared" si="341"/>
        <v>-3.4882247269669708E-3</v>
      </c>
      <c r="H7288" s="2">
        <f t="shared" si="339"/>
        <v>321.5</v>
      </c>
      <c r="I7288" s="3">
        <f t="shared" si="340"/>
        <v>1.3046698251985919E-2</v>
      </c>
    </row>
    <row r="7289" spans="2:9" x14ac:dyDescent="0.25">
      <c r="B7289" s="1">
        <v>45870</v>
      </c>
      <c r="C7289" s="2">
        <v>24565.35</v>
      </c>
      <c r="D7289" s="2">
        <v>24734.9</v>
      </c>
      <c r="E7289" s="2">
        <v>24784.15</v>
      </c>
      <c r="F7289" s="2">
        <v>24535.05</v>
      </c>
      <c r="G7289" s="3">
        <f t="shared" si="341"/>
        <v>-8.195943613522938E-3</v>
      </c>
      <c r="H7289" s="2">
        <f t="shared" si="339"/>
        <v>249.10000000000218</v>
      </c>
      <c r="I7289" s="3">
        <f t="shared" si="340"/>
        <v>1.0070790664203298E-2</v>
      </c>
    </row>
    <row r="7290" spans="2:9" x14ac:dyDescent="0.25">
      <c r="B7290" s="1">
        <v>45873</v>
      </c>
      <c r="C7290" s="2">
        <v>24722.75</v>
      </c>
      <c r="D7290" s="2">
        <v>24596.05</v>
      </c>
      <c r="E7290" s="2">
        <v>24736.25</v>
      </c>
      <c r="F7290" s="2">
        <v>24554</v>
      </c>
      <c r="G7290" s="3">
        <f t="shared" si="341"/>
        <v>6.4073990397044422E-3</v>
      </c>
      <c r="H7290" s="2">
        <f t="shared" si="339"/>
        <v>182.25</v>
      </c>
      <c r="I7290" s="3">
        <f t="shared" si="340"/>
        <v>7.4097263585006538E-3</v>
      </c>
    </row>
    <row r="7291" spans="2:9" x14ac:dyDescent="0.25">
      <c r="B7291" s="1">
        <v>45874</v>
      </c>
      <c r="C7291" s="2">
        <v>24649.55</v>
      </c>
      <c r="D7291" s="2">
        <v>24720.25</v>
      </c>
      <c r="E7291" s="2">
        <v>24733.1</v>
      </c>
      <c r="F7291" s="2">
        <v>24590.3</v>
      </c>
      <c r="G7291" s="3">
        <f t="shared" si="341"/>
        <v>-2.9608356675532299E-3</v>
      </c>
      <c r="H7291" s="2">
        <f t="shared" si="339"/>
        <v>142.79999999999927</v>
      </c>
      <c r="I7291" s="3">
        <f t="shared" si="340"/>
        <v>5.776640608408057E-3</v>
      </c>
    </row>
    <row r="7292" spans="2:9" x14ac:dyDescent="0.25">
      <c r="B7292" s="1">
        <v>45875</v>
      </c>
      <c r="C7292" s="2">
        <v>24574.2</v>
      </c>
      <c r="D7292" s="2">
        <v>24641.35</v>
      </c>
      <c r="E7292" s="2">
        <v>24671.4</v>
      </c>
      <c r="F7292" s="2">
        <v>24539.200000000001</v>
      </c>
      <c r="G7292" s="3">
        <f t="shared" si="341"/>
        <v>-3.0568509364268248E-3</v>
      </c>
      <c r="H7292" s="2">
        <f t="shared" si="339"/>
        <v>132.20000000000073</v>
      </c>
      <c r="I7292" s="3">
        <f t="shared" si="340"/>
        <v>5.3649657993576141E-3</v>
      </c>
    </row>
    <row r="7293" spans="2:9" x14ac:dyDescent="0.25">
      <c r="B7293" s="1">
        <v>45876</v>
      </c>
      <c r="C7293" s="2">
        <v>24596.15</v>
      </c>
      <c r="D7293" s="2">
        <v>24464.2</v>
      </c>
      <c r="E7293" s="2">
        <v>24634.2</v>
      </c>
      <c r="F7293" s="2">
        <v>24344.15</v>
      </c>
      <c r="G7293" s="3">
        <f t="shared" si="341"/>
        <v>8.9321320734758736E-4</v>
      </c>
      <c r="H7293" s="2">
        <f t="shared" si="339"/>
        <v>290.04999999999927</v>
      </c>
      <c r="I7293" s="3">
        <f t="shared" si="340"/>
        <v>1.1856099933780759E-2</v>
      </c>
    </row>
    <row r="7294" spans="2:9" x14ac:dyDescent="0.25">
      <c r="B7294" s="1">
        <v>45877</v>
      </c>
      <c r="C7294" s="2">
        <v>24363.3</v>
      </c>
      <c r="D7294" s="2">
        <v>24544.25</v>
      </c>
      <c r="E7294" s="2">
        <v>24585.5</v>
      </c>
      <c r="F7294" s="2">
        <v>24337.5</v>
      </c>
      <c r="G7294" s="3">
        <f t="shared" si="341"/>
        <v>-9.4669287673071478E-3</v>
      </c>
      <c r="H7294" s="2">
        <f t="shared" si="339"/>
        <v>248</v>
      </c>
      <c r="I7294" s="3">
        <f t="shared" si="340"/>
        <v>1.0104199557941269E-2</v>
      </c>
    </row>
    <row r="7295" spans="2:9" x14ac:dyDescent="0.25">
      <c r="B7295" s="1">
        <v>45880</v>
      </c>
      <c r="C7295" s="2">
        <v>24585.05</v>
      </c>
      <c r="D7295" s="2">
        <v>24371.5</v>
      </c>
      <c r="E7295" s="2">
        <v>24600.85</v>
      </c>
      <c r="F7295" s="2">
        <v>24347.45</v>
      </c>
      <c r="G7295" s="3">
        <f t="shared" si="341"/>
        <v>9.1018047637225763E-3</v>
      </c>
      <c r="H7295" s="2">
        <f t="shared" si="339"/>
        <v>253.39999999999782</v>
      </c>
      <c r="I7295" s="3">
        <f t="shared" si="340"/>
        <v>1.0397390394518098E-2</v>
      </c>
    </row>
    <row r="7296" spans="2:9" x14ac:dyDescent="0.25">
      <c r="B7296" s="1">
        <v>45881</v>
      </c>
      <c r="C7296" s="2">
        <v>24487.4</v>
      </c>
      <c r="D7296" s="2">
        <v>24563.35</v>
      </c>
      <c r="E7296" s="2">
        <v>24702.6</v>
      </c>
      <c r="F7296" s="2">
        <v>24465.65</v>
      </c>
      <c r="G7296" s="3">
        <f t="shared" si="341"/>
        <v>-3.9719260282162772E-3</v>
      </c>
      <c r="H7296" s="2">
        <f t="shared" si="339"/>
        <v>236.94999999999709</v>
      </c>
      <c r="I7296" s="3">
        <f t="shared" si="340"/>
        <v>9.6464855160227365E-3</v>
      </c>
    </row>
    <row r="7297" spans="2:9" x14ac:dyDescent="0.25">
      <c r="B7297" s="1">
        <v>45882</v>
      </c>
      <c r="C7297" s="2">
        <v>24619.35</v>
      </c>
      <c r="D7297" s="2">
        <v>24586.2</v>
      </c>
      <c r="E7297" s="2">
        <v>24664.55</v>
      </c>
      <c r="F7297" s="2">
        <v>24535.25</v>
      </c>
      <c r="G7297" s="3">
        <f t="shared" si="341"/>
        <v>5.3884855068320192E-3</v>
      </c>
      <c r="H7297" s="2">
        <f t="shared" si="339"/>
        <v>129.29999999999927</v>
      </c>
      <c r="I7297" s="3">
        <f t="shared" si="340"/>
        <v>5.25904775849864E-3</v>
      </c>
    </row>
    <row r="7298" spans="2:9" x14ac:dyDescent="0.25">
      <c r="B7298" s="1">
        <v>45883</v>
      </c>
      <c r="C7298" s="2">
        <v>24631.3</v>
      </c>
      <c r="D7298" s="2">
        <v>24607.25</v>
      </c>
      <c r="E7298" s="2">
        <v>24673.65</v>
      </c>
      <c r="F7298" s="2">
        <v>24596.9</v>
      </c>
      <c r="G7298" s="3">
        <f t="shared" si="341"/>
        <v>4.8539055661511732E-4</v>
      </c>
      <c r="H7298" s="2">
        <f t="shared" si="339"/>
        <v>76.75</v>
      </c>
      <c r="I7298" s="3">
        <f t="shared" si="340"/>
        <v>3.118999481860021E-3</v>
      </c>
    </row>
    <row r="7299" spans="2:9" x14ac:dyDescent="0.25">
      <c r="B7299" s="1">
        <v>45887</v>
      </c>
      <c r="C7299" s="2">
        <v>24876.95</v>
      </c>
      <c r="D7299" s="2">
        <v>24938.2</v>
      </c>
      <c r="E7299" s="2">
        <v>25022</v>
      </c>
      <c r="F7299" s="2">
        <v>24852.85</v>
      </c>
      <c r="G7299" s="3">
        <f t="shared" si="341"/>
        <v>9.9730830285045258E-3</v>
      </c>
      <c r="H7299" s="2">
        <f t="shared" si="339"/>
        <v>169.15000000000146</v>
      </c>
      <c r="I7299" s="3">
        <f t="shared" si="340"/>
        <v>6.7827670000241173E-3</v>
      </c>
    </row>
    <row r="7300" spans="2:9" x14ac:dyDescent="0.25">
      <c r="B7300" s="1">
        <v>45888</v>
      </c>
      <c r="C7300" s="2">
        <v>24980.65</v>
      </c>
      <c r="D7300" s="2">
        <v>24891.35</v>
      </c>
      <c r="E7300" s="2">
        <v>25012.65</v>
      </c>
      <c r="F7300" s="2">
        <v>24873.95</v>
      </c>
      <c r="G7300" s="3">
        <f t="shared" si="341"/>
        <v>4.1685174428538474E-3</v>
      </c>
      <c r="H7300" s="2">
        <f t="shared" si="339"/>
        <v>138.70000000000073</v>
      </c>
      <c r="I7300" s="3">
        <f t="shared" si="340"/>
        <v>5.5722168544494665E-3</v>
      </c>
    </row>
    <row r="7301" spans="2:9" x14ac:dyDescent="0.25">
      <c r="B7301" s="1">
        <v>45889</v>
      </c>
      <c r="C7301" s="2">
        <v>25050.55</v>
      </c>
      <c r="D7301" s="2">
        <v>24965.8</v>
      </c>
      <c r="E7301" s="2">
        <v>25088.7</v>
      </c>
      <c r="F7301" s="2">
        <v>24929.7</v>
      </c>
      <c r="G7301" s="3">
        <f t="shared" si="341"/>
        <v>2.7981657803137772E-3</v>
      </c>
      <c r="H7301" s="2">
        <f t="shared" ref="H7301:H7364" si="342">E7301-F7301</f>
        <v>159</v>
      </c>
      <c r="I7301" s="3">
        <f t="shared" si="340"/>
        <v>6.3687123985612321E-3</v>
      </c>
    </row>
    <row r="7302" spans="2:9" x14ac:dyDescent="0.25">
      <c r="B7302" s="1">
        <v>45890</v>
      </c>
      <c r="C7302" s="2">
        <v>25083.75</v>
      </c>
      <c r="D7302" s="2">
        <v>25142</v>
      </c>
      <c r="E7302" s="2">
        <v>25153.65</v>
      </c>
      <c r="F7302" s="2">
        <v>25054.9</v>
      </c>
      <c r="G7302" s="3">
        <f t="shared" si="341"/>
        <v>1.3253202025504951E-3</v>
      </c>
      <c r="H7302" s="2">
        <f t="shared" si="342"/>
        <v>98.75</v>
      </c>
      <c r="I7302" s="3">
        <f t="shared" ref="I7302:I7365" si="343">H7302/D7302</f>
        <v>3.9276907167289793E-3</v>
      </c>
    </row>
    <row r="7303" spans="2:9" x14ac:dyDescent="0.25">
      <c r="B7303" s="1">
        <v>45891</v>
      </c>
      <c r="C7303" s="2">
        <v>24870.1</v>
      </c>
      <c r="D7303" s="2">
        <v>25064.15</v>
      </c>
      <c r="E7303" s="2">
        <v>25084.85</v>
      </c>
      <c r="F7303" s="2">
        <v>24859.15</v>
      </c>
      <c r="G7303" s="3">
        <f t="shared" ref="G7303:G7366" si="344">C7303/C7302-1</f>
        <v>-8.5174664872676997E-3</v>
      </c>
      <c r="H7303" s="2">
        <f t="shared" si="342"/>
        <v>225.69999999999709</v>
      </c>
      <c r="I7303" s="3">
        <f t="shared" si="343"/>
        <v>9.0048934434240561E-3</v>
      </c>
    </row>
    <row r="7304" spans="2:9" x14ac:dyDescent="0.25">
      <c r="B7304" s="1">
        <v>45894</v>
      </c>
      <c r="C7304" s="2">
        <v>24967.75</v>
      </c>
      <c r="D7304" s="2">
        <v>24949.15</v>
      </c>
      <c r="E7304" s="2">
        <v>25021.55</v>
      </c>
      <c r="F7304" s="2">
        <v>24894.35</v>
      </c>
      <c r="G7304" s="3">
        <f t="shared" si="344"/>
        <v>3.9264015826234733E-3</v>
      </c>
      <c r="H7304" s="2">
        <f t="shared" si="342"/>
        <v>127.20000000000073</v>
      </c>
      <c r="I7304" s="3">
        <f t="shared" si="343"/>
        <v>5.0983700847524148E-3</v>
      </c>
    </row>
    <row r="7305" spans="2:9" x14ac:dyDescent="0.25">
      <c r="B7305" s="1">
        <v>45895</v>
      </c>
      <c r="C7305" s="2">
        <v>24712.05</v>
      </c>
      <c r="D7305" s="2">
        <v>24899.5</v>
      </c>
      <c r="E7305" s="2">
        <v>24919.65</v>
      </c>
      <c r="F7305" s="2">
        <v>24689.599999999999</v>
      </c>
      <c r="G7305" s="3">
        <f t="shared" si="344"/>
        <v>-1.0241211162399511E-2</v>
      </c>
      <c r="H7305" s="2">
        <f t="shared" si="342"/>
        <v>230.05000000000291</v>
      </c>
      <c r="I7305" s="3">
        <f t="shared" si="343"/>
        <v>9.2391413482199609E-3</v>
      </c>
    </row>
    <row r="7306" spans="2:9" x14ac:dyDescent="0.25">
      <c r="B7306" s="1">
        <v>45897</v>
      </c>
      <c r="C7306" s="2">
        <v>24500.9</v>
      </c>
      <c r="D7306" s="2">
        <v>24695.8</v>
      </c>
      <c r="E7306" s="2">
        <v>24702.65</v>
      </c>
      <c r="F7306" s="2">
        <v>24481.599999999999</v>
      </c>
      <c r="G7306" s="3">
        <f t="shared" si="344"/>
        <v>-8.5444145669824056E-3</v>
      </c>
      <c r="H7306" s="2">
        <f t="shared" si="342"/>
        <v>221.05000000000291</v>
      </c>
      <c r="I7306" s="3">
        <f t="shared" si="343"/>
        <v>8.950914730440112E-3</v>
      </c>
    </row>
    <row r="7307" spans="2:9" x14ac:dyDescent="0.25">
      <c r="B7307" s="1">
        <v>45898</v>
      </c>
      <c r="C7307" s="2">
        <v>24426.85</v>
      </c>
      <c r="D7307" s="2">
        <v>24466.7</v>
      </c>
      <c r="E7307" s="2">
        <v>24572.45</v>
      </c>
      <c r="F7307" s="2">
        <v>24404.7</v>
      </c>
      <c r="G7307" s="3">
        <f t="shared" si="344"/>
        <v>-3.0223379549323415E-3</v>
      </c>
      <c r="H7307" s="2">
        <f t="shared" si="342"/>
        <v>167.75</v>
      </c>
      <c r="I7307" s="3">
        <f t="shared" si="343"/>
        <v>6.8562576890222222E-3</v>
      </c>
    </row>
    <row r="7308" spans="2:9" x14ac:dyDescent="0.25">
      <c r="B7308" s="1">
        <v>45901</v>
      </c>
      <c r="C7308" s="2">
        <v>24625.05</v>
      </c>
      <c r="D7308" s="2">
        <v>24432.7</v>
      </c>
      <c r="E7308" s="2">
        <v>24635.599999999999</v>
      </c>
      <c r="F7308" s="2">
        <v>24432.7</v>
      </c>
      <c r="G7308" s="3">
        <f t="shared" si="344"/>
        <v>8.1140220699762455E-3</v>
      </c>
      <c r="H7308" s="2">
        <f t="shared" si="342"/>
        <v>202.89999999999782</v>
      </c>
      <c r="I7308" s="3">
        <f t="shared" si="343"/>
        <v>8.304444453539634E-3</v>
      </c>
    </row>
    <row r="7309" spans="2:9" x14ac:dyDescent="0.25">
      <c r="B7309" s="1">
        <v>45902</v>
      </c>
      <c r="C7309" s="2">
        <v>24579.599999999999</v>
      </c>
      <c r="D7309" s="2">
        <v>24653</v>
      </c>
      <c r="E7309" s="2">
        <v>24756.1</v>
      </c>
      <c r="F7309" s="2">
        <v>24522.35</v>
      </c>
      <c r="G7309" s="3">
        <f t="shared" si="344"/>
        <v>-1.8456815316111319E-3</v>
      </c>
      <c r="H7309" s="2">
        <f t="shared" si="342"/>
        <v>233.75</v>
      </c>
      <c r="I7309" s="3">
        <f t="shared" si="343"/>
        <v>9.4816046728592868E-3</v>
      </c>
    </row>
    <row r="7310" spans="2:9" x14ac:dyDescent="0.25">
      <c r="B7310" s="1">
        <v>45903</v>
      </c>
      <c r="C7310" s="2">
        <v>24715.05</v>
      </c>
      <c r="D7310" s="2">
        <v>24616.5</v>
      </c>
      <c r="E7310" s="2">
        <v>24737.05</v>
      </c>
      <c r="F7310" s="2">
        <v>24533.200000000001</v>
      </c>
      <c r="G7310" s="3">
        <f t="shared" si="344"/>
        <v>5.510667382707668E-3</v>
      </c>
      <c r="H7310" s="2">
        <f t="shared" si="342"/>
        <v>203.84999999999854</v>
      </c>
      <c r="I7310" s="3">
        <f t="shared" si="343"/>
        <v>8.2810310157820383E-3</v>
      </c>
    </row>
    <row r="7311" spans="2:9" x14ac:dyDescent="0.25">
      <c r="B7311" s="1">
        <v>45904</v>
      </c>
      <c r="C7311" s="2">
        <v>24734.3</v>
      </c>
      <c r="D7311" s="2">
        <v>24980.75</v>
      </c>
      <c r="E7311" s="2">
        <v>24980.75</v>
      </c>
      <c r="F7311" s="2">
        <v>24708.2</v>
      </c>
      <c r="G7311" s="3">
        <f t="shared" si="344"/>
        <v>7.7887764742534671E-4</v>
      </c>
      <c r="H7311" s="2">
        <f t="shared" si="342"/>
        <v>272.54999999999927</v>
      </c>
      <c r="I7311" s="3">
        <f t="shared" si="343"/>
        <v>1.0910401008776729E-2</v>
      </c>
    </row>
    <row r="7312" spans="2:9" x14ac:dyDescent="0.25">
      <c r="B7312" s="1">
        <v>45905</v>
      </c>
      <c r="C7312" s="2">
        <v>24741</v>
      </c>
      <c r="D7312" s="2">
        <v>24818.85</v>
      </c>
      <c r="E7312" s="2">
        <v>24832.35</v>
      </c>
      <c r="F7312" s="2">
        <v>24621.599999999999</v>
      </c>
      <c r="G7312" s="3">
        <f t="shared" si="344"/>
        <v>2.7087890095933709E-4</v>
      </c>
      <c r="H7312" s="2">
        <f t="shared" si="342"/>
        <v>210.75</v>
      </c>
      <c r="I7312" s="3">
        <f t="shared" si="343"/>
        <v>8.4915296236529898E-3</v>
      </c>
    </row>
    <row r="7313" spans="2:9" x14ac:dyDescent="0.25">
      <c r="B7313" s="1">
        <v>45908</v>
      </c>
      <c r="C7313" s="2">
        <v>24773.15</v>
      </c>
      <c r="D7313" s="2">
        <v>24802.6</v>
      </c>
      <c r="E7313" s="2">
        <v>24885.5</v>
      </c>
      <c r="F7313" s="2">
        <v>24751.55</v>
      </c>
      <c r="G7313" s="3">
        <f t="shared" si="344"/>
        <v>1.2994624307829383E-3</v>
      </c>
      <c r="H7313" s="2">
        <f t="shared" si="342"/>
        <v>133.95000000000073</v>
      </c>
      <c r="I7313" s="3">
        <f t="shared" si="343"/>
        <v>5.4006434809254168E-3</v>
      </c>
    </row>
    <row r="7314" spans="2:9" x14ac:dyDescent="0.25">
      <c r="B7314" s="1">
        <v>45909</v>
      </c>
      <c r="C7314" s="2">
        <v>24868.6</v>
      </c>
      <c r="D7314" s="2">
        <v>24864.1</v>
      </c>
      <c r="E7314" s="2">
        <v>24891.8</v>
      </c>
      <c r="F7314" s="2">
        <v>24814</v>
      </c>
      <c r="G7314" s="3">
        <f t="shared" si="344"/>
        <v>3.8529617751474898E-3</v>
      </c>
      <c r="H7314" s="2">
        <f t="shared" si="342"/>
        <v>77.799999999999272</v>
      </c>
      <c r="I7314" s="3">
        <f t="shared" si="343"/>
        <v>3.1290092945250089E-3</v>
      </c>
    </row>
    <row r="7315" spans="2:9" x14ac:dyDescent="0.25">
      <c r="B7315" s="1">
        <v>45910</v>
      </c>
      <c r="C7315" s="2">
        <v>24973.1</v>
      </c>
      <c r="D7315" s="2">
        <v>24991</v>
      </c>
      <c r="E7315" s="2">
        <v>25035.7</v>
      </c>
      <c r="F7315" s="2">
        <v>24915.05</v>
      </c>
      <c r="G7315" s="3">
        <f t="shared" si="344"/>
        <v>4.2020861648826013E-3</v>
      </c>
      <c r="H7315" s="2">
        <f t="shared" si="342"/>
        <v>120.65000000000146</v>
      </c>
      <c r="I7315" s="3">
        <f t="shared" si="343"/>
        <v>4.8277379856749014E-3</v>
      </c>
    </row>
    <row r="7316" spans="2:9" x14ac:dyDescent="0.25">
      <c r="B7316" s="1">
        <v>45911</v>
      </c>
      <c r="C7316" s="2">
        <v>25005.5</v>
      </c>
      <c r="D7316" s="2">
        <v>24945.5</v>
      </c>
      <c r="E7316" s="2">
        <v>25037.3</v>
      </c>
      <c r="F7316" s="2">
        <v>24940.15</v>
      </c>
      <c r="G7316" s="3">
        <f t="shared" si="344"/>
        <v>1.2973959980939753E-3</v>
      </c>
      <c r="H7316" s="2">
        <f t="shared" si="342"/>
        <v>97.149999999997817</v>
      </c>
      <c r="I7316" s="3">
        <f t="shared" si="343"/>
        <v>3.8944899881741325E-3</v>
      </c>
    </row>
    <row r="7317" spans="2:9" x14ac:dyDescent="0.25">
      <c r="B7317" s="1">
        <v>45912</v>
      </c>
      <c r="C7317" s="2">
        <v>25114</v>
      </c>
      <c r="D7317" s="2">
        <v>25074.45</v>
      </c>
      <c r="E7317" s="2">
        <v>25139.45</v>
      </c>
      <c r="F7317" s="2">
        <v>25038.05</v>
      </c>
      <c r="G7317" s="3">
        <f t="shared" si="344"/>
        <v>4.3390454100098452E-3</v>
      </c>
      <c r="H7317" s="2">
        <f t="shared" si="342"/>
        <v>101.40000000000146</v>
      </c>
      <c r="I7317" s="3">
        <f t="shared" si="343"/>
        <v>4.0439570957688581E-3</v>
      </c>
    </row>
    <row r="7318" spans="2:9" x14ac:dyDescent="0.25">
      <c r="B7318" s="1">
        <v>45915</v>
      </c>
      <c r="C7318" s="2">
        <v>25069.200000000001</v>
      </c>
      <c r="D7318" s="2">
        <v>25118.9</v>
      </c>
      <c r="E7318" s="2">
        <v>25138.45</v>
      </c>
      <c r="F7318" s="2">
        <v>25048.75</v>
      </c>
      <c r="G7318" s="3">
        <f t="shared" si="344"/>
        <v>-1.7838655729871533E-3</v>
      </c>
      <c r="H7318" s="2">
        <f t="shared" si="342"/>
        <v>89.700000000000728</v>
      </c>
      <c r="I7318" s="3">
        <f t="shared" si="343"/>
        <v>3.5710162467305785E-3</v>
      </c>
    </row>
    <row r="7319" spans="2:9" x14ac:dyDescent="0.25">
      <c r="B7319" s="1">
        <v>45916</v>
      </c>
      <c r="C7319" s="2">
        <v>25239.1</v>
      </c>
      <c r="D7319" s="2">
        <v>25073.599999999999</v>
      </c>
      <c r="E7319" s="2">
        <v>25261.4</v>
      </c>
      <c r="F7319" s="2">
        <v>25070.45</v>
      </c>
      <c r="G7319" s="3">
        <f t="shared" si="344"/>
        <v>6.7772405980246475E-3</v>
      </c>
      <c r="H7319" s="2">
        <f t="shared" si="342"/>
        <v>190.95000000000073</v>
      </c>
      <c r="I7319" s="3">
        <f t="shared" si="343"/>
        <v>7.6155797332652965E-3</v>
      </c>
    </row>
    <row r="7320" spans="2:9" x14ac:dyDescent="0.25">
      <c r="B7320" s="1">
        <v>45917</v>
      </c>
      <c r="C7320" s="2">
        <v>25330.25</v>
      </c>
      <c r="D7320" s="2">
        <v>25276.6</v>
      </c>
      <c r="E7320" s="2">
        <v>25346.5</v>
      </c>
      <c r="F7320" s="2">
        <v>25275.35</v>
      </c>
      <c r="G7320" s="3">
        <f t="shared" si="344"/>
        <v>3.6114599965926253E-3</v>
      </c>
      <c r="H7320" s="2">
        <f t="shared" si="342"/>
        <v>71.150000000001455</v>
      </c>
      <c r="I7320" s="3">
        <f t="shared" si="343"/>
        <v>2.8148564284754063E-3</v>
      </c>
    </row>
    <row r="7321" spans="2:9" x14ac:dyDescent="0.25">
      <c r="B7321" s="1">
        <v>45918</v>
      </c>
      <c r="C7321" s="2">
        <v>25423.599999999999</v>
      </c>
      <c r="D7321" s="2">
        <v>25441.05</v>
      </c>
      <c r="E7321" s="2">
        <v>25448.95</v>
      </c>
      <c r="F7321" s="2">
        <v>25329.75</v>
      </c>
      <c r="G7321" s="3">
        <f t="shared" si="344"/>
        <v>3.685316962919849E-3</v>
      </c>
      <c r="H7321" s="2">
        <f t="shared" si="342"/>
        <v>119.20000000000073</v>
      </c>
      <c r="I7321" s="3">
        <f t="shared" si="343"/>
        <v>4.6853412103667396E-3</v>
      </c>
    </row>
    <row r="7322" spans="2:9" x14ac:dyDescent="0.25">
      <c r="B7322" s="1">
        <v>45919</v>
      </c>
      <c r="C7322" s="2">
        <v>25327.05</v>
      </c>
      <c r="D7322" s="2">
        <v>25410.2</v>
      </c>
      <c r="E7322" s="2">
        <v>25428.75</v>
      </c>
      <c r="F7322" s="2">
        <v>25286.3</v>
      </c>
      <c r="G7322" s="3">
        <f t="shared" si="344"/>
        <v>-3.7976525747730472E-3</v>
      </c>
      <c r="H7322" s="2">
        <f t="shared" si="342"/>
        <v>142.45000000000073</v>
      </c>
      <c r="I7322" s="3">
        <f t="shared" si="343"/>
        <v>5.6060164815704217E-3</v>
      </c>
    </row>
    <row r="7323" spans="2:9" x14ac:dyDescent="0.25">
      <c r="B7323" s="1">
        <v>45922</v>
      </c>
      <c r="C7323" s="2">
        <v>25202.35</v>
      </c>
      <c r="D7323" s="2">
        <v>25238.1</v>
      </c>
      <c r="E7323" s="2">
        <v>25331.7</v>
      </c>
      <c r="F7323" s="2">
        <v>25151.05</v>
      </c>
      <c r="G7323" s="3">
        <f t="shared" si="344"/>
        <v>-4.9235896008418267E-3</v>
      </c>
      <c r="H7323" s="2">
        <f t="shared" si="342"/>
        <v>180.65000000000146</v>
      </c>
      <c r="I7323" s="3">
        <f t="shared" si="343"/>
        <v>7.1578288381455605E-3</v>
      </c>
    </row>
    <row r="7324" spans="2:9" x14ac:dyDescent="0.25">
      <c r="B7324" s="1">
        <v>45923</v>
      </c>
      <c r="C7324" s="2">
        <v>25169.5</v>
      </c>
      <c r="D7324" s="2">
        <v>25209</v>
      </c>
      <c r="E7324" s="2">
        <v>25261.9</v>
      </c>
      <c r="F7324" s="2">
        <v>25084.65</v>
      </c>
      <c r="G7324" s="3">
        <f t="shared" si="344"/>
        <v>-1.3034498766979485E-3</v>
      </c>
      <c r="H7324" s="2">
        <f t="shared" si="342"/>
        <v>177.25</v>
      </c>
      <c r="I7324" s="3">
        <f t="shared" si="343"/>
        <v>7.0312190090840573E-3</v>
      </c>
    </row>
    <row r="7325" spans="2:9" x14ac:dyDescent="0.25">
      <c r="B7325" s="1">
        <v>45924</v>
      </c>
      <c r="C7325" s="2">
        <v>25056.9</v>
      </c>
      <c r="D7325" s="2">
        <v>25108.75</v>
      </c>
      <c r="E7325" s="2">
        <v>25149.85</v>
      </c>
      <c r="F7325" s="2">
        <v>25027.45</v>
      </c>
      <c r="G7325" s="3">
        <f t="shared" si="344"/>
        <v>-4.4736685273842891E-3</v>
      </c>
      <c r="H7325" s="2">
        <f t="shared" si="342"/>
        <v>122.39999999999782</v>
      </c>
      <c r="I7325" s="3">
        <f t="shared" si="343"/>
        <v>4.8747946433015509E-3</v>
      </c>
    </row>
    <row r="7326" spans="2:9" x14ac:dyDescent="0.25">
      <c r="B7326" s="1">
        <v>45925</v>
      </c>
      <c r="C7326" s="2">
        <v>24890.85</v>
      </c>
      <c r="D7326" s="2">
        <v>25034.5</v>
      </c>
      <c r="E7326" s="2">
        <v>25092.7</v>
      </c>
      <c r="F7326" s="2">
        <v>24878.3</v>
      </c>
      <c r="G7326" s="3">
        <f t="shared" si="344"/>
        <v>-6.6269171365972435E-3</v>
      </c>
      <c r="H7326" s="2">
        <f t="shared" si="342"/>
        <v>214.40000000000146</v>
      </c>
      <c r="I7326" s="3">
        <f t="shared" si="343"/>
        <v>8.564181429627173E-3</v>
      </c>
    </row>
    <row r="7327" spans="2:9" x14ac:dyDescent="0.25">
      <c r="B7327" s="1">
        <v>45926</v>
      </c>
      <c r="C7327" s="2">
        <v>24654.7</v>
      </c>
      <c r="D7327" s="2">
        <v>24818.55</v>
      </c>
      <c r="E7327" s="2">
        <v>24868.6</v>
      </c>
      <c r="F7327" s="2">
        <v>24629.45</v>
      </c>
      <c r="G7327" s="3">
        <f t="shared" si="344"/>
        <v>-9.4874220848222279E-3</v>
      </c>
      <c r="H7327" s="2">
        <f t="shared" si="342"/>
        <v>239.14999999999782</v>
      </c>
      <c r="I7327" s="3">
        <f t="shared" si="343"/>
        <v>9.6359376353573369E-3</v>
      </c>
    </row>
    <row r="7328" spans="2:9" x14ac:dyDescent="0.25">
      <c r="B7328" s="1">
        <v>45929</v>
      </c>
      <c r="C7328" s="2">
        <v>24634.9</v>
      </c>
      <c r="D7328" s="2">
        <v>24728.55</v>
      </c>
      <c r="E7328" s="2">
        <v>24791.3</v>
      </c>
      <c r="F7328" s="2">
        <v>24606.2</v>
      </c>
      <c r="G7328" s="3">
        <f t="shared" si="344"/>
        <v>-8.0309231099950917E-4</v>
      </c>
      <c r="H7328" s="2">
        <f t="shared" si="342"/>
        <v>185.09999999999854</v>
      </c>
      <c r="I7328" s="3">
        <f t="shared" si="343"/>
        <v>7.4852751172227467E-3</v>
      </c>
    </row>
    <row r="7329" spans="2:9" x14ac:dyDescent="0.25">
      <c r="B7329" s="1">
        <v>45930</v>
      </c>
      <c r="C7329" s="2">
        <v>24611.1</v>
      </c>
      <c r="D7329" s="2">
        <v>24691.95</v>
      </c>
      <c r="E7329" s="2">
        <v>24731.8</v>
      </c>
      <c r="F7329" s="2">
        <v>24587.7</v>
      </c>
      <c r="G7329" s="3">
        <f t="shared" si="344"/>
        <v>-9.6610905666361102E-4</v>
      </c>
      <c r="H7329" s="2">
        <f t="shared" si="342"/>
        <v>144.09999999999854</v>
      </c>
      <c r="I7329" s="3">
        <f t="shared" si="343"/>
        <v>5.8359100840556753E-3</v>
      </c>
    </row>
    <row r="7330" spans="2:9" x14ac:dyDescent="0.25">
      <c r="B7330" s="1">
        <v>45931</v>
      </c>
      <c r="C7330" s="2">
        <v>24836.3</v>
      </c>
      <c r="D7330" s="2">
        <v>24620.55</v>
      </c>
      <c r="E7330" s="2">
        <v>24867.95</v>
      </c>
      <c r="F7330" s="2">
        <v>24605.95</v>
      </c>
      <c r="G7330" s="3">
        <f t="shared" si="344"/>
        <v>9.1503427315318131E-3</v>
      </c>
      <c r="H7330" s="2">
        <f t="shared" si="342"/>
        <v>262</v>
      </c>
      <c r="I7330" s="3">
        <f t="shared" si="343"/>
        <v>1.0641516944178746E-2</v>
      </c>
    </row>
    <row r="7331" spans="2:9" x14ac:dyDescent="0.25">
      <c r="B7331" s="1">
        <v>45933</v>
      </c>
      <c r="C7331" s="2">
        <v>24894.25</v>
      </c>
      <c r="D7331" s="2">
        <v>24759.55</v>
      </c>
      <c r="E7331" s="2">
        <v>24904.799999999999</v>
      </c>
      <c r="F7331" s="2">
        <v>24747.55</v>
      </c>
      <c r="G7331" s="3">
        <f t="shared" si="344"/>
        <v>2.3332783063501061E-3</v>
      </c>
      <c r="H7331" s="2">
        <f t="shared" si="342"/>
        <v>157.25</v>
      </c>
      <c r="I7331" s="3">
        <f t="shared" si="343"/>
        <v>6.3510847329616253E-3</v>
      </c>
    </row>
    <row r="7332" spans="2:9" x14ac:dyDescent="0.25">
      <c r="B7332" s="1">
        <v>45936</v>
      </c>
      <c r="C7332" s="2">
        <v>25077.65</v>
      </c>
      <c r="D7332" s="2">
        <v>24916.55</v>
      </c>
      <c r="E7332" s="2">
        <v>25095.95</v>
      </c>
      <c r="F7332" s="2">
        <v>24881.65</v>
      </c>
      <c r="G7332" s="3">
        <f t="shared" si="344"/>
        <v>7.3671630999125881E-3</v>
      </c>
      <c r="H7332" s="2">
        <f t="shared" si="342"/>
        <v>214.29999999999927</v>
      </c>
      <c r="I7332" s="3">
        <f t="shared" si="343"/>
        <v>8.6007091672000852E-3</v>
      </c>
    </row>
    <row r="7333" spans="2:9" x14ac:dyDescent="0.25">
      <c r="B7333" s="1">
        <v>45937</v>
      </c>
      <c r="C7333" s="2">
        <v>25108.3</v>
      </c>
      <c r="D7333" s="2">
        <v>25085.3</v>
      </c>
      <c r="E7333" s="2">
        <v>25220.9</v>
      </c>
      <c r="F7333" s="2">
        <v>25076.3</v>
      </c>
      <c r="G7333" s="3">
        <f t="shared" si="344"/>
        <v>1.222203834888802E-3</v>
      </c>
      <c r="H7333" s="2">
        <f t="shared" si="342"/>
        <v>144.60000000000218</v>
      </c>
      <c r="I7333" s="3">
        <f t="shared" si="343"/>
        <v>5.764332098878713E-3</v>
      </c>
    </row>
    <row r="7334" spans="2:9" x14ac:dyDescent="0.25">
      <c r="B7334" s="1">
        <v>45938</v>
      </c>
      <c r="C7334" s="2">
        <v>25046.15</v>
      </c>
      <c r="D7334" s="2">
        <v>25079.75</v>
      </c>
      <c r="E7334" s="2">
        <v>25192.5</v>
      </c>
      <c r="F7334" s="2">
        <v>25008.5</v>
      </c>
      <c r="G7334" s="3">
        <f t="shared" si="344"/>
        <v>-2.4752770996043783E-3</v>
      </c>
      <c r="H7334" s="2">
        <f t="shared" si="342"/>
        <v>184</v>
      </c>
      <c r="I7334" s="3">
        <f t="shared" si="343"/>
        <v>7.3365962579371802E-3</v>
      </c>
    </row>
    <row r="7335" spans="2:9" x14ac:dyDescent="0.25">
      <c r="B7335" s="1">
        <v>45939</v>
      </c>
      <c r="C7335" s="2">
        <v>25181.8</v>
      </c>
      <c r="D7335" s="2">
        <v>25074.3</v>
      </c>
      <c r="E7335" s="2">
        <v>25199.25</v>
      </c>
      <c r="F7335" s="2">
        <v>25024.3</v>
      </c>
      <c r="G7335" s="3">
        <f t="shared" si="344"/>
        <v>5.4160020601967673E-3</v>
      </c>
      <c r="H7335" s="2">
        <f t="shared" si="342"/>
        <v>174.95000000000073</v>
      </c>
      <c r="I7335" s="3">
        <f t="shared" si="343"/>
        <v>6.9772635726620775E-3</v>
      </c>
    </row>
    <row r="7336" spans="2:9" x14ac:dyDescent="0.25">
      <c r="B7336" s="1">
        <v>45940</v>
      </c>
      <c r="C7336" s="2">
        <v>25285.35</v>
      </c>
      <c r="D7336" s="2">
        <v>25167.65</v>
      </c>
      <c r="E7336" s="2">
        <v>25330.75</v>
      </c>
      <c r="F7336" s="2">
        <v>25156.85</v>
      </c>
      <c r="G7336" s="3">
        <f t="shared" si="344"/>
        <v>4.1120968318388851E-3</v>
      </c>
      <c r="H7336" s="2">
        <f t="shared" si="342"/>
        <v>173.90000000000146</v>
      </c>
      <c r="I7336" s="3">
        <f t="shared" si="343"/>
        <v>6.9096637945935133E-3</v>
      </c>
    </row>
    <row r="7337" spans="2:9" x14ac:dyDescent="0.25">
      <c r="B7337" s="1">
        <v>45943</v>
      </c>
      <c r="C7337" s="2">
        <v>25227.35</v>
      </c>
      <c r="D7337" s="2">
        <v>25177.3</v>
      </c>
      <c r="E7337" s="2">
        <v>25267.3</v>
      </c>
      <c r="F7337" s="2">
        <v>25152.3</v>
      </c>
      <c r="G7337" s="3">
        <f t="shared" si="344"/>
        <v>-2.2938183572701609E-3</v>
      </c>
      <c r="H7337" s="2">
        <f t="shared" si="342"/>
        <v>115</v>
      </c>
      <c r="I7337" s="3">
        <f t="shared" si="343"/>
        <v>4.5676065344576267E-3</v>
      </c>
    </row>
    <row r="7338" spans="2:9" x14ac:dyDescent="0.25">
      <c r="B7338" s="1">
        <v>45944</v>
      </c>
      <c r="C7338" s="2">
        <v>25145.5</v>
      </c>
      <c r="D7338" s="2">
        <v>25277.55</v>
      </c>
      <c r="E7338" s="2">
        <v>25310.35</v>
      </c>
      <c r="F7338" s="2">
        <v>25060.55</v>
      </c>
      <c r="G7338" s="3">
        <f t="shared" si="344"/>
        <v>-3.2444945664129587E-3</v>
      </c>
      <c r="H7338" s="2">
        <f t="shared" si="342"/>
        <v>249.79999999999927</v>
      </c>
      <c r="I7338" s="3">
        <f t="shared" si="343"/>
        <v>9.8822868513759946E-3</v>
      </c>
    </row>
    <row r="7339" spans="2:9" x14ac:dyDescent="0.25">
      <c r="B7339" s="1">
        <v>45945</v>
      </c>
      <c r="C7339" s="2">
        <v>25323.55</v>
      </c>
      <c r="D7339" s="2">
        <v>25181.95</v>
      </c>
      <c r="E7339" s="2">
        <v>25365.15</v>
      </c>
      <c r="F7339" s="2">
        <v>25159.35</v>
      </c>
      <c r="G7339" s="3">
        <f t="shared" si="344"/>
        <v>7.0807898033444783E-3</v>
      </c>
      <c r="H7339" s="2">
        <f t="shared" si="342"/>
        <v>205.80000000000291</v>
      </c>
      <c r="I7339" s="3">
        <f t="shared" si="343"/>
        <v>8.1725203965539953E-3</v>
      </c>
    </row>
    <row r="7340" spans="2:9" x14ac:dyDescent="0.25">
      <c r="B7340" s="1">
        <v>45946</v>
      </c>
      <c r="C7340" s="2">
        <v>25585.3</v>
      </c>
      <c r="D7340" s="2">
        <v>25394.9</v>
      </c>
      <c r="E7340" s="2">
        <v>25625.4</v>
      </c>
      <c r="F7340" s="2">
        <v>25376.85</v>
      </c>
      <c r="G7340" s="3">
        <f t="shared" si="344"/>
        <v>1.0336228530360092E-2</v>
      </c>
      <c r="H7340" s="2">
        <f t="shared" si="342"/>
        <v>248.55000000000291</v>
      </c>
      <c r="I7340" s="3">
        <f t="shared" si="343"/>
        <v>9.7873982571304828E-3</v>
      </c>
    </row>
    <row r="7341" spans="2:9" x14ac:dyDescent="0.25">
      <c r="B7341" s="1">
        <v>45947</v>
      </c>
      <c r="C7341" s="2">
        <v>25709.85</v>
      </c>
      <c r="D7341" s="2">
        <v>25546.85</v>
      </c>
      <c r="E7341" s="2">
        <v>25781.5</v>
      </c>
      <c r="F7341" s="2">
        <v>25508.6</v>
      </c>
      <c r="G7341" s="3">
        <f t="shared" si="344"/>
        <v>4.8680296889229702E-3</v>
      </c>
      <c r="H7341" s="2">
        <f t="shared" si="342"/>
        <v>272.90000000000146</v>
      </c>
      <c r="I7341" s="3">
        <f t="shared" si="343"/>
        <v>1.0682334612682247E-2</v>
      </c>
    </row>
    <row r="7342" spans="2:9" x14ac:dyDescent="0.25">
      <c r="B7342" s="1">
        <v>45950</v>
      </c>
      <c r="C7342" s="2">
        <v>25843.15</v>
      </c>
      <c r="D7342" s="2">
        <v>25824.6</v>
      </c>
      <c r="E7342" s="2">
        <v>25926.2</v>
      </c>
      <c r="F7342" s="2">
        <v>25788.5</v>
      </c>
      <c r="G7342" s="3">
        <f t="shared" si="344"/>
        <v>5.1847832640019575E-3</v>
      </c>
      <c r="H7342" s="2">
        <f t="shared" si="342"/>
        <v>137.70000000000073</v>
      </c>
      <c r="I7342" s="3">
        <f t="shared" si="343"/>
        <v>5.3321251829651084E-3</v>
      </c>
    </row>
    <row r="7343" spans="2:9" x14ac:dyDescent="0.25">
      <c r="B7343" s="1">
        <v>45951</v>
      </c>
      <c r="C7343" s="2">
        <v>25868.6</v>
      </c>
      <c r="D7343" s="2">
        <v>25901.200000000001</v>
      </c>
      <c r="E7343" s="2">
        <v>25934.35</v>
      </c>
      <c r="F7343" s="2">
        <v>25825.8</v>
      </c>
      <c r="G7343" s="3">
        <f t="shared" si="344"/>
        <v>9.8478707123539344E-4</v>
      </c>
      <c r="H7343" s="2">
        <f t="shared" si="342"/>
        <v>108.54999999999927</v>
      </c>
      <c r="I7343" s="3">
        <f t="shared" si="343"/>
        <v>4.1909255169644364E-3</v>
      </c>
    </row>
    <row r="7344" spans="2:9" x14ac:dyDescent="0.25">
      <c r="B7344" s="1">
        <v>45953</v>
      </c>
      <c r="C7344" s="2">
        <v>25891.4</v>
      </c>
      <c r="D7344" s="2">
        <v>26057.200000000001</v>
      </c>
      <c r="E7344" s="2">
        <v>26104.2</v>
      </c>
      <c r="F7344" s="2">
        <v>25862.45</v>
      </c>
      <c r="G7344" s="3">
        <f t="shared" si="344"/>
        <v>8.8137742282157205E-4</v>
      </c>
      <c r="H7344" s="2">
        <f t="shared" si="342"/>
        <v>241.75</v>
      </c>
      <c r="I7344" s="3">
        <f t="shared" si="343"/>
        <v>9.277666057749873E-3</v>
      </c>
    </row>
    <row r="7345" spans="2:9" x14ac:dyDescent="0.25">
      <c r="B7345" s="1">
        <v>45954</v>
      </c>
      <c r="C7345" s="2">
        <v>25795.15</v>
      </c>
      <c r="D7345" s="2">
        <v>25935.1</v>
      </c>
      <c r="E7345" s="2">
        <v>25944.15</v>
      </c>
      <c r="F7345" s="2">
        <v>25718.2</v>
      </c>
      <c r="G7345" s="3">
        <f t="shared" si="344"/>
        <v>-3.7174505820465331E-3</v>
      </c>
      <c r="H7345" s="2">
        <f t="shared" si="342"/>
        <v>225.95000000000073</v>
      </c>
      <c r="I7345" s="3">
        <f t="shared" si="343"/>
        <v>8.7121314357762551E-3</v>
      </c>
    </row>
    <row r="7346" spans="2:9" x14ac:dyDescent="0.25">
      <c r="B7346" s="1">
        <v>45957</v>
      </c>
      <c r="C7346" s="2">
        <v>25966.05</v>
      </c>
      <c r="D7346" s="2">
        <v>25843.200000000001</v>
      </c>
      <c r="E7346" s="2">
        <v>26005.95</v>
      </c>
      <c r="F7346" s="2">
        <v>25827</v>
      </c>
      <c r="G7346" s="3">
        <f t="shared" si="344"/>
        <v>6.6252764570082778E-3</v>
      </c>
      <c r="H7346" s="2">
        <f t="shared" si="342"/>
        <v>178.95000000000073</v>
      </c>
      <c r="I7346" s="3">
        <f t="shared" si="343"/>
        <v>6.9244520802377698E-3</v>
      </c>
    </row>
    <row r="7347" spans="2:9" x14ac:dyDescent="0.25">
      <c r="B7347" s="1">
        <v>45958</v>
      </c>
      <c r="C7347" s="2">
        <v>25936.2</v>
      </c>
      <c r="D7347" s="2">
        <v>25939.95</v>
      </c>
      <c r="E7347" s="2">
        <v>26041.7</v>
      </c>
      <c r="F7347" s="2">
        <v>25810.05</v>
      </c>
      <c r="G7347" s="3">
        <f t="shared" si="344"/>
        <v>-1.1495780066663741E-3</v>
      </c>
      <c r="H7347" s="2">
        <f t="shared" si="342"/>
        <v>231.65000000000146</v>
      </c>
      <c r="I7347" s="3">
        <f t="shared" si="343"/>
        <v>8.9302408061696908E-3</v>
      </c>
    </row>
    <row r="7348" spans="2:9" x14ac:dyDescent="0.25">
      <c r="B7348" s="1">
        <v>45959</v>
      </c>
      <c r="C7348" s="2">
        <v>26053.9</v>
      </c>
      <c r="D7348" s="2">
        <v>25982</v>
      </c>
      <c r="E7348" s="2">
        <v>26097.85</v>
      </c>
      <c r="F7348" s="2">
        <v>25960.3</v>
      </c>
      <c r="G7348" s="3">
        <f t="shared" si="344"/>
        <v>4.5380587749941359E-3</v>
      </c>
      <c r="H7348" s="2">
        <f t="shared" si="342"/>
        <v>137.54999999999927</v>
      </c>
      <c r="I7348" s="3">
        <f t="shared" si="343"/>
        <v>5.2940497267338644E-3</v>
      </c>
    </row>
    <row r="7349" spans="2:9" x14ac:dyDescent="0.25">
      <c r="B7349" s="1">
        <v>45960</v>
      </c>
      <c r="C7349" s="2">
        <v>25877.85</v>
      </c>
      <c r="D7349" s="2">
        <v>25984.400000000001</v>
      </c>
      <c r="E7349" s="2">
        <v>26032.05</v>
      </c>
      <c r="F7349" s="2">
        <v>25845.25</v>
      </c>
      <c r="G7349" s="3">
        <f t="shared" si="344"/>
        <v>-6.7571457632064069E-3</v>
      </c>
      <c r="H7349" s="2">
        <f t="shared" si="342"/>
        <v>186.79999999999927</v>
      </c>
      <c r="I7349" s="3">
        <f t="shared" si="343"/>
        <v>7.1889287418604722E-3</v>
      </c>
    </row>
    <row r="7350" spans="2:9" x14ac:dyDescent="0.25">
      <c r="B7350" s="1">
        <v>45961</v>
      </c>
      <c r="C7350" s="2">
        <v>25722.1</v>
      </c>
      <c r="D7350" s="2">
        <v>25863.8</v>
      </c>
      <c r="E7350" s="2">
        <v>25953.75</v>
      </c>
      <c r="F7350" s="2">
        <v>25711.200000000001</v>
      </c>
      <c r="G7350" s="3">
        <f t="shared" si="344"/>
        <v>-6.0186607465457787E-3</v>
      </c>
      <c r="H7350" s="2">
        <f t="shared" si="342"/>
        <v>242.54999999999927</v>
      </c>
      <c r="I7350" s="3">
        <f t="shared" si="343"/>
        <v>9.3779723010539544E-3</v>
      </c>
    </row>
    <row r="7351" spans="2:9" x14ac:dyDescent="0.25">
      <c r="B7351" s="1">
        <v>45964</v>
      </c>
      <c r="C7351" s="2">
        <v>25763.35</v>
      </c>
      <c r="D7351" s="2">
        <v>25696.85</v>
      </c>
      <c r="E7351" s="2">
        <v>25803.1</v>
      </c>
      <c r="F7351" s="2">
        <v>25645.5</v>
      </c>
      <c r="G7351" s="3">
        <f t="shared" si="344"/>
        <v>1.6036793263380922E-3</v>
      </c>
      <c r="H7351" s="2">
        <f t="shared" si="342"/>
        <v>157.59999999999854</v>
      </c>
      <c r="I7351" s="3">
        <f t="shared" si="343"/>
        <v>6.133047435775146E-3</v>
      </c>
    </row>
    <row r="7352" spans="2:9" x14ac:dyDescent="0.25">
      <c r="B7352" s="1">
        <v>45965</v>
      </c>
      <c r="C7352" s="2">
        <v>25597.65</v>
      </c>
      <c r="D7352" s="2">
        <v>25744.75</v>
      </c>
      <c r="E7352" s="2">
        <v>25787.4</v>
      </c>
      <c r="F7352" s="2">
        <v>25578.400000000001</v>
      </c>
      <c r="G7352" s="3">
        <f t="shared" si="344"/>
        <v>-6.4316170063286604E-3</v>
      </c>
      <c r="H7352" s="2">
        <f t="shared" si="342"/>
        <v>209</v>
      </c>
      <c r="I7352" s="3">
        <f t="shared" si="343"/>
        <v>8.1181600132065757E-3</v>
      </c>
    </row>
    <row r="7353" spans="2:9" x14ac:dyDescent="0.25">
      <c r="B7353" s="1">
        <v>45967</v>
      </c>
      <c r="C7353" s="2">
        <v>25509.7</v>
      </c>
      <c r="D7353" s="2">
        <v>25593.35</v>
      </c>
      <c r="E7353" s="2">
        <v>25679.15</v>
      </c>
      <c r="F7353" s="2">
        <v>25491.55</v>
      </c>
      <c r="G7353" s="3">
        <f t="shared" si="344"/>
        <v>-3.4358622764198987E-3</v>
      </c>
      <c r="H7353" s="2">
        <f t="shared" si="342"/>
        <v>187.60000000000218</v>
      </c>
      <c r="I7353" s="3">
        <f t="shared" si="343"/>
        <v>7.3300290895878103E-3</v>
      </c>
    </row>
    <row r="7354" spans="2:9" x14ac:dyDescent="0.25">
      <c r="B7354" s="1">
        <v>45968</v>
      </c>
      <c r="C7354" s="2">
        <v>25492.3</v>
      </c>
      <c r="D7354" s="2">
        <v>25433.8</v>
      </c>
      <c r="E7354" s="2">
        <v>25551.25</v>
      </c>
      <c r="F7354" s="2">
        <v>25318.45</v>
      </c>
      <c r="G7354" s="3">
        <f t="shared" si="344"/>
        <v>-6.8209347816716726E-4</v>
      </c>
      <c r="H7354" s="2">
        <f t="shared" si="342"/>
        <v>232.79999999999927</v>
      </c>
      <c r="I7354" s="3">
        <f t="shared" si="343"/>
        <v>9.1531741226241956E-3</v>
      </c>
    </row>
    <row r="7355" spans="2:9" x14ac:dyDescent="0.25">
      <c r="B7355" s="1">
        <v>45971</v>
      </c>
      <c r="C7355" s="2">
        <v>25574.35</v>
      </c>
      <c r="D7355" s="2">
        <v>25503.5</v>
      </c>
      <c r="E7355" s="2">
        <v>25653.45</v>
      </c>
      <c r="F7355" s="2">
        <v>25503.5</v>
      </c>
      <c r="G7355" s="3">
        <f t="shared" si="344"/>
        <v>3.2186189555276634E-3</v>
      </c>
      <c r="H7355" s="2">
        <f t="shared" si="342"/>
        <v>149.95000000000073</v>
      </c>
      <c r="I7355" s="3">
        <f t="shared" si="343"/>
        <v>5.8795851549787569E-3</v>
      </c>
    </row>
    <row r="7356" spans="2:9" x14ac:dyDescent="0.25">
      <c r="B7356" s="1">
        <v>45972</v>
      </c>
      <c r="C7356" s="2">
        <v>25694.95</v>
      </c>
      <c r="D7356" s="2">
        <v>25617</v>
      </c>
      <c r="E7356" s="2">
        <v>25715.8</v>
      </c>
      <c r="F7356" s="2">
        <v>25449.25</v>
      </c>
      <c r="G7356" s="3">
        <f t="shared" si="344"/>
        <v>4.7156623726507529E-3</v>
      </c>
      <c r="H7356" s="2">
        <f t="shared" si="342"/>
        <v>266.54999999999927</v>
      </c>
      <c r="I7356" s="3">
        <f t="shared" si="343"/>
        <v>1.0405199672092722E-2</v>
      </c>
    </row>
    <row r="7357" spans="2:9" x14ac:dyDescent="0.25">
      <c r="B7357" s="1">
        <v>45973</v>
      </c>
      <c r="C7357" s="2">
        <v>25875.8</v>
      </c>
      <c r="D7357" s="2">
        <v>25834.3</v>
      </c>
      <c r="E7357" s="2">
        <v>25934.55</v>
      </c>
      <c r="F7357" s="2">
        <v>25781.15</v>
      </c>
      <c r="G7357" s="3">
        <f t="shared" si="344"/>
        <v>7.0383480022337963E-3</v>
      </c>
      <c r="H7357" s="2">
        <f t="shared" si="342"/>
        <v>153.39999999999782</v>
      </c>
      <c r="I7357" s="3">
        <f t="shared" si="343"/>
        <v>5.9378423258999785E-3</v>
      </c>
    </row>
    <row r="7358" spans="2:9" x14ac:dyDescent="0.25">
      <c r="B7358" s="1">
        <v>45974</v>
      </c>
      <c r="C7358" s="2">
        <v>25879.15</v>
      </c>
      <c r="D7358" s="2">
        <v>25906.1</v>
      </c>
      <c r="E7358" s="2">
        <v>26010.7</v>
      </c>
      <c r="F7358" s="2">
        <v>25808.400000000001</v>
      </c>
      <c r="G7358" s="3">
        <f t="shared" si="344"/>
        <v>1.2946459626372864E-4</v>
      </c>
      <c r="H7358" s="2">
        <f t="shared" si="342"/>
        <v>202.29999999999927</v>
      </c>
      <c r="I7358" s="3">
        <f t="shared" si="343"/>
        <v>7.8089716321638252E-3</v>
      </c>
    </row>
    <row r="7359" spans="2:9" x14ac:dyDescent="0.25">
      <c r="B7359" s="1">
        <v>45975</v>
      </c>
      <c r="C7359" s="2">
        <v>25910.05</v>
      </c>
      <c r="D7359" s="2">
        <v>25767.9</v>
      </c>
      <c r="E7359" s="2">
        <v>25940.2</v>
      </c>
      <c r="F7359" s="2">
        <v>25740.799999999999</v>
      </c>
      <c r="G7359" s="3">
        <f t="shared" si="344"/>
        <v>1.194011395273753E-3</v>
      </c>
      <c r="H7359" s="2">
        <f t="shared" si="342"/>
        <v>199.40000000000146</v>
      </c>
      <c r="I7359" s="3">
        <f t="shared" si="343"/>
        <v>7.7383100679528187E-3</v>
      </c>
    </row>
    <row r="7360" spans="2:9" x14ac:dyDescent="0.25">
      <c r="B7360" s="1">
        <v>45978</v>
      </c>
      <c r="C7360" s="2">
        <v>26013.45</v>
      </c>
      <c r="D7360" s="2">
        <v>25948.2</v>
      </c>
      <c r="E7360" s="2">
        <v>26024.2</v>
      </c>
      <c r="F7360" s="2">
        <v>25906.35</v>
      </c>
      <c r="G7360" s="3">
        <f t="shared" si="344"/>
        <v>3.9907294659795589E-3</v>
      </c>
      <c r="H7360" s="2">
        <f t="shared" si="342"/>
        <v>117.85000000000218</v>
      </c>
      <c r="I7360" s="3">
        <f t="shared" si="343"/>
        <v>4.5417408529301526E-3</v>
      </c>
    </row>
    <row r="7361" spans="2:9" x14ac:dyDescent="0.25">
      <c r="B7361" s="1">
        <v>45979</v>
      </c>
      <c r="C7361" s="2">
        <v>25910.05</v>
      </c>
      <c r="D7361" s="2">
        <v>26021.8</v>
      </c>
      <c r="E7361" s="2">
        <v>26029.85</v>
      </c>
      <c r="F7361" s="2">
        <v>25876.5</v>
      </c>
      <c r="G7361" s="3">
        <f t="shared" si="344"/>
        <v>-3.9748668477268545E-3</v>
      </c>
      <c r="H7361" s="2">
        <f t="shared" si="342"/>
        <v>153.34999999999854</v>
      </c>
      <c r="I7361" s="3">
        <f t="shared" si="343"/>
        <v>5.8931357554050275E-3</v>
      </c>
    </row>
    <row r="7362" spans="2:9" x14ac:dyDescent="0.25">
      <c r="B7362" s="1">
        <v>45980</v>
      </c>
      <c r="C7362" s="2">
        <v>26052.65</v>
      </c>
      <c r="D7362" s="2">
        <v>25918.1</v>
      </c>
      <c r="E7362" s="2">
        <v>26074.65</v>
      </c>
      <c r="F7362" s="2">
        <v>25856.2</v>
      </c>
      <c r="G7362" s="3">
        <f t="shared" si="344"/>
        <v>5.5036559172985111E-3</v>
      </c>
      <c r="H7362" s="2">
        <f t="shared" si="342"/>
        <v>218.45000000000073</v>
      </c>
      <c r="I7362" s="3">
        <f t="shared" si="343"/>
        <v>8.4284727661364349E-3</v>
      </c>
    </row>
    <row r="7363" spans="2:9" x14ac:dyDescent="0.25">
      <c r="B7363" s="1">
        <v>45981</v>
      </c>
      <c r="C7363" s="2">
        <v>26192.15</v>
      </c>
      <c r="D7363" s="2">
        <v>26132.1</v>
      </c>
      <c r="E7363" s="2">
        <v>26246.65</v>
      </c>
      <c r="F7363" s="2">
        <v>26063.200000000001</v>
      </c>
      <c r="G7363" s="3">
        <f t="shared" si="344"/>
        <v>5.3545416685059077E-3</v>
      </c>
      <c r="H7363" s="2">
        <f t="shared" si="342"/>
        <v>183.45000000000073</v>
      </c>
      <c r="I7363" s="3">
        <f t="shared" si="343"/>
        <v>7.0201017139839787E-3</v>
      </c>
    </row>
    <row r="7364" spans="2:9" x14ac:dyDescent="0.25">
      <c r="B7364" s="1">
        <v>45982</v>
      </c>
      <c r="C7364" s="2">
        <v>26068.15</v>
      </c>
      <c r="D7364" s="2">
        <v>26109.55</v>
      </c>
      <c r="E7364" s="2">
        <v>26179.200000000001</v>
      </c>
      <c r="F7364" s="2">
        <v>26052.2</v>
      </c>
      <c r="G7364" s="3">
        <f t="shared" si="344"/>
        <v>-4.7342428933859759E-3</v>
      </c>
      <c r="H7364" s="2">
        <f t="shared" si="342"/>
        <v>127</v>
      </c>
      <c r="I7364" s="3">
        <f t="shared" si="343"/>
        <v>4.8641205995507393E-3</v>
      </c>
    </row>
    <row r="7365" spans="2:9" x14ac:dyDescent="0.25">
      <c r="B7365" s="1">
        <v>45985</v>
      </c>
      <c r="C7365" s="2">
        <v>25959.5</v>
      </c>
      <c r="D7365" s="2">
        <v>26122.799999999999</v>
      </c>
      <c r="E7365" s="2">
        <v>26142.799999999999</v>
      </c>
      <c r="F7365" s="2">
        <v>25912.15</v>
      </c>
      <c r="G7365" s="3">
        <f t="shared" si="344"/>
        <v>-4.1679213906625767E-3</v>
      </c>
      <c r="H7365" s="2">
        <f t="shared" ref="H7365:H7428" si="345">E7365-F7365</f>
        <v>230.64999999999782</v>
      </c>
      <c r="I7365" s="3">
        <f t="shared" si="343"/>
        <v>8.8294516667431454E-3</v>
      </c>
    </row>
    <row r="7366" spans="2:9" x14ac:dyDescent="0.25">
      <c r="B7366" s="1">
        <v>45986</v>
      </c>
      <c r="C7366" s="2">
        <v>25884.799999999999</v>
      </c>
      <c r="D7366" s="2">
        <v>25998.5</v>
      </c>
      <c r="E7366" s="2">
        <v>26032.6</v>
      </c>
      <c r="F7366" s="2">
        <v>25857.5</v>
      </c>
      <c r="G7366" s="3">
        <f t="shared" si="344"/>
        <v>-2.8775592750245327E-3</v>
      </c>
      <c r="H7366" s="2">
        <f t="shared" si="345"/>
        <v>175.09999999999854</v>
      </c>
      <c r="I7366" s="3">
        <f t="shared" ref="I7366:I7429" si="346">H7366/D7366</f>
        <v>6.7350039425350906E-3</v>
      </c>
    </row>
    <row r="7367" spans="2:9" x14ac:dyDescent="0.25">
      <c r="B7367" s="1">
        <v>45987</v>
      </c>
      <c r="C7367" s="2">
        <v>26205.3</v>
      </c>
      <c r="D7367" s="2">
        <v>25842.95</v>
      </c>
      <c r="E7367" s="2">
        <v>26215.15</v>
      </c>
      <c r="F7367" s="2">
        <v>25842.95</v>
      </c>
      <c r="G7367" s="3">
        <f t="shared" ref="G7367:G7430" si="347">C7367/C7366-1</f>
        <v>1.238178390406719E-2</v>
      </c>
      <c r="H7367" s="2">
        <f t="shared" si="345"/>
        <v>372.20000000000073</v>
      </c>
      <c r="I7367" s="3">
        <f t="shared" si="346"/>
        <v>1.4402380533182192E-2</v>
      </c>
    </row>
    <row r="7368" spans="2:9" x14ac:dyDescent="0.25">
      <c r="B7368" s="1">
        <v>45988</v>
      </c>
      <c r="C7368" s="2">
        <v>26215.55</v>
      </c>
      <c r="D7368" s="2">
        <v>26261.25</v>
      </c>
      <c r="E7368" s="2">
        <v>26310.45</v>
      </c>
      <c r="F7368" s="2">
        <v>26141.9</v>
      </c>
      <c r="G7368" s="3">
        <f t="shared" si="347"/>
        <v>3.9114224985015156E-4</v>
      </c>
      <c r="H7368" s="2">
        <f t="shared" si="345"/>
        <v>168.54999999999927</v>
      </c>
      <c r="I7368" s="3">
        <f t="shared" si="346"/>
        <v>6.4182017230710372E-3</v>
      </c>
    </row>
    <row r="7369" spans="2:9" x14ac:dyDescent="0.25">
      <c r="B7369" s="1">
        <v>45989</v>
      </c>
      <c r="C7369" s="2">
        <v>26202.95</v>
      </c>
      <c r="D7369" s="2">
        <v>26237.45</v>
      </c>
      <c r="E7369" s="2">
        <v>26280.75</v>
      </c>
      <c r="F7369" s="2">
        <v>26172.400000000001</v>
      </c>
      <c r="G7369" s="3">
        <f t="shared" si="347"/>
        <v>-4.806307706685109E-4</v>
      </c>
      <c r="H7369" s="2">
        <f t="shared" si="345"/>
        <v>108.34999999999854</v>
      </c>
      <c r="I7369" s="3">
        <f t="shared" si="346"/>
        <v>4.1295933865523726E-3</v>
      </c>
    </row>
    <row r="7370" spans="2:9" x14ac:dyDescent="0.25">
      <c r="B7370" s="1">
        <v>45992</v>
      </c>
      <c r="C7370" s="2">
        <v>26175.75</v>
      </c>
      <c r="D7370" s="2">
        <v>26325.8</v>
      </c>
      <c r="E7370" s="2">
        <v>26325.8</v>
      </c>
      <c r="F7370" s="2">
        <v>26124.2</v>
      </c>
      <c r="G7370" s="3">
        <f t="shared" si="347"/>
        <v>-1.0380510591364578E-3</v>
      </c>
      <c r="H7370" s="2">
        <f t="shared" si="345"/>
        <v>201.59999999999854</v>
      </c>
      <c r="I7370" s="3">
        <f t="shared" si="346"/>
        <v>7.6578869398080422E-3</v>
      </c>
    </row>
    <row r="7371" spans="2:9" x14ac:dyDescent="0.25">
      <c r="B7371" s="1">
        <v>45993</v>
      </c>
      <c r="C7371" s="2">
        <v>26032.2</v>
      </c>
      <c r="D7371" s="2">
        <v>26087.95</v>
      </c>
      <c r="E7371" s="2">
        <v>26154.6</v>
      </c>
      <c r="F7371" s="2">
        <v>25997.85</v>
      </c>
      <c r="G7371" s="3">
        <f t="shared" si="347"/>
        <v>-5.4840835506145824E-3</v>
      </c>
      <c r="H7371" s="2">
        <f t="shared" si="345"/>
        <v>156.75</v>
      </c>
      <c r="I7371" s="3">
        <f t="shared" si="346"/>
        <v>6.0085211754852333E-3</v>
      </c>
    </row>
    <row r="7372" spans="2:9" x14ac:dyDescent="0.25">
      <c r="B7372" s="1">
        <v>45994</v>
      </c>
      <c r="C7372" s="2">
        <v>25986</v>
      </c>
      <c r="D7372" s="2">
        <v>26004.9</v>
      </c>
      <c r="E7372" s="2">
        <v>26066.45</v>
      </c>
      <c r="F7372" s="2">
        <v>25891</v>
      </c>
      <c r="G7372" s="3">
        <f t="shared" si="347"/>
        <v>-1.7747251480858539E-3</v>
      </c>
      <c r="H7372" s="2">
        <f t="shared" si="345"/>
        <v>175.45000000000073</v>
      </c>
      <c r="I7372" s="3">
        <f t="shared" si="346"/>
        <v>6.7468054097497288E-3</v>
      </c>
    </row>
    <row r="7373" spans="2:9" x14ac:dyDescent="0.25">
      <c r="B7373" s="1">
        <v>45995</v>
      </c>
      <c r="C7373" s="2">
        <v>26033.75</v>
      </c>
      <c r="D7373" s="2">
        <v>25981.85</v>
      </c>
      <c r="E7373" s="2">
        <v>26098.25</v>
      </c>
      <c r="F7373" s="2">
        <v>25938.95</v>
      </c>
      <c r="G7373" s="3">
        <f t="shared" si="347"/>
        <v>1.8375278996383138E-3</v>
      </c>
      <c r="H7373" s="2">
        <f t="shared" si="345"/>
        <v>159.29999999999927</v>
      </c>
      <c r="I7373" s="3">
        <f t="shared" si="346"/>
        <v>6.1312031283376391E-3</v>
      </c>
    </row>
    <row r="7374" spans="2:9" x14ac:dyDescent="0.25">
      <c r="B7374" s="1">
        <v>45996</v>
      </c>
      <c r="C7374" s="2">
        <v>26186.45</v>
      </c>
      <c r="D7374" s="2">
        <v>25999.8</v>
      </c>
      <c r="E7374" s="2">
        <v>26202.6</v>
      </c>
      <c r="F7374" s="2">
        <v>25985.35</v>
      </c>
      <c r="G7374" s="3">
        <f t="shared" si="347"/>
        <v>5.8654631007826197E-3</v>
      </c>
      <c r="H7374" s="2">
        <f t="shared" si="345"/>
        <v>217.25</v>
      </c>
      <c r="I7374" s="3">
        <f t="shared" si="346"/>
        <v>8.355833506411588E-3</v>
      </c>
    </row>
    <row r="7375" spans="2:9" x14ac:dyDescent="0.25">
      <c r="B7375" s="1">
        <v>45999</v>
      </c>
      <c r="C7375" s="2">
        <v>25960.55</v>
      </c>
      <c r="D7375" s="2">
        <v>26159.8</v>
      </c>
      <c r="E7375" s="2">
        <v>26178.7</v>
      </c>
      <c r="F7375" s="2">
        <v>25892.25</v>
      </c>
      <c r="G7375" s="3">
        <f t="shared" si="347"/>
        <v>-8.626598870790092E-3</v>
      </c>
      <c r="H7375" s="2">
        <f t="shared" si="345"/>
        <v>286.45000000000073</v>
      </c>
      <c r="I7375" s="3">
        <f t="shared" si="346"/>
        <v>1.0950007263052498E-2</v>
      </c>
    </row>
    <row r="7376" spans="2:9" x14ac:dyDescent="0.25">
      <c r="B7376" s="1">
        <v>46000</v>
      </c>
      <c r="C7376" s="2">
        <v>25839.65</v>
      </c>
      <c r="D7376" s="2">
        <v>25867.1</v>
      </c>
      <c r="E7376" s="2">
        <v>25923.65</v>
      </c>
      <c r="F7376" s="2">
        <v>25728</v>
      </c>
      <c r="G7376" s="3">
        <f t="shared" si="347"/>
        <v>-4.6570662023723841E-3</v>
      </c>
      <c r="H7376" s="2">
        <f t="shared" si="345"/>
        <v>195.65000000000146</v>
      </c>
      <c r="I7376" s="3">
        <f t="shared" si="346"/>
        <v>7.5636619489622518E-3</v>
      </c>
    </row>
    <row r="7377" spans="2:9" x14ac:dyDescent="0.25">
      <c r="B7377" s="1">
        <v>46001</v>
      </c>
      <c r="C7377" s="2">
        <v>25758</v>
      </c>
      <c r="D7377" s="2">
        <v>25864.05</v>
      </c>
      <c r="E7377" s="2">
        <v>25947.65</v>
      </c>
      <c r="F7377" s="2">
        <v>25734.55</v>
      </c>
      <c r="G7377" s="3">
        <f t="shared" si="347"/>
        <v>-3.15987252149319E-3</v>
      </c>
      <c r="H7377" s="2">
        <f t="shared" si="345"/>
        <v>213.10000000000218</v>
      </c>
      <c r="I7377" s="3">
        <f t="shared" si="346"/>
        <v>8.2392355412242938E-3</v>
      </c>
    </row>
    <row r="7378" spans="2:9" x14ac:dyDescent="0.25">
      <c r="B7378" s="1">
        <v>46002</v>
      </c>
      <c r="C7378" s="2">
        <v>25898.55</v>
      </c>
      <c r="D7378" s="2">
        <v>25771.4</v>
      </c>
      <c r="E7378" s="2">
        <v>25922.799999999999</v>
      </c>
      <c r="F7378" s="2">
        <v>25693.25</v>
      </c>
      <c r="G7378" s="3">
        <f t="shared" si="347"/>
        <v>5.4565571861169282E-3</v>
      </c>
      <c r="H7378" s="2">
        <f t="shared" si="345"/>
        <v>229.54999999999927</v>
      </c>
      <c r="I7378" s="3">
        <f t="shared" si="346"/>
        <v>8.9071606509541299E-3</v>
      </c>
    </row>
    <row r="7379" spans="2:9" x14ac:dyDescent="0.25">
      <c r="B7379" s="1">
        <v>46003</v>
      </c>
      <c r="C7379" s="2">
        <v>26046.95</v>
      </c>
      <c r="D7379" s="2">
        <v>25971.200000000001</v>
      </c>
      <c r="E7379" s="2">
        <v>26057.599999999999</v>
      </c>
      <c r="F7379" s="2">
        <v>25938.45</v>
      </c>
      <c r="G7379" s="3">
        <f t="shared" si="347"/>
        <v>5.7300505240640565E-3</v>
      </c>
      <c r="H7379" s="2">
        <f t="shared" si="345"/>
        <v>119.14999999999782</v>
      </c>
      <c r="I7379" s="3">
        <f t="shared" si="346"/>
        <v>4.5877741498274172E-3</v>
      </c>
    </row>
    <row r="7380" spans="2:9" x14ac:dyDescent="0.25">
      <c r="B7380" s="1">
        <v>46006</v>
      </c>
      <c r="C7380" s="2">
        <v>26027.3</v>
      </c>
      <c r="D7380" s="2">
        <v>25930.05</v>
      </c>
      <c r="E7380" s="2">
        <v>26047.15</v>
      </c>
      <c r="F7380" s="2">
        <v>25904.75</v>
      </c>
      <c r="G7380" s="3">
        <f t="shared" si="347"/>
        <v>-7.5440694591888402E-4</v>
      </c>
      <c r="H7380" s="2">
        <f t="shared" si="345"/>
        <v>142.40000000000146</v>
      </c>
      <c r="I7380" s="3">
        <f t="shared" si="346"/>
        <v>5.4916978563481931E-3</v>
      </c>
    </row>
    <row r="7381" spans="2:9" x14ac:dyDescent="0.25">
      <c r="B7381" s="1">
        <v>46007</v>
      </c>
      <c r="C7381" s="2">
        <v>25860.1</v>
      </c>
      <c r="D7381" s="2">
        <v>25951.5</v>
      </c>
      <c r="E7381" s="2">
        <v>25980.75</v>
      </c>
      <c r="F7381" s="2">
        <v>25834.35</v>
      </c>
      <c r="G7381" s="3">
        <f t="shared" si="347"/>
        <v>-6.4240240055634112E-3</v>
      </c>
      <c r="H7381" s="2">
        <f t="shared" si="345"/>
        <v>146.40000000000146</v>
      </c>
      <c r="I7381" s="3">
        <f t="shared" si="346"/>
        <v>5.6412924108433602E-3</v>
      </c>
    </row>
    <row r="7382" spans="2:9" x14ac:dyDescent="0.25">
      <c r="B7382" s="1">
        <v>46008</v>
      </c>
      <c r="C7382" s="2">
        <v>25818.55</v>
      </c>
      <c r="D7382" s="2">
        <v>25902.400000000001</v>
      </c>
      <c r="E7382" s="2">
        <v>25929.15</v>
      </c>
      <c r="F7382" s="2">
        <v>25770.35</v>
      </c>
      <c r="G7382" s="3">
        <f t="shared" si="347"/>
        <v>-1.6067223251263751E-3</v>
      </c>
      <c r="H7382" s="2">
        <f t="shared" si="345"/>
        <v>158.80000000000291</v>
      </c>
      <c r="I7382" s="3">
        <f t="shared" si="346"/>
        <v>6.1307060349621231E-3</v>
      </c>
    </row>
    <row r="7383" spans="2:9" x14ac:dyDescent="0.25">
      <c r="B7383" s="1">
        <v>46009</v>
      </c>
      <c r="C7383" s="2">
        <v>25815.55</v>
      </c>
      <c r="D7383" s="2">
        <v>25764.7</v>
      </c>
      <c r="E7383" s="2">
        <v>25902.35</v>
      </c>
      <c r="F7383" s="2">
        <v>25726.3</v>
      </c>
      <c r="G7383" s="3">
        <f t="shared" si="347"/>
        <v>-1.1619552608488348E-4</v>
      </c>
      <c r="H7383" s="2">
        <f t="shared" si="345"/>
        <v>176.04999999999927</v>
      </c>
      <c r="I7383" s="3">
        <f t="shared" si="346"/>
        <v>6.8329924276238135E-3</v>
      </c>
    </row>
    <row r="7384" spans="2:9" x14ac:dyDescent="0.25">
      <c r="B7384" s="1">
        <v>46010</v>
      </c>
      <c r="C7384" s="2">
        <v>25966.400000000001</v>
      </c>
      <c r="D7384" s="2">
        <v>25911.5</v>
      </c>
      <c r="E7384" s="2">
        <v>25993.35</v>
      </c>
      <c r="F7384" s="2">
        <v>25880.45</v>
      </c>
      <c r="G7384" s="3">
        <f t="shared" si="347"/>
        <v>5.8433773442752024E-3</v>
      </c>
      <c r="H7384" s="2">
        <f t="shared" si="345"/>
        <v>112.89999999999782</v>
      </c>
      <c r="I7384" s="3">
        <f t="shared" si="346"/>
        <v>4.357138722188905E-3</v>
      </c>
    </row>
    <row r="7385" spans="2:9" x14ac:dyDescent="0.25">
      <c r="B7385" s="1">
        <v>46013</v>
      </c>
      <c r="C7385" s="2">
        <v>26172.400000000001</v>
      </c>
      <c r="D7385" s="2">
        <v>26055.85</v>
      </c>
      <c r="E7385" s="2">
        <v>26180.7</v>
      </c>
      <c r="F7385" s="2">
        <v>26047.8</v>
      </c>
      <c r="G7385" s="3">
        <f t="shared" si="347"/>
        <v>7.9333292254606391E-3</v>
      </c>
      <c r="H7385" s="2">
        <f t="shared" si="345"/>
        <v>132.90000000000146</v>
      </c>
      <c r="I7385" s="3">
        <f t="shared" si="346"/>
        <v>5.1005820190092232E-3</v>
      </c>
    </row>
    <row r="7386" spans="2:9" x14ac:dyDescent="0.25">
      <c r="B7386" s="1">
        <v>46014</v>
      </c>
      <c r="C7386" s="2">
        <v>26177.15</v>
      </c>
      <c r="D7386" s="2">
        <v>26205.200000000001</v>
      </c>
      <c r="E7386" s="2">
        <v>26233.55</v>
      </c>
      <c r="F7386" s="2">
        <v>26119.05</v>
      </c>
      <c r="G7386" s="3">
        <f t="shared" si="347"/>
        <v>1.8148889670044355E-4</v>
      </c>
      <c r="H7386" s="2">
        <f t="shared" si="345"/>
        <v>114.5</v>
      </c>
      <c r="I7386" s="3">
        <f t="shared" si="346"/>
        <v>4.3693618060537606E-3</v>
      </c>
    </row>
    <row r="7387" spans="2:9" x14ac:dyDescent="0.25">
      <c r="B7387" s="1">
        <v>46015</v>
      </c>
      <c r="C7387" s="2">
        <v>26142.1</v>
      </c>
      <c r="D7387" s="2">
        <v>26170.65</v>
      </c>
      <c r="E7387" s="2">
        <v>26236.400000000001</v>
      </c>
      <c r="F7387" s="2">
        <v>26123</v>
      </c>
      <c r="G7387" s="3">
        <f t="shared" si="347"/>
        <v>-1.3389540114184806E-3</v>
      </c>
      <c r="H7387" s="2">
        <f t="shared" si="345"/>
        <v>113.40000000000146</v>
      </c>
      <c r="I7387" s="3">
        <f t="shared" si="346"/>
        <v>4.3330983372595428E-3</v>
      </c>
    </row>
    <row r="7388" spans="2:9" x14ac:dyDescent="0.25">
      <c r="B7388" s="1">
        <v>46017</v>
      </c>
      <c r="C7388" s="2">
        <v>26042.3</v>
      </c>
      <c r="D7388" s="2">
        <v>26121.25</v>
      </c>
      <c r="E7388" s="2">
        <v>26144.2</v>
      </c>
      <c r="F7388" s="2">
        <v>26008.6</v>
      </c>
      <c r="G7388" s="3">
        <f t="shared" si="347"/>
        <v>-3.8175969030797008E-3</v>
      </c>
      <c r="H7388" s="2">
        <f t="shared" si="345"/>
        <v>135.60000000000218</v>
      </c>
      <c r="I7388" s="3">
        <f t="shared" si="346"/>
        <v>5.1911757668565706E-3</v>
      </c>
    </row>
    <row r="7389" spans="2:9" x14ac:dyDescent="0.25">
      <c r="B7389" s="1">
        <v>46020</v>
      </c>
      <c r="C7389" s="2">
        <v>25942.1</v>
      </c>
      <c r="D7389" s="2">
        <v>26063.35</v>
      </c>
      <c r="E7389" s="2">
        <v>26106.799999999999</v>
      </c>
      <c r="F7389" s="2">
        <v>25920.3</v>
      </c>
      <c r="G7389" s="3">
        <f t="shared" si="347"/>
        <v>-3.8475864266981352E-3</v>
      </c>
      <c r="H7389" s="2">
        <f t="shared" si="345"/>
        <v>186.5</v>
      </c>
      <c r="I7389" s="3">
        <f t="shared" si="346"/>
        <v>7.1556419263064802E-3</v>
      </c>
    </row>
    <row r="7390" spans="2:9" x14ac:dyDescent="0.25">
      <c r="B7390" s="1">
        <v>46021</v>
      </c>
      <c r="C7390" s="2">
        <v>25938.85</v>
      </c>
      <c r="D7390" s="2">
        <v>25940.9</v>
      </c>
      <c r="E7390" s="2">
        <v>25976.75</v>
      </c>
      <c r="F7390" s="2">
        <v>25878</v>
      </c>
      <c r="G7390" s="3">
        <f t="shared" si="347"/>
        <v>-1.2527898666647719E-4</v>
      </c>
      <c r="H7390" s="2">
        <f t="shared" si="345"/>
        <v>98.75</v>
      </c>
      <c r="I7390" s="3">
        <f t="shared" si="346"/>
        <v>3.8067299129945372E-3</v>
      </c>
    </row>
    <row r="7391" spans="2:9" x14ac:dyDescent="0.25">
      <c r="B7391" s="1">
        <v>46022</v>
      </c>
      <c r="C7391" s="2">
        <v>26129.599999999999</v>
      </c>
      <c r="D7391" s="2">
        <v>25971.05</v>
      </c>
      <c r="E7391" s="2">
        <v>26187.95</v>
      </c>
      <c r="F7391" s="2">
        <v>25969</v>
      </c>
      <c r="G7391" s="3">
        <f t="shared" si="347"/>
        <v>7.3538341136942798E-3</v>
      </c>
      <c r="H7391" s="2">
        <f t="shared" si="345"/>
        <v>218.95000000000073</v>
      </c>
      <c r="I7391" s="3">
        <f t="shared" si="346"/>
        <v>8.4305409292269942E-3</v>
      </c>
    </row>
    <row r="7392" spans="2:9" x14ac:dyDescent="0.25">
      <c r="B7392" s="1">
        <v>46023</v>
      </c>
      <c r="C7392" s="2">
        <v>26146.55</v>
      </c>
      <c r="D7392" s="2">
        <v>26173.3</v>
      </c>
      <c r="E7392" s="2">
        <v>26197.55</v>
      </c>
      <c r="F7392" s="2">
        <v>26113.4</v>
      </c>
      <c r="G7392" s="3">
        <f t="shared" si="347"/>
        <v>6.4868960871966586E-4</v>
      </c>
      <c r="H7392" s="2">
        <f t="shared" si="345"/>
        <v>84.149999999997817</v>
      </c>
      <c r="I7392" s="3">
        <f t="shared" si="346"/>
        <v>3.215108526628198E-3</v>
      </c>
    </row>
    <row r="7393" spans="2:9" x14ac:dyDescent="0.25">
      <c r="B7393" s="1">
        <v>46024</v>
      </c>
      <c r="C7393" s="2">
        <v>26328.55</v>
      </c>
      <c r="D7393" s="2">
        <v>26155.1</v>
      </c>
      <c r="E7393" s="2">
        <v>26340</v>
      </c>
      <c r="F7393" s="2">
        <v>26118.400000000001</v>
      </c>
      <c r="G7393" s="3">
        <f t="shared" si="347"/>
        <v>6.9607653782239876E-3</v>
      </c>
      <c r="H7393" s="2">
        <f t="shared" si="345"/>
        <v>221.59999999999854</v>
      </c>
      <c r="I7393" s="3">
        <f t="shared" si="346"/>
        <v>8.4725349931752715E-3</v>
      </c>
    </row>
    <row r="7394" spans="2:9" x14ac:dyDescent="0.25">
      <c r="B7394" s="1">
        <v>46027</v>
      </c>
      <c r="C7394" s="2">
        <v>26250.3</v>
      </c>
      <c r="D7394" s="2">
        <v>26333.7</v>
      </c>
      <c r="E7394" s="2">
        <v>26373.200000000001</v>
      </c>
      <c r="F7394" s="2">
        <v>26210.05</v>
      </c>
      <c r="G7394" s="3">
        <f t="shared" si="347"/>
        <v>-2.9720588486642496E-3</v>
      </c>
      <c r="H7394" s="2">
        <f t="shared" si="345"/>
        <v>163.15000000000146</v>
      </c>
      <c r="I7394" s="3">
        <f t="shared" si="346"/>
        <v>6.1954833540293032E-3</v>
      </c>
    </row>
    <row r="7395" spans="2:9" x14ac:dyDescent="0.25">
      <c r="B7395" s="1">
        <v>46028</v>
      </c>
      <c r="C7395" s="2">
        <v>26178.7</v>
      </c>
      <c r="D7395" s="2">
        <v>26189.7</v>
      </c>
      <c r="E7395" s="2">
        <v>26273.95</v>
      </c>
      <c r="F7395" s="2">
        <v>26124.75</v>
      </c>
      <c r="G7395" s="3">
        <f t="shared" si="347"/>
        <v>-2.7275878751861216E-3</v>
      </c>
      <c r="H7395" s="2">
        <f t="shared" si="345"/>
        <v>149.20000000000073</v>
      </c>
      <c r="I7395" s="3">
        <f t="shared" si="346"/>
        <v>5.6968961080119561E-3</v>
      </c>
    </row>
    <row r="7396" spans="2:9" x14ac:dyDescent="0.25">
      <c r="B7396" s="1">
        <v>46029</v>
      </c>
      <c r="C7396" s="2">
        <v>26140.75</v>
      </c>
      <c r="D7396" s="2">
        <v>26143.1</v>
      </c>
      <c r="E7396" s="2">
        <v>26187.15</v>
      </c>
      <c r="F7396" s="2">
        <v>26067.9</v>
      </c>
      <c r="G7396" s="3">
        <f t="shared" si="347"/>
        <v>-1.4496518161711824E-3</v>
      </c>
      <c r="H7396" s="2">
        <f t="shared" si="345"/>
        <v>119.25</v>
      </c>
      <c r="I7396" s="3">
        <f t="shared" si="346"/>
        <v>4.5614330358679728E-3</v>
      </c>
    </row>
    <row r="7397" spans="2:9" x14ac:dyDescent="0.25">
      <c r="B7397" s="1">
        <v>46030</v>
      </c>
      <c r="C7397" s="2">
        <v>25876.85</v>
      </c>
      <c r="D7397" s="2">
        <v>26106.5</v>
      </c>
      <c r="E7397" s="2">
        <v>26133.200000000001</v>
      </c>
      <c r="F7397" s="2">
        <v>25858.45</v>
      </c>
      <c r="G7397" s="3">
        <f t="shared" si="347"/>
        <v>-1.0095349215305638E-2</v>
      </c>
      <c r="H7397" s="2">
        <f t="shared" si="345"/>
        <v>274.75</v>
      </c>
      <c r="I7397" s="3">
        <f t="shared" si="346"/>
        <v>1.0524198954283416E-2</v>
      </c>
    </row>
    <row r="7398" spans="2:9" x14ac:dyDescent="0.25">
      <c r="B7398" s="1">
        <v>46031</v>
      </c>
      <c r="C7398" s="2">
        <v>25683.3</v>
      </c>
      <c r="D7398" s="2">
        <v>25840.400000000001</v>
      </c>
      <c r="E7398" s="2">
        <v>25940.6</v>
      </c>
      <c r="F7398" s="2">
        <v>25623</v>
      </c>
      <c r="G7398" s="3">
        <f t="shared" si="347"/>
        <v>-7.4796584592019544E-3</v>
      </c>
      <c r="H7398" s="2">
        <f t="shared" si="345"/>
        <v>317.59999999999854</v>
      </c>
      <c r="I7398" s="3">
        <f t="shared" si="346"/>
        <v>1.2290831411278406E-2</v>
      </c>
    </row>
    <row r="7399" spans="2:9" x14ac:dyDescent="0.25">
      <c r="B7399" s="1">
        <v>46034</v>
      </c>
      <c r="C7399" s="2">
        <v>25790.25</v>
      </c>
      <c r="D7399" s="2">
        <v>25669.05</v>
      </c>
      <c r="E7399" s="2">
        <v>25813.15</v>
      </c>
      <c r="F7399" s="2">
        <v>25473.4</v>
      </c>
      <c r="G7399" s="3">
        <f t="shared" si="347"/>
        <v>4.164184509000135E-3</v>
      </c>
      <c r="H7399" s="2">
        <f t="shared" si="345"/>
        <v>339.75</v>
      </c>
      <c r="I7399" s="3">
        <f t="shared" si="346"/>
        <v>1.3235783949931922E-2</v>
      </c>
    </row>
    <row r="7400" spans="2:9" x14ac:dyDescent="0.25">
      <c r="B7400" s="1">
        <v>46035</v>
      </c>
      <c r="C7400" s="2">
        <v>25732.3</v>
      </c>
      <c r="D7400" s="2">
        <v>25897.35</v>
      </c>
      <c r="E7400" s="2">
        <v>25899.8</v>
      </c>
      <c r="F7400" s="2">
        <v>25603.3</v>
      </c>
      <c r="G7400" s="3">
        <f t="shared" si="347"/>
        <v>-2.2469731778482771E-3</v>
      </c>
      <c r="H7400" s="2">
        <f t="shared" si="345"/>
        <v>296.5</v>
      </c>
      <c r="I7400" s="3">
        <f t="shared" si="346"/>
        <v>1.1449047875554836E-2</v>
      </c>
    </row>
    <row r="7401" spans="2:9" x14ac:dyDescent="0.25">
      <c r="B7401" s="1">
        <v>46036</v>
      </c>
      <c r="C7401" s="2">
        <v>25665.599999999999</v>
      </c>
      <c r="D7401" s="2">
        <v>25648.55</v>
      </c>
      <c r="E7401" s="2">
        <v>25791.75</v>
      </c>
      <c r="F7401" s="2">
        <v>25603.95</v>
      </c>
      <c r="G7401" s="3">
        <f t="shared" si="347"/>
        <v>-2.5920729977498835E-3</v>
      </c>
      <c r="H7401" s="2">
        <f t="shared" si="345"/>
        <v>187.79999999999927</v>
      </c>
      <c r="I7401" s="3">
        <f t="shared" si="346"/>
        <v>7.3220513440330655E-3</v>
      </c>
    </row>
    <row r="7402" spans="2:9" x14ac:dyDescent="0.25">
      <c r="B7402" s="1">
        <v>46038</v>
      </c>
      <c r="C7402" s="2">
        <v>25694.35</v>
      </c>
      <c r="D7402" s="2">
        <v>25696.05</v>
      </c>
      <c r="E7402" s="2">
        <v>25873.5</v>
      </c>
      <c r="F7402" s="2">
        <v>25662.400000000001</v>
      </c>
      <c r="G7402" s="3">
        <f t="shared" si="347"/>
        <v>1.1201764229162858E-3</v>
      </c>
      <c r="H7402" s="2">
        <f t="shared" si="345"/>
        <v>211.09999999999854</v>
      </c>
      <c r="I7402" s="3">
        <f t="shared" si="346"/>
        <v>8.2152704403983708E-3</v>
      </c>
    </row>
    <row r="7403" spans="2:9" x14ac:dyDescent="0.25">
      <c r="B7403" s="1">
        <v>46041</v>
      </c>
      <c r="C7403" s="2">
        <v>25585.5</v>
      </c>
      <c r="D7403" s="2">
        <v>25653.1</v>
      </c>
      <c r="E7403" s="2">
        <v>25653.3</v>
      </c>
      <c r="F7403" s="2">
        <v>25494.35</v>
      </c>
      <c r="G7403" s="3">
        <f t="shared" si="347"/>
        <v>-4.2363398957357967E-3</v>
      </c>
      <c r="H7403" s="2">
        <f t="shared" si="345"/>
        <v>158.95000000000073</v>
      </c>
      <c r="I7403" s="3">
        <f t="shared" si="346"/>
        <v>6.1961322413275873E-3</v>
      </c>
    </row>
    <row r="7404" spans="2:9" x14ac:dyDescent="0.25">
      <c r="B7404" s="1">
        <v>46042</v>
      </c>
      <c r="C7404" s="2">
        <v>25232.5</v>
      </c>
      <c r="D7404" s="2">
        <v>25580.3</v>
      </c>
      <c r="E7404" s="2">
        <v>25585</v>
      </c>
      <c r="F7404" s="2">
        <v>25171.35</v>
      </c>
      <c r="G7404" s="3">
        <f t="shared" si="347"/>
        <v>-1.3796877137441155E-2</v>
      </c>
      <c r="H7404" s="2">
        <f t="shared" si="345"/>
        <v>413.65000000000146</v>
      </c>
      <c r="I7404" s="3">
        <f t="shared" si="346"/>
        <v>1.6170646943155533E-2</v>
      </c>
    </row>
    <row r="7405" spans="2:9" x14ac:dyDescent="0.25">
      <c r="B7405" s="1">
        <v>46043</v>
      </c>
      <c r="C7405" s="2">
        <v>25157.5</v>
      </c>
      <c r="D7405" s="2">
        <v>25141</v>
      </c>
      <c r="E7405" s="2">
        <v>25300.95</v>
      </c>
      <c r="F7405" s="2">
        <v>24919.8</v>
      </c>
      <c r="G7405" s="3">
        <f t="shared" si="347"/>
        <v>-2.9723570791637677E-3</v>
      </c>
      <c r="H7405" s="2">
        <f t="shared" si="345"/>
        <v>381.15000000000146</v>
      </c>
      <c r="I7405" s="3">
        <f t="shared" si="346"/>
        <v>1.5160494809275744E-2</v>
      </c>
    </row>
    <row r="7406" spans="2:9" x14ac:dyDescent="0.25">
      <c r="B7406" s="1">
        <v>46044</v>
      </c>
      <c r="C7406" s="2">
        <v>25289.9</v>
      </c>
      <c r="D7406" s="2">
        <v>25344.15</v>
      </c>
      <c r="E7406" s="2">
        <v>25435.75</v>
      </c>
      <c r="F7406" s="2">
        <v>25168.5</v>
      </c>
      <c r="G7406" s="3">
        <f t="shared" si="347"/>
        <v>5.2628440822817257E-3</v>
      </c>
      <c r="H7406" s="2">
        <f t="shared" si="345"/>
        <v>267.25</v>
      </c>
      <c r="I7406" s="3">
        <f t="shared" si="346"/>
        <v>1.0544839736191585E-2</v>
      </c>
    </row>
    <row r="7407" spans="2:9" x14ac:dyDescent="0.25">
      <c r="B7407" s="1">
        <v>46045</v>
      </c>
      <c r="C7407" s="2">
        <v>25048.65</v>
      </c>
      <c r="D7407" s="2">
        <v>25344.6</v>
      </c>
      <c r="E7407" s="2">
        <v>25347.95</v>
      </c>
      <c r="F7407" s="2">
        <v>25025.3</v>
      </c>
      <c r="G7407" s="3">
        <f t="shared" si="347"/>
        <v>-9.5393813340503009E-3</v>
      </c>
      <c r="H7407" s="2">
        <f t="shared" si="345"/>
        <v>322.65000000000146</v>
      </c>
      <c r="I7407" s="3">
        <f t="shared" si="346"/>
        <v>1.2730522478161086E-2</v>
      </c>
    </row>
    <row r="7408" spans="2:9" x14ac:dyDescent="0.25">
      <c r="B7408" s="1">
        <v>46049</v>
      </c>
      <c r="C7408" s="2">
        <v>25175.4</v>
      </c>
      <c r="D7408" s="2">
        <v>25063.35</v>
      </c>
      <c r="E7408" s="2">
        <v>25246.65</v>
      </c>
      <c r="F7408" s="2">
        <v>24932.55</v>
      </c>
      <c r="G7408" s="3">
        <f t="shared" si="347"/>
        <v>5.0601529423741631E-3</v>
      </c>
      <c r="H7408" s="2">
        <f t="shared" si="345"/>
        <v>314.10000000000218</v>
      </c>
      <c r="I7408" s="3">
        <f t="shared" si="346"/>
        <v>1.2532243295489317E-2</v>
      </c>
    </row>
    <row r="7409" spans="2:9" x14ac:dyDescent="0.25">
      <c r="B7409" s="1">
        <v>46050</v>
      </c>
      <c r="C7409" s="2">
        <v>25342.75</v>
      </c>
      <c r="D7409" s="2">
        <v>25258.85</v>
      </c>
      <c r="E7409" s="2">
        <v>25372.1</v>
      </c>
      <c r="F7409" s="2">
        <v>25187.65</v>
      </c>
      <c r="G7409" s="3">
        <f t="shared" si="347"/>
        <v>6.6473621074540912E-3</v>
      </c>
      <c r="H7409" s="2">
        <f t="shared" si="345"/>
        <v>184.44999999999709</v>
      </c>
      <c r="I7409" s="3">
        <f t="shared" si="346"/>
        <v>7.3023910431392206E-3</v>
      </c>
    </row>
    <row r="7410" spans="2:9" x14ac:dyDescent="0.25">
      <c r="B7410" s="1">
        <v>46051</v>
      </c>
      <c r="C7410" s="2">
        <v>25418.9</v>
      </c>
      <c r="D7410" s="2">
        <v>25345</v>
      </c>
      <c r="E7410" s="2">
        <v>25458.15</v>
      </c>
      <c r="F7410" s="2">
        <v>25159.8</v>
      </c>
      <c r="G7410" s="3">
        <f t="shared" si="347"/>
        <v>3.004804135305017E-3</v>
      </c>
      <c r="H7410" s="2">
        <f t="shared" si="345"/>
        <v>298.35000000000218</v>
      </c>
      <c r="I7410" s="3">
        <f t="shared" si="346"/>
        <v>1.1771552574472368E-2</v>
      </c>
    </row>
    <row r="7411" spans="2:9" x14ac:dyDescent="0.25">
      <c r="B7411" s="1">
        <v>46052</v>
      </c>
      <c r="C7411" s="2">
        <v>25320.65</v>
      </c>
      <c r="D7411" s="2">
        <v>25247.55</v>
      </c>
      <c r="E7411" s="2">
        <v>25370.7</v>
      </c>
      <c r="F7411" s="2">
        <v>25213.65</v>
      </c>
      <c r="G7411" s="3">
        <f t="shared" si="347"/>
        <v>-3.8652341368037302E-3</v>
      </c>
      <c r="H7411" s="2">
        <f t="shared" si="345"/>
        <v>157.04999999999927</v>
      </c>
      <c r="I7411" s="3">
        <f t="shared" si="346"/>
        <v>6.2204055443003097E-3</v>
      </c>
    </row>
    <row r="7412" spans="2:9" x14ac:dyDescent="0.25">
      <c r="B7412" s="1">
        <v>46054</v>
      </c>
      <c r="C7412" s="2">
        <v>24825.45</v>
      </c>
      <c r="D7412" s="2">
        <v>25333.75</v>
      </c>
      <c r="E7412" s="2">
        <v>25440.9</v>
      </c>
      <c r="F7412" s="2">
        <v>24571.75</v>
      </c>
      <c r="G7412" s="3">
        <f t="shared" si="347"/>
        <v>-1.955715986753892E-2</v>
      </c>
      <c r="H7412" s="2">
        <f t="shared" si="345"/>
        <v>869.15000000000146</v>
      </c>
      <c r="I7412" s="3">
        <f t="shared" si="346"/>
        <v>3.430798835545474E-2</v>
      </c>
    </row>
    <row r="7413" spans="2:9" x14ac:dyDescent="0.25">
      <c r="B7413" s="1">
        <v>46055</v>
      </c>
      <c r="C7413" s="2">
        <v>25088.400000000001</v>
      </c>
      <c r="D7413" s="2">
        <v>24796.5</v>
      </c>
      <c r="E7413" s="2">
        <v>25108.1</v>
      </c>
      <c r="F7413" s="2">
        <v>24679.4</v>
      </c>
      <c r="G7413" s="3">
        <f t="shared" si="347"/>
        <v>1.05919530159575E-2</v>
      </c>
      <c r="H7413" s="2">
        <f t="shared" si="345"/>
        <v>428.69999999999709</v>
      </c>
      <c r="I7413" s="3">
        <f t="shared" si="346"/>
        <v>1.7288730264351706E-2</v>
      </c>
    </row>
    <row r="7414" spans="2:9" x14ac:dyDescent="0.25">
      <c r="B7414" s="1">
        <v>46056</v>
      </c>
      <c r="C7414" s="2">
        <v>25727.55</v>
      </c>
      <c r="D7414" s="2">
        <v>26308.05</v>
      </c>
      <c r="E7414" s="2">
        <v>26341.200000000001</v>
      </c>
      <c r="F7414" s="2">
        <v>25641.3</v>
      </c>
      <c r="G7414" s="3">
        <f t="shared" si="347"/>
        <v>2.5475917156932981E-2</v>
      </c>
      <c r="H7414" s="2">
        <f t="shared" si="345"/>
        <v>699.90000000000146</v>
      </c>
      <c r="I7414" s="3">
        <f t="shared" si="346"/>
        <v>2.6604024243530078E-2</v>
      </c>
    </row>
    <row r="7415" spans="2:9" x14ac:dyDescent="0.25">
      <c r="B7415" s="1">
        <v>46057</v>
      </c>
      <c r="C7415" s="2">
        <v>25776</v>
      </c>
      <c r="D7415" s="2">
        <v>25675.05</v>
      </c>
      <c r="E7415" s="2">
        <v>25818.55</v>
      </c>
      <c r="F7415" s="2">
        <v>25563.95</v>
      </c>
      <c r="G7415" s="3">
        <f t="shared" si="347"/>
        <v>1.8831952517825989E-3</v>
      </c>
      <c r="H7415" s="2">
        <f t="shared" si="345"/>
        <v>254.59999999999854</v>
      </c>
      <c r="I7415" s="3">
        <f t="shared" si="346"/>
        <v>9.9162416431515642E-3</v>
      </c>
    </row>
    <row r="7416" spans="2:9" x14ac:dyDescent="0.25">
      <c r="B7416" s="1">
        <v>46058</v>
      </c>
      <c r="C7416" s="2">
        <v>25642.799999999999</v>
      </c>
      <c r="D7416" s="2">
        <v>25755.9</v>
      </c>
      <c r="E7416" s="2">
        <v>25757.65</v>
      </c>
      <c r="F7416" s="2">
        <v>25579.5</v>
      </c>
      <c r="G7416" s="3">
        <f t="shared" si="347"/>
        <v>-5.16759776536313E-3</v>
      </c>
      <c r="H7416" s="2">
        <f t="shared" si="345"/>
        <v>178.15000000000146</v>
      </c>
      <c r="I7416" s="3">
        <f t="shared" si="346"/>
        <v>6.9168617675950533E-3</v>
      </c>
    </row>
    <row r="7417" spans="2:9" x14ac:dyDescent="0.25">
      <c r="B7417" s="1">
        <v>46059</v>
      </c>
      <c r="C7417" s="2">
        <v>25693.7</v>
      </c>
      <c r="D7417" s="2">
        <v>25605.8</v>
      </c>
      <c r="E7417" s="2">
        <v>25703.95</v>
      </c>
      <c r="F7417" s="2">
        <v>25491.9</v>
      </c>
      <c r="G7417" s="3">
        <f t="shared" si="347"/>
        <v>1.9849626405852305E-3</v>
      </c>
      <c r="H7417" s="2">
        <f t="shared" si="345"/>
        <v>212.04999999999927</v>
      </c>
      <c r="I7417" s="3">
        <f t="shared" si="346"/>
        <v>8.281326886877164E-3</v>
      </c>
    </row>
    <row r="7418" spans="2:9" x14ac:dyDescent="0.25">
      <c r="B7418" s="1">
        <v>46062</v>
      </c>
      <c r="C7418" s="2">
        <v>25867.3</v>
      </c>
      <c r="D7418" s="2">
        <v>25888.7</v>
      </c>
      <c r="E7418" s="2">
        <v>25922.25</v>
      </c>
      <c r="F7418" s="2">
        <v>25780.9</v>
      </c>
      <c r="G7418" s="3">
        <f t="shared" si="347"/>
        <v>6.7565200807979675E-3</v>
      </c>
      <c r="H7418" s="2">
        <f t="shared" si="345"/>
        <v>141.34999999999854</v>
      </c>
      <c r="I7418" s="3">
        <f t="shared" si="346"/>
        <v>5.4599110808962424E-3</v>
      </c>
    </row>
    <row r="7419" spans="2:9" x14ac:dyDescent="0.25">
      <c r="B7419" s="1">
        <v>46063</v>
      </c>
      <c r="C7419" s="2">
        <v>25935.15</v>
      </c>
      <c r="D7419" s="2">
        <v>25922.65</v>
      </c>
      <c r="E7419" s="2">
        <v>25989.45</v>
      </c>
      <c r="F7419" s="2">
        <v>25870.45</v>
      </c>
      <c r="G7419" s="3">
        <f t="shared" si="347"/>
        <v>2.6230027873028749E-3</v>
      </c>
      <c r="H7419" s="2">
        <f t="shared" si="345"/>
        <v>119</v>
      </c>
      <c r="I7419" s="3">
        <f t="shared" si="346"/>
        <v>4.590580052579501E-3</v>
      </c>
    </row>
    <row r="7420" spans="2:9" x14ac:dyDescent="0.25">
      <c r="B7420" s="1">
        <v>46064</v>
      </c>
      <c r="C7420" s="2">
        <v>25953.85</v>
      </c>
      <c r="D7420" s="2">
        <v>25997.45</v>
      </c>
      <c r="E7420" s="2">
        <v>26009.4</v>
      </c>
      <c r="F7420" s="2">
        <v>25899.8</v>
      </c>
      <c r="G7420" s="3">
        <f t="shared" si="347"/>
        <v>7.2102918240291025E-4</v>
      </c>
      <c r="H7420" s="2">
        <f t="shared" si="345"/>
        <v>109.60000000000218</v>
      </c>
      <c r="I7420" s="3">
        <f t="shared" si="346"/>
        <v>4.2157980878894732E-3</v>
      </c>
    </row>
    <row r="7421" spans="2:9" x14ac:dyDescent="0.25">
      <c r="B7421" s="1">
        <v>46065</v>
      </c>
      <c r="C7421" s="2">
        <v>25807.200000000001</v>
      </c>
      <c r="D7421" s="2">
        <v>25906.7</v>
      </c>
      <c r="E7421" s="2">
        <v>25906.7</v>
      </c>
      <c r="F7421" s="2">
        <v>25752.400000000001</v>
      </c>
      <c r="G7421" s="3">
        <f t="shared" si="347"/>
        <v>-5.6504141004127817E-3</v>
      </c>
      <c r="H7421" s="2">
        <f t="shared" si="345"/>
        <v>154.29999999999927</v>
      </c>
      <c r="I7421" s="3">
        <f t="shared" si="346"/>
        <v>5.9559882192637146E-3</v>
      </c>
    </row>
    <row r="7422" spans="2:9" x14ac:dyDescent="0.25">
      <c r="B7422" s="1">
        <v>46066</v>
      </c>
      <c r="C7422" s="2">
        <v>25471.1</v>
      </c>
      <c r="D7422" s="2">
        <v>25571.15</v>
      </c>
      <c r="E7422" s="2">
        <v>25630.35</v>
      </c>
      <c r="F7422" s="2">
        <v>25444.3</v>
      </c>
      <c r="G7422" s="3">
        <f t="shared" si="347"/>
        <v>-1.3023497318577881E-2</v>
      </c>
      <c r="H7422" s="2">
        <f t="shared" si="345"/>
        <v>186.04999999999927</v>
      </c>
      <c r="I7422" s="3">
        <f t="shared" si="346"/>
        <v>7.2757775852865143E-3</v>
      </c>
    </row>
    <row r="7423" spans="2:9" x14ac:dyDescent="0.25">
      <c r="B7423" s="1">
        <v>46069</v>
      </c>
      <c r="C7423" s="2">
        <v>25682.75</v>
      </c>
      <c r="D7423" s="2">
        <v>25423.599999999999</v>
      </c>
      <c r="E7423" s="2">
        <v>25697</v>
      </c>
      <c r="F7423" s="2">
        <v>25372.7</v>
      </c>
      <c r="G7423" s="3">
        <f t="shared" si="347"/>
        <v>8.3094173396516258E-3</v>
      </c>
      <c r="H7423" s="2">
        <f t="shared" si="345"/>
        <v>324.29999999999927</v>
      </c>
      <c r="I7423" s="3">
        <f t="shared" si="346"/>
        <v>1.2755864629714096E-2</v>
      </c>
    </row>
    <row r="7424" spans="2:9" x14ac:dyDescent="0.25">
      <c r="B7424" s="1">
        <v>46070</v>
      </c>
      <c r="C7424" s="2">
        <v>25725.4</v>
      </c>
      <c r="D7424" s="2">
        <v>25637.95</v>
      </c>
      <c r="E7424" s="2">
        <v>25764.400000000001</v>
      </c>
      <c r="F7424" s="2">
        <v>25570.3</v>
      </c>
      <c r="G7424" s="3">
        <f t="shared" si="347"/>
        <v>1.6606477110123752E-3</v>
      </c>
      <c r="H7424" s="2">
        <f t="shared" si="345"/>
        <v>194.10000000000218</v>
      </c>
      <c r="I7424" s="3">
        <f t="shared" si="346"/>
        <v>7.5708081184338912E-3</v>
      </c>
    </row>
    <row r="7425" spans="2:9" x14ac:dyDescent="0.25">
      <c r="B7425" s="1">
        <v>46071</v>
      </c>
      <c r="C7425" s="2">
        <v>25819.35</v>
      </c>
      <c r="D7425" s="2">
        <v>25752.65</v>
      </c>
      <c r="E7425" s="2">
        <v>25828.05</v>
      </c>
      <c r="F7425" s="2">
        <v>25645.15</v>
      </c>
      <c r="G7425" s="3">
        <f t="shared" si="347"/>
        <v>3.6520326214557475E-3</v>
      </c>
      <c r="H7425" s="2">
        <f t="shared" si="345"/>
        <v>182.89999999999782</v>
      </c>
      <c r="I7425" s="3">
        <f t="shared" si="346"/>
        <v>7.1021817172212494E-3</v>
      </c>
    </row>
    <row r="7426" spans="2:9" x14ac:dyDescent="0.25">
      <c r="B7426" s="1">
        <v>46072</v>
      </c>
      <c r="C7426" s="2">
        <v>25454.35</v>
      </c>
      <c r="D7426" s="2">
        <v>25873.35</v>
      </c>
      <c r="E7426" s="2">
        <v>25885.3</v>
      </c>
      <c r="F7426" s="2">
        <v>25388.75</v>
      </c>
      <c r="G7426" s="3">
        <f t="shared" si="347"/>
        <v>-1.4136684308474035E-2</v>
      </c>
      <c r="H7426" s="2">
        <f t="shared" si="345"/>
        <v>496.54999999999927</v>
      </c>
      <c r="I7426" s="3">
        <f t="shared" si="346"/>
        <v>1.9191561974000248E-2</v>
      </c>
    </row>
    <row r="7427" spans="2:9" x14ac:dyDescent="0.25">
      <c r="B7427" s="1">
        <v>46073</v>
      </c>
      <c r="C7427" s="2">
        <v>25571.25</v>
      </c>
      <c r="D7427" s="2">
        <v>25406.55</v>
      </c>
      <c r="E7427" s="2">
        <v>25663.55</v>
      </c>
      <c r="F7427" s="2">
        <v>25379.75</v>
      </c>
      <c r="G7427" s="3">
        <f t="shared" si="347"/>
        <v>4.5925352641100758E-3</v>
      </c>
      <c r="H7427" s="2">
        <f t="shared" si="345"/>
        <v>283.79999999999927</v>
      </c>
      <c r="I7427" s="3">
        <f t="shared" si="346"/>
        <v>1.1170347804011141E-2</v>
      </c>
    </row>
    <row r="7428" spans="2:9" x14ac:dyDescent="0.25">
      <c r="B7428" s="1">
        <v>46076</v>
      </c>
      <c r="C7428" s="2">
        <v>25713</v>
      </c>
      <c r="D7428" s="2">
        <v>25678.400000000001</v>
      </c>
      <c r="E7428" s="2">
        <v>25771.45</v>
      </c>
      <c r="F7428" s="2">
        <v>25609.35</v>
      </c>
      <c r="G7428" s="3">
        <f t="shared" si="347"/>
        <v>5.5433347998239402E-3</v>
      </c>
      <c r="H7428" s="2">
        <f t="shared" si="345"/>
        <v>162.10000000000218</v>
      </c>
      <c r="I7428" s="3">
        <f t="shared" si="346"/>
        <v>6.3126986105054121E-3</v>
      </c>
    </row>
    <row r="7429" spans="2:9" x14ac:dyDescent="0.25">
      <c r="B7429" s="1">
        <v>46077</v>
      </c>
      <c r="C7429" s="2">
        <v>25424.65</v>
      </c>
      <c r="D7429" s="2">
        <v>25641.8</v>
      </c>
      <c r="E7429" s="2">
        <v>25641.8</v>
      </c>
      <c r="F7429" s="2">
        <v>25327.599999999999</v>
      </c>
      <c r="G7429" s="3">
        <f t="shared" si="347"/>
        <v>-1.1214171819702079E-2</v>
      </c>
      <c r="H7429" s="2">
        <f t="shared" ref="H7429:H7492" si="348">E7429-F7429</f>
        <v>314.20000000000073</v>
      </c>
      <c r="I7429" s="3">
        <f t="shared" si="346"/>
        <v>1.2253429946415647E-2</v>
      </c>
    </row>
    <row r="7430" spans="2:9" x14ac:dyDescent="0.25">
      <c r="B7430" s="1">
        <v>46078</v>
      </c>
      <c r="C7430" s="2">
        <v>25482.5</v>
      </c>
      <c r="D7430" s="2">
        <v>25512.6</v>
      </c>
      <c r="E7430" s="2">
        <v>25652.6</v>
      </c>
      <c r="F7430" s="2">
        <v>25428.2</v>
      </c>
      <c r="G7430" s="3">
        <f t="shared" si="347"/>
        <v>2.275350889786143E-3</v>
      </c>
      <c r="H7430" s="2">
        <f t="shared" si="348"/>
        <v>224.39999999999782</v>
      </c>
      <c r="I7430" s="3">
        <f t="shared" ref="I7430:I7493" si="349">H7430/D7430</f>
        <v>8.795653912184483E-3</v>
      </c>
    </row>
    <row r="7431" spans="2:9" x14ac:dyDescent="0.25">
      <c r="B7431" s="1">
        <v>46079</v>
      </c>
      <c r="C7431" s="2">
        <v>25496.55</v>
      </c>
      <c r="D7431" s="2">
        <v>25556.3</v>
      </c>
      <c r="E7431" s="2">
        <v>25572.95</v>
      </c>
      <c r="F7431" s="2">
        <v>25400.95</v>
      </c>
      <c r="G7431" s="3">
        <f t="shared" ref="G7431:G7494" si="350">C7431/C7430-1</f>
        <v>5.5135877563028401E-4</v>
      </c>
      <c r="H7431" s="2">
        <f t="shared" si="348"/>
        <v>172</v>
      </c>
      <c r="I7431" s="3">
        <f t="shared" si="349"/>
        <v>6.730238727828363E-3</v>
      </c>
    </row>
    <row r="7432" spans="2:9" x14ac:dyDescent="0.25">
      <c r="B7432" s="1">
        <v>46080</v>
      </c>
      <c r="C7432" s="2">
        <v>25178.65</v>
      </c>
      <c r="D7432" s="2">
        <v>25459.85</v>
      </c>
      <c r="E7432" s="2">
        <v>25476.400000000001</v>
      </c>
      <c r="F7432" s="2">
        <v>25141.3</v>
      </c>
      <c r="G7432" s="3">
        <f t="shared" si="350"/>
        <v>-1.2468353561560175E-2</v>
      </c>
      <c r="H7432" s="2">
        <f t="shared" si="348"/>
        <v>335.10000000000218</v>
      </c>
      <c r="I7432" s="3">
        <f t="shared" si="349"/>
        <v>1.3161900011194182E-2</v>
      </c>
    </row>
    <row r="7433" spans="2:9" x14ac:dyDescent="0.25">
      <c r="B7433" s="1">
        <v>46083</v>
      </c>
      <c r="C7433" s="2">
        <v>24865.7</v>
      </c>
      <c r="D7433" s="2">
        <v>24659.25</v>
      </c>
      <c r="E7433" s="2">
        <v>24989.35</v>
      </c>
      <c r="F7433" s="2">
        <v>24603.5</v>
      </c>
      <c r="G7433" s="3">
        <f t="shared" si="350"/>
        <v>-1.2429181072059148E-2</v>
      </c>
      <c r="H7433" s="2">
        <f t="shared" si="348"/>
        <v>385.84999999999854</v>
      </c>
      <c r="I7433" s="3">
        <f t="shared" si="349"/>
        <v>1.5647272321745332E-2</v>
      </c>
    </row>
    <row r="7434" spans="2:9" x14ac:dyDescent="0.25">
      <c r="B7434" s="1">
        <v>46085</v>
      </c>
      <c r="C7434" s="2">
        <v>24480.5</v>
      </c>
      <c r="D7434" s="2">
        <v>24388.799999999999</v>
      </c>
      <c r="E7434" s="2">
        <v>24602.45</v>
      </c>
      <c r="F7434" s="2">
        <v>24305.4</v>
      </c>
      <c r="G7434" s="3">
        <f t="shared" si="350"/>
        <v>-1.5491218827541564E-2</v>
      </c>
      <c r="H7434" s="2">
        <f t="shared" si="348"/>
        <v>297.04999999999927</v>
      </c>
      <c r="I7434" s="3">
        <f t="shared" si="349"/>
        <v>1.2179771042445683E-2</v>
      </c>
    </row>
    <row r="7435" spans="2:9" x14ac:dyDescent="0.25">
      <c r="B7435" s="1">
        <v>46086</v>
      </c>
      <c r="C7435" s="2">
        <v>24765.9</v>
      </c>
      <c r="D7435" s="2">
        <v>24615.95</v>
      </c>
      <c r="E7435" s="2">
        <v>24854.2</v>
      </c>
      <c r="F7435" s="2">
        <v>24529.4</v>
      </c>
      <c r="G7435" s="3">
        <f t="shared" si="350"/>
        <v>1.1658258613999051E-2</v>
      </c>
      <c r="H7435" s="2">
        <f t="shared" si="348"/>
        <v>324.79999999999927</v>
      </c>
      <c r="I7435" s="3">
        <f t="shared" si="349"/>
        <v>1.3194696934304761E-2</v>
      </c>
    </row>
    <row r="7436" spans="2:9" x14ac:dyDescent="0.25">
      <c r="B7436" s="1">
        <v>46087</v>
      </c>
      <c r="C7436" s="2">
        <v>24450.45</v>
      </c>
      <c r="D7436" s="2">
        <v>24656.400000000001</v>
      </c>
      <c r="E7436" s="2">
        <v>24700.9</v>
      </c>
      <c r="F7436" s="2">
        <v>24415.75</v>
      </c>
      <c r="G7436" s="3">
        <f t="shared" si="350"/>
        <v>-1.2737271813259343E-2</v>
      </c>
      <c r="H7436" s="2">
        <f t="shared" si="348"/>
        <v>285.15000000000146</v>
      </c>
      <c r="I7436" s="3">
        <f t="shared" si="349"/>
        <v>1.1564948654304822E-2</v>
      </c>
    </row>
    <row r="7437" spans="2:9" x14ac:dyDescent="0.25">
      <c r="B7437" s="1">
        <v>46090</v>
      </c>
      <c r="C7437" s="2">
        <v>24028.05</v>
      </c>
      <c r="D7437" s="2">
        <v>23868.05</v>
      </c>
      <c r="E7437" s="2">
        <v>24078.15</v>
      </c>
      <c r="F7437" s="2">
        <v>23697.8</v>
      </c>
      <c r="G7437" s="3">
        <f t="shared" si="350"/>
        <v>-1.7275755660938863E-2</v>
      </c>
      <c r="H7437" s="2">
        <f t="shared" si="348"/>
        <v>380.35000000000218</v>
      </c>
      <c r="I7437" s="3">
        <f t="shared" si="349"/>
        <v>1.5935528876468843E-2</v>
      </c>
    </row>
    <row r="7438" spans="2:9" x14ac:dyDescent="0.25">
      <c r="B7438" s="1">
        <v>46091</v>
      </c>
      <c r="C7438" s="2">
        <v>24261.599999999999</v>
      </c>
      <c r="D7438" s="2">
        <v>24280.799999999999</v>
      </c>
      <c r="E7438" s="2">
        <v>24303.8</v>
      </c>
      <c r="F7438" s="2">
        <v>24079.95</v>
      </c>
      <c r="G7438" s="3">
        <f t="shared" si="350"/>
        <v>9.7198898787043131E-3</v>
      </c>
      <c r="H7438" s="2">
        <f t="shared" si="348"/>
        <v>223.84999999999854</v>
      </c>
      <c r="I7438" s="3">
        <f t="shared" si="349"/>
        <v>9.2192184771506102E-3</v>
      </c>
    </row>
    <row r="7439" spans="2:9" x14ac:dyDescent="0.25">
      <c r="B7439" s="1">
        <v>46092</v>
      </c>
      <c r="C7439" s="2">
        <v>23866.85</v>
      </c>
      <c r="D7439" s="2">
        <v>24231.85</v>
      </c>
      <c r="E7439" s="2">
        <v>24299</v>
      </c>
      <c r="F7439" s="2">
        <v>23834.3</v>
      </c>
      <c r="G7439" s="3">
        <f t="shared" si="350"/>
        <v>-1.6270567481122433E-2</v>
      </c>
      <c r="H7439" s="2">
        <f t="shared" si="348"/>
        <v>464.70000000000073</v>
      </c>
      <c r="I7439" s="3">
        <f t="shared" si="349"/>
        <v>1.9177239872316839E-2</v>
      </c>
    </row>
    <row r="7440" spans="2:9" x14ac:dyDescent="0.25">
      <c r="B7440" s="1">
        <v>46093</v>
      </c>
      <c r="C7440" s="2">
        <v>23639.15</v>
      </c>
      <c r="D7440" s="2">
        <v>23674.85</v>
      </c>
      <c r="E7440" s="2">
        <v>23833.15</v>
      </c>
      <c r="F7440" s="2">
        <v>23556.3</v>
      </c>
      <c r="G7440" s="3">
        <f t="shared" si="350"/>
        <v>-9.5404295078738155E-3</v>
      </c>
      <c r="H7440" s="2">
        <f t="shared" si="348"/>
        <v>276.85000000000218</v>
      </c>
      <c r="I7440" s="3">
        <f t="shared" si="349"/>
        <v>1.169384388919052E-2</v>
      </c>
    </row>
    <row r="7441" spans="2:9" x14ac:dyDescent="0.25">
      <c r="B7441" s="1">
        <v>46094</v>
      </c>
      <c r="C7441" s="2">
        <v>23151.1</v>
      </c>
      <c r="D7441" s="2">
        <v>23462.5</v>
      </c>
      <c r="E7441" s="2">
        <v>23492.400000000001</v>
      </c>
      <c r="F7441" s="2">
        <v>23112</v>
      </c>
      <c r="G7441" s="3">
        <f t="shared" si="350"/>
        <v>-2.0645835404403456E-2</v>
      </c>
      <c r="H7441" s="2">
        <f t="shared" si="348"/>
        <v>380.40000000000146</v>
      </c>
      <c r="I7441" s="3">
        <f t="shared" si="349"/>
        <v>1.6213106020245133E-2</v>
      </c>
    </row>
    <row r="7442" spans="2:9" x14ac:dyDescent="0.25">
      <c r="B7442" s="1">
        <v>46097</v>
      </c>
      <c r="C7442" s="2">
        <v>23408.799999999999</v>
      </c>
      <c r="D7442" s="2">
        <v>23116.1</v>
      </c>
      <c r="E7442" s="2">
        <v>23502</v>
      </c>
      <c r="F7442" s="2">
        <v>22955.25</v>
      </c>
      <c r="G7442" s="3">
        <f t="shared" si="350"/>
        <v>1.1131220546755971E-2</v>
      </c>
      <c r="H7442" s="2">
        <f t="shared" si="348"/>
        <v>546.75</v>
      </c>
      <c r="I7442" s="3">
        <f t="shared" si="349"/>
        <v>2.3652346200267349E-2</v>
      </c>
    </row>
    <row r="7443" spans="2:9" x14ac:dyDescent="0.25">
      <c r="B7443" s="1">
        <v>46098</v>
      </c>
      <c r="C7443" s="2">
        <v>23581.15</v>
      </c>
      <c r="D7443" s="2">
        <v>23493.200000000001</v>
      </c>
      <c r="E7443" s="2">
        <v>23656.799999999999</v>
      </c>
      <c r="F7443" s="2">
        <v>23346.6</v>
      </c>
      <c r="G7443" s="3">
        <f t="shared" si="350"/>
        <v>7.3626157684290039E-3</v>
      </c>
      <c r="H7443" s="2">
        <f t="shared" si="348"/>
        <v>310.20000000000073</v>
      </c>
      <c r="I7443" s="3">
        <f t="shared" si="349"/>
        <v>1.3203820680026592E-2</v>
      </c>
    </row>
    <row r="7444" spans="2:9" x14ac:dyDescent="0.25">
      <c r="B7444" s="1">
        <v>46099</v>
      </c>
      <c r="C7444" s="2">
        <v>23777.8</v>
      </c>
      <c r="D7444" s="2">
        <v>23632.9</v>
      </c>
      <c r="E7444" s="2">
        <v>23862.25</v>
      </c>
      <c r="F7444" s="2">
        <v>23618.45</v>
      </c>
      <c r="G7444" s="3">
        <f t="shared" si="350"/>
        <v>8.3392879482127036E-3</v>
      </c>
      <c r="H7444" s="2">
        <f t="shared" si="348"/>
        <v>243.79999999999927</v>
      </c>
      <c r="I7444" s="3">
        <f t="shared" si="349"/>
        <v>1.0316127094008745E-2</v>
      </c>
    </row>
    <row r="7445" spans="2:9" x14ac:dyDescent="0.25">
      <c r="B7445" s="1">
        <v>46100</v>
      </c>
      <c r="C7445" s="2">
        <v>23002.15</v>
      </c>
      <c r="D7445" s="2">
        <v>23197.75</v>
      </c>
      <c r="E7445" s="2">
        <v>23378.7</v>
      </c>
      <c r="F7445" s="2">
        <v>22930.35</v>
      </c>
      <c r="G7445" s="3">
        <f t="shared" si="350"/>
        <v>-3.2620763905828021E-2</v>
      </c>
      <c r="H7445" s="2">
        <f t="shared" si="348"/>
        <v>448.35000000000218</v>
      </c>
      <c r="I7445" s="3">
        <f t="shared" si="349"/>
        <v>1.9327305449882086E-2</v>
      </c>
    </row>
    <row r="7446" spans="2:9" x14ac:dyDescent="0.25">
      <c r="B7446" s="1">
        <v>46101</v>
      </c>
      <c r="C7446" s="2">
        <v>23114.5</v>
      </c>
      <c r="D7446" s="2">
        <v>23110.15</v>
      </c>
      <c r="E7446" s="2">
        <v>23345.15</v>
      </c>
      <c r="F7446" s="2">
        <v>23067.599999999999</v>
      </c>
      <c r="G7446" s="3">
        <f t="shared" si="350"/>
        <v>4.8843260303927938E-3</v>
      </c>
      <c r="H7446" s="2">
        <f t="shared" si="348"/>
        <v>277.55000000000291</v>
      </c>
      <c r="I7446" s="3">
        <f t="shared" si="349"/>
        <v>1.200987444910582E-2</v>
      </c>
    </row>
    <row r="7447" spans="2:9" x14ac:dyDescent="0.25">
      <c r="B7447" s="1">
        <v>46104</v>
      </c>
      <c r="C7447" s="2">
        <v>22512.65</v>
      </c>
      <c r="D7447" s="2">
        <v>22824.35</v>
      </c>
      <c r="E7447" s="2">
        <v>22851.7</v>
      </c>
      <c r="F7447" s="2">
        <v>22471.25</v>
      </c>
      <c r="G7447" s="3">
        <f t="shared" si="350"/>
        <v>-2.6037768500291936E-2</v>
      </c>
      <c r="H7447" s="2">
        <f t="shared" si="348"/>
        <v>380.45000000000073</v>
      </c>
      <c r="I7447" s="3">
        <f t="shared" si="349"/>
        <v>1.6668601734551071E-2</v>
      </c>
    </row>
    <row r="7448" spans="2:9" x14ac:dyDescent="0.25">
      <c r="B7448" s="1">
        <v>46105</v>
      </c>
      <c r="C7448" s="2">
        <v>22912.400000000001</v>
      </c>
      <c r="D7448" s="2">
        <v>22878.45</v>
      </c>
      <c r="E7448" s="2">
        <v>23057.3</v>
      </c>
      <c r="F7448" s="2">
        <v>22624.2</v>
      </c>
      <c r="G7448" s="3">
        <f t="shared" si="350"/>
        <v>1.7756683464629885E-2</v>
      </c>
      <c r="H7448" s="2">
        <f t="shared" si="348"/>
        <v>433.09999999999854</v>
      </c>
      <c r="I7448" s="3">
        <f t="shared" si="349"/>
        <v>1.8930478244811103E-2</v>
      </c>
    </row>
    <row r="7449" spans="2:9" x14ac:dyDescent="0.25">
      <c r="B7449" s="1">
        <v>46106</v>
      </c>
      <c r="C7449" s="2">
        <v>23306.45</v>
      </c>
      <c r="D7449" s="2">
        <v>23064.400000000001</v>
      </c>
      <c r="E7449" s="2">
        <v>23465.35</v>
      </c>
      <c r="F7449" s="2">
        <v>23063.200000000001</v>
      </c>
      <c r="G7449" s="3">
        <f t="shared" si="350"/>
        <v>1.7198111066496713E-2</v>
      </c>
      <c r="H7449" s="2">
        <f t="shared" si="348"/>
        <v>402.14999999999782</v>
      </c>
      <c r="I7449" s="3">
        <f t="shared" si="349"/>
        <v>1.7435961915332625E-2</v>
      </c>
    </row>
    <row r="7450" spans="2:9" x14ac:dyDescent="0.25">
      <c r="B7450" s="1">
        <v>46108</v>
      </c>
      <c r="C7450" s="2">
        <v>22819.599999999999</v>
      </c>
      <c r="D7450" s="2">
        <v>23173.55</v>
      </c>
      <c r="E7450" s="2">
        <v>23186.1</v>
      </c>
      <c r="F7450" s="2">
        <v>22804.55</v>
      </c>
      <c r="G7450" s="3">
        <f t="shared" si="350"/>
        <v>-2.0889067189554966E-2</v>
      </c>
      <c r="H7450" s="2">
        <f t="shared" si="348"/>
        <v>381.54999999999927</v>
      </c>
      <c r="I7450" s="3">
        <f t="shared" si="349"/>
        <v>1.6464892086020453E-2</v>
      </c>
    </row>
    <row r="7451" spans="2:9" x14ac:dyDescent="0.25">
      <c r="B7451" s="1">
        <v>46111</v>
      </c>
      <c r="C7451" s="2">
        <v>22331.4</v>
      </c>
      <c r="D7451" s="2">
        <v>22549.65</v>
      </c>
      <c r="E7451" s="2">
        <v>22714.1</v>
      </c>
      <c r="F7451" s="2">
        <v>22283.85</v>
      </c>
      <c r="G7451" s="3">
        <f t="shared" si="350"/>
        <v>-2.1393889463443561E-2</v>
      </c>
      <c r="H7451" s="2">
        <f t="shared" si="348"/>
        <v>430.25</v>
      </c>
      <c r="I7451" s="3">
        <f t="shared" si="349"/>
        <v>1.9080118760158138E-2</v>
      </c>
    </row>
    <row r="7452" spans="2:9" x14ac:dyDescent="0.25">
      <c r="B7452" s="1">
        <v>46113</v>
      </c>
      <c r="C7452" s="2">
        <v>22679.4</v>
      </c>
      <c r="D7452" s="2">
        <v>22899</v>
      </c>
      <c r="E7452" s="2">
        <v>22941.3</v>
      </c>
      <c r="F7452" s="2">
        <v>22618.6</v>
      </c>
      <c r="G7452" s="3">
        <f t="shared" si="350"/>
        <v>1.5583438566323604E-2</v>
      </c>
      <c r="H7452" s="2">
        <f t="shared" si="348"/>
        <v>322.70000000000073</v>
      </c>
      <c r="I7452" s="3">
        <f t="shared" si="349"/>
        <v>1.4092318441853388E-2</v>
      </c>
    </row>
    <row r="7453" spans="2:9" x14ac:dyDescent="0.25">
      <c r="B7453" s="1">
        <v>46114</v>
      </c>
      <c r="C7453" s="2">
        <v>22713.1</v>
      </c>
      <c r="D7453" s="2">
        <v>22383.4</v>
      </c>
      <c r="E7453" s="2">
        <v>22782.3</v>
      </c>
      <c r="F7453" s="2">
        <v>22182.55</v>
      </c>
      <c r="G7453" s="3">
        <f t="shared" si="350"/>
        <v>1.4859299628737777E-3</v>
      </c>
      <c r="H7453" s="2">
        <f t="shared" si="348"/>
        <v>599.75</v>
      </c>
      <c r="I7453" s="3">
        <f t="shared" si="349"/>
        <v>2.6794410143231143E-2</v>
      </c>
    </row>
    <row r="7454" spans="2:9" x14ac:dyDescent="0.25">
      <c r="B7454" s="1">
        <v>46118</v>
      </c>
      <c r="C7454" s="2">
        <v>22968.25</v>
      </c>
      <c r="D7454" s="2">
        <v>22780.3</v>
      </c>
      <c r="E7454" s="2">
        <v>22998.35</v>
      </c>
      <c r="F7454" s="2">
        <v>22542.95</v>
      </c>
      <c r="G7454" s="3">
        <f t="shared" si="350"/>
        <v>1.123360527625028E-2</v>
      </c>
      <c r="H7454" s="2">
        <f t="shared" si="348"/>
        <v>455.39999999999782</v>
      </c>
      <c r="I7454" s="3">
        <f t="shared" si="349"/>
        <v>1.9990957098896759E-2</v>
      </c>
    </row>
    <row r="7455" spans="2:9" x14ac:dyDescent="0.25">
      <c r="B7455" s="1">
        <v>46119</v>
      </c>
      <c r="C7455" s="2">
        <v>23123.65</v>
      </c>
      <c r="D7455" s="2">
        <v>22838.7</v>
      </c>
      <c r="E7455" s="2">
        <v>23153.85</v>
      </c>
      <c r="F7455" s="2">
        <v>22719.3</v>
      </c>
      <c r="G7455" s="3">
        <f t="shared" si="350"/>
        <v>6.7658615697756552E-3</v>
      </c>
      <c r="H7455" s="2">
        <f t="shared" si="348"/>
        <v>434.54999999999927</v>
      </c>
      <c r="I7455" s="3">
        <f t="shared" si="349"/>
        <v>1.9026914841913035E-2</v>
      </c>
    </row>
    <row r="7456" spans="2:9" x14ac:dyDescent="0.25">
      <c r="B7456" s="1">
        <v>46120</v>
      </c>
      <c r="C7456" s="2">
        <v>23997.35</v>
      </c>
      <c r="D7456" s="2">
        <v>23855.15</v>
      </c>
      <c r="E7456" s="2">
        <v>24025.15</v>
      </c>
      <c r="F7456" s="2">
        <v>23828.5</v>
      </c>
      <c r="G7456" s="3">
        <f t="shared" si="350"/>
        <v>3.7783827380192925E-2</v>
      </c>
      <c r="H7456" s="2">
        <f t="shared" si="348"/>
        <v>196.65000000000146</v>
      </c>
      <c r="I7456" s="3">
        <f t="shared" si="349"/>
        <v>8.2435029752485917E-3</v>
      </c>
    </row>
    <row r="7457" spans="2:9" x14ac:dyDescent="0.25">
      <c r="B7457" s="1">
        <v>46121</v>
      </c>
      <c r="C7457" s="2">
        <v>23775.1</v>
      </c>
      <c r="D7457" s="2">
        <v>23909.05</v>
      </c>
      <c r="E7457" s="2">
        <v>23990.75</v>
      </c>
      <c r="F7457" s="2">
        <v>23682.799999999999</v>
      </c>
      <c r="G7457" s="3">
        <f t="shared" si="350"/>
        <v>-9.2614392839209803E-3</v>
      </c>
      <c r="H7457" s="2">
        <f t="shared" si="348"/>
        <v>307.95000000000073</v>
      </c>
      <c r="I7457" s="3">
        <f t="shared" si="349"/>
        <v>1.2880060060939299E-2</v>
      </c>
    </row>
    <row r="7458" spans="2:9" x14ac:dyDescent="0.25">
      <c r="B7458" s="1">
        <v>46122</v>
      </c>
      <c r="C7458" s="2">
        <v>24050.6</v>
      </c>
      <c r="D7458" s="2">
        <v>23880.55</v>
      </c>
      <c r="E7458" s="2">
        <v>24074.05</v>
      </c>
      <c r="F7458" s="2">
        <v>23856.35</v>
      </c>
      <c r="G7458" s="3">
        <f t="shared" si="350"/>
        <v>1.1587753574117565E-2</v>
      </c>
      <c r="H7458" s="2">
        <f t="shared" si="348"/>
        <v>217.70000000000073</v>
      </c>
      <c r="I7458" s="3">
        <f t="shared" si="349"/>
        <v>9.1162054475295053E-3</v>
      </c>
    </row>
    <row r="7459" spans="2:9" x14ac:dyDescent="0.25">
      <c r="B7459" s="1">
        <v>46125</v>
      </c>
      <c r="C7459" s="2">
        <v>23842.65</v>
      </c>
      <c r="D7459" s="2">
        <v>23589.599999999999</v>
      </c>
      <c r="E7459" s="2">
        <v>23907.4</v>
      </c>
      <c r="F7459" s="2">
        <v>23555.599999999999</v>
      </c>
      <c r="G7459" s="3">
        <f t="shared" si="350"/>
        <v>-8.6463539371157694E-3</v>
      </c>
      <c r="H7459" s="2">
        <f t="shared" si="348"/>
        <v>351.80000000000291</v>
      </c>
      <c r="I7459" s="3">
        <f t="shared" si="349"/>
        <v>1.4913351646488408E-2</v>
      </c>
    </row>
    <row r="7460" spans="2:9" x14ac:dyDescent="0.25">
      <c r="B7460" s="1">
        <v>46127</v>
      </c>
      <c r="C7460" s="2">
        <v>24231.3</v>
      </c>
      <c r="D7460" s="2">
        <v>24163.8</v>
      </c>
      <c r="E7460" s="2">
        <v>24280.9</v>
      </c>
      <c r="F7460" s="2">
        <v>24145.8</v>
      </c>
      <c r="G7460" s="3">
        <f t="shared" si="350"/>
        <v>1.6300620946077649E-2</v>
      </c>
      <c r="H7460" s="2">
        <f t="shared" si="348"/>
        <v>135.10000000000218</v>
      </c>
      <c r="I7460" s="3">
        <f t="shared" si="349"/>
        <v>5.5910080368154922E-3</v>
      </c>
    </row>
    <row r="7461" spans="2:9" x14ac:dyDescent="0.25">
      <c r="B7461" s="1">
        <v>46128</v>
      </c>
      <c r="C7461" s="2">
        <v>24196.75</v>
      </c>
      <c r="D7461" s="2">
        <v>24385.200000000001</v>
      </c>
      <c r="E7461" s="2">
        <v>24400.95</v>
      </c>
      <c r="F7461" s="2">
        <v>24102.799999999999</v>
      </c>
      <c r="G7461" s="3">
        <f t="shared" si="350"/>
        <v>-1.4258417831481962E-3</v>
      </c>
      <c r="H7461" s="2">
        <f t="shared" si="348"/>
        <v>298.15000000000146</v>
      </c>
      <c r="I7461" s="3">
        <f t="shared" si="349"/>
        <v>1.2226678477109126E-2</v>
      </c>
    </row>
    <row r="7462" spans="2:9" x14ac:dyDescent="0.25">
      <c r="B7462" s="1">
        <v>46129</v>
      </c>
      <c r="C7462" s="2">
        <v>24353.55</v>
      </c>
      <c r="D7462" s="2">
        <v>24165.9</v>
      </c>
      <c r="E7462" s="2">
        <v>24371.9</v>
      </c>
      <c r="F7462" s="2">
        <v>24096.05</v>
      </c>
      <c r="G7462" s="3">
        <f t="shared" si="350"/>
        <v>6.4802091189932742E-3</v>
      </c>
      <c r="H7462" s="2">
        <f t="shared" si="348"/>
        <v>275.85000000000218</v>
      </c>
      <c r="I7462" s="3">
        <f t="shared" si="349"/>
        <v>1.1414844884734364E-2</v>
      </c>
    </row>
    <row r="7463" spans="2:9" x14ac:dyDescent="0.25">
      <c r="B7463" s="1">
        <v>46132</v>
      </c>
      <c r="C7463" s="2">
        <v>24364.85</v>
      </c>
      <c r="D7463" s="2">
        <v>24391.5</v>
      </c>
      <c r="E7463" s="2">
        <v>24480.65</v>
      </c>
      <c r="F7463" s="2">
        <v>24241.25</v>
      </c>
      <c r="G7463" s="3">
        <f t="shared" si="350"/>
        <v>4.6399806188412995E-4</v>
      </c>
      <c r="H7463" s="2">
        <f t="shared" si="348"/>
        <v>239.40000000000146</v>
      </c>
      <c r="I7463" s="3">
        <f t="shared" si="349"/>
        <v>9.8148945329316131E-3</v>
      </c>
    </row>
    <row r="7464" spans="2:9" x14ac:dyDescent="0.25">
      <c r="B7464" s="1">
        <v>46133</v>
      </c>
      <c r="C7464" s="2">
        <v>24576.6</v>
      </c>
      <c r="D7464" s="2">
        <v>24374.55</v>
      </c>
      <c r="E7464" s="2">
        <v>24601.7</v>
      </c>
      <c r="F7464" s="2">
        <v>24354.9</v>
      </c>
      <c r="G7464" s="3">
        <f t="shared" si="350"/>
        <v>8.690798424779933E-3</v>
      </c>
      <c r="H7464" s="2">
        <f t="shared" si="348"/>
        <v>246.79999999999927</v>
      </c>
      <c r="I7464" s="3">
        <f t="shared" si="349"/>
        <v>1.0125315134022957E-2</v>
      </c>
    </row>
    <row r="7465" spans="2:9" x14ac:dyDescent="0.25">
      <c r="B7465" s="1">
        <v>46134</v>
      </c>
      <c r="C7465" s="2">
        <v>24378.1</v>
      </c>
      <c r="D7465" s="2">
        <v>24470.85</v>
      </c>
      <c r="E7465" s="2">
        <v>24515.95</v>
      </c>
      <c r="F7465" s="2">
        <v>24352.9</v>
      </c>
      <c r="G7465" s="3">
        <f t="shared" si="350"/>
        <v>-8.0767884898643727E-3</v>
      </c>
      <c r="H7465" s="2">
        <f t="shared" si="348"/>
        <v>163.04999999999927</v>
      </c>
      <c r="I7465" s="3">
        <f t="shared" si="349"/>
        <v>6.6630296863410664E-3</v>
      </c>
    </row>
    <row r="7466" spans="2:9" x14ac:dyDescent="0.25">
      <c r="B7466" s="1">
        <v>46135</v>
      </c>
      <c r="C7466" s="2">
        <v>24173.05</v>
      </c>
      <c r="D7466" s="2">
        <v>24202.35</v>
      </c>
      <c r="E7466" s="2">
        <v>24310.2</v>
      </c>
      <c r="F7466" s="2">
        <v>24134.799999999999</v>
      </c>
      <c r="G7466" s="3">
        <f t="shared" si="350"/>
        <v>-8.4112379553779038E-3</v>
      </c>
      <c r="H7466" s="2">
        <f t="shared" si="348"/>
        <v>175.40000000000146</v>
      </c>
      <c r="I7466" s="3">
        <f t="shared" si="349"/>
        <v>7.2472301243474892E-3</v>
      </c>
    </row>
    <row r="7467" spans="2:9" x14ac:dyDescent="0.25">
      <c r="B7467" s="1">
        <v>46136</v>
      </c>
      <c r="C7467" s="2">
        <v>23897.95</v>
      </c>
      <c r="D7467" s="2">
        <v>24100.55</v>
      </c>
      <c r="E7467" s="2">
        <v>24206</v>
      </c>
      <c r="F7467" s="2">
        <v>23813.65</v>
      </c>
      <c r="G7467" s="3">
        <f t="shared" si="350"/>
        <v>-1.1380442269386726E-2</v>
      </c>
      <c r="H7467" s="2">
        <f t="shared" si="348"/>
        <v>392.34999999999854</v>
      </c>
      <c r="I7467" s="3">
        <f t="shared" si="349"/>
        <v>1.6279711458867061E-2</v>
      </c>
    </row>
    <row r="7468" spans="2:9" x14ac:dyDescent="0.25">
      <c r="B7468" s="1">
        <v>46139</v>
      </c>
      <c r="C7468" s="2">
        <v>24092.7</v>
      </c>
      <c r="D7468" s="2">
        <v>23945.45</v>
      </c>
      <c r="E7468" s="2">
        <v>24130.7</v>
      </c>
      <c r="F7468" s="2">
        <v>23936.2</v>
      </c>
      <c r="G7468" s="3">
        <f t="shared" si="350"/>
        <v>8.1492345577758307E-3</v>
      </c>
      <c r="H7468" s="2">
        <f t="shared" si="348"/>
        <v>194.5</v>
      </c>
      <c r="I7468" s="3">
        <f t="shared" si="349"/>
        <v>8.122628724872575E-3</v>
      </c>
    </row>
    <row r="7469" spans="2:9" x14ac:dyDescent="0.25">
      <c r="B7469" s="1">
        <v>46140</v>
      </c>
      <c r="C7469" s="2">
        <v>23995.7</v>
      </c>
      <c r="D7469" s="2">
        <v>24049.9</v>
      </c>
      <c r="E7469" s="2">
        <v>24181.8</v>
      </c>
      <c r="F7469" s="2">
        <v>23957.05</v>
      </c>
      <c r="G7469" s="3">
        <f t="shared" si="350"/>
        <v>-4.0261157944107007E-3</v>
      </c>
      <c r="H7469" s="2">
        <f t="shared" si="348"/>
        <v>224.75</v>
      </c>
      <c r="I7469" s="3">
        <f t="shared" si="349"/>
        <v>9.3451532023002166E-3</v>
      </c>
    </row>
    <row r="7470" spans="2:9" x14ac:dyDescent="0.25">
      <c r="B7470" s="1">
        <v>46141</v>
      </c>
      <c r="C7470" s="2">
        <v>24177.65</v>
      </c>
      <c r="D7470" s="2">
        <v>24096.9</v>
      </c>
      <c r="E7470" s="2">
        <v>24334.7</v>
      </c>
      <c r="F7470" s="2">
        <v>24059.95</v>
      </c>
      <c r="G7470" s="3">
        <f t="shared" si="350"/>
        <v>7.5826085506986995E-3</v>
      </c>
      <c r="H7470" s="2">
        <f t="shared" si="348"/>
        <v>274.75</v>
      </c>
      <c r="I7470" s="3">
        <f t="shared" si="349"/>
        <v>1.1401881569828484E-2</v>
      </c>
    </row>
    <row r="7471" spans="2:9" x14ac:dyDescent="0.25">
      <c r="B7471" s="1">
        <v>46142</v>
      </c>
      <c r="C7471" s="2">
        <v>23997.55</v>
      </c>
      <c r="D7471" s="2">
        <v>23996.95</v>
      </c>
      <c r="E7471" s="2">
        <v>24087.45</v>
      </c>
      <c r="F7471" s="2">
        <v>23796.85</v>
      </c>
      <c r="G7471" s="3">
        <f t="shared" si="350"/>
        <v>-7.4490283381554168E-3</v>
      </c>
      <c r="H7471" s="2">
        <f t="shared" si="348"/>
        <v>290.60000000000218</v>
      </c>
      <c r="I7471" s="3">
        <f t="shared" si="349"/>
        <v>1.2109872296271074E-2</v>
      </c>
    </row>
    <row r="7472" spans="2:9" x14ac:dyDescent="0.25">
      <c r="B7472" s="1">
        <v>46146</v>
      </c>
      <c r="C7472" s="2">
        <v>24119.3</v>
      </c>
      <c r="D7472" s="2">
        <v>24063.55</v>
      </c>
      <c r="E7472" s="2">
        <v>24290.2</v>
      </c>
      <c r="F7472" s="2">
        <v>24004.75</v>
      </c>
      <c r="G7472" s="3">
        <f t="shared" si="350"/>
        <v>5.0734345797800451E-3</v>
      </c>
      <c r="H7472" s="2">
        <f t="shared" si="348"/>
        <v>285.45000000000073</v>
      </c>
      <c r="I7472" s="3">
        <f t="shared" si="349"/>
        <v>1.1862339513496585E-2</v>
      </c>
    </row>
    <row r="7473" spans="2:9" x14ac:dyDescent="0.25">
      <c r="B7473" s="1">
        <v>46147</v>
      </c>
      <c r="C7473" s="2">
        <v>24032.799999999999</v>
      </c>
      <c r="D7473" s="2">
        <v>24052.6</v>
      </c>
      <c r="E7473" s="2">
        <v>24081.7</v>
      </c>
      <c r="F7473" s="2">
        <v>23882.05</v>
      </c>
      <c r="G7473" s="3">
        <f t="shared" si="350"/>
        <v>-3.5863395703855661E-3</v>
      </c>
      <c r="H7473" s="2">
        <f t="shared" si="348"/>
        <v>199.65000000000146</v>
      </c>
      <c r="I7473" s="3">
        <f t="shared" si="349"/>
        <v>8.3005579438398119E-3</v>
      </c>
    </row>
    <row r="7474" spans="2:9" x14ac:dyDescent="0.25">
      <c r="B7474" s="1">
        <v>46148</v>
      </c>
      <c r="C7474" s="2">
        <v>24330.95</v>
      </c>
      <c r="D7474" s="2">
        <v>24171</v>
      </c>
      <c r="E7474" s="2">
        <v>24356.5</v>
      </c>
      <c r="F7474" s="2">
        <v>23997.9</v>
      </c>
      <c r="G7474" s="3">
        <f t="shared" si="350"/>
        <v>1.2405961852135494E-2</v>
      </c>
      <c r="H7474" s="2">
        <f t="shared" si="348"/>
        <v>358.59999999999854</v>
      </c>
      <c r="I7474" s="3">
        <f t="shared" si="349"/>
        <v>1.4835960448471248E-2</v>
      </c>
    </row>
    <row r="7475" spans="2:9" x14ac:dyDescent="0.25">
      <c r="B7475" s="1">
        <v>46149</v>
      </c>
      <c r="C7475" s="2">
        <v>24326.65</v>
      </c>
      <c r="D7475" s="2">
        <v>24398.5</v>
      </c>
      <c r="E7475" s="2">
        <v>24482.1</v>
      </c>
      <c r="F7475" s="2">
        <v>24284</v>
      </c>
      <c r="G7475" s="3">
        <f t="shared" si="350"/>
        <v>-1.7672963858783586E-4</v>
      </c>
      <c r="H7475" s="2">
        <f t="shared" si="348"/>
        <v>198.09999999999854</v>
      </c>
      <c r="I7475" s="3">
        <f t="shared" si="349"/>
        <v>8.1193515994835153E-3</v>
      </c>
    </row>
    <row r="7476" spans="2:9" x14ac:dyDescent="0.25">
      <c r="B7476" s="1">
        <v>46150</v>
      </c>
      <c r="C7476" s="2">
        <v>24176.15</v>
      </c>
      <c r="D7476" s="2">
        <v>24233.65</v>
      </c>
      <c r="E7476" s="2">
        <v>24253.8</v>
      </c>
      <c r="F7476" s="2">
        <v>24126.65</v>
      </c>
      <c r="G7476" s="3">
        <f t="shared" si="350"/>
        <v>-6.1866307115858721E-3</v>
      </c>
      <c r="H7476" s="2">
        <f t="shared" si="348"/>
        <v>127.14999999999782</v>
      </c>
      <c r="I7476" s="3">
        <f t="shared" si="349"/>
        <v>5.2468365268953628E-3</v>
      </c>
    </row>
    <row r="7477" spans="2:9" x14ac:dyDescent="0.25">
      <c r="B7477" s="1">
        <v>46153</v>
      </c>
      <c r="C7477" s="2">
        <v>23815.85</v>
      </c>
      <c r="D7477" s="2">
        <v>23970.1</v>
      </c>
      <c r="E7477" s="2">
        <v>23997.45</v>
      </c>
      <c r="F7477" s="2">
        <v>23799.1</v>
      </c>
      <c r="G7477" s="3">
        <f t="shared" si="350"/>
        <v>-1.4903117328441629E-2</v>
      </c>
      <c r="H7477" s="2">
        <f t="shared" si="348"/>
        <v>198.35000000000218</v>
      </c>
      <c r="I7477" s="3">
        <f t="shared" si="349"/>
        <v>8.2748924702025529E-3</v>
      </c>
    </row>
    <row r="7478" spans="2:9" x14ac:dyDescent="0.25">
      <c r="B7478" s="1">
        <v>46154</v>
      </c>
      <c r="C7478" s="2">
        <v>23379.55</v>
      </c>
      <c r="D7478" s="2">
        <v>23722.6</v>
      </c>
      <c r="E7478" s="2">
        <v>23757.55</v>
      </c>
      <c r="F7478" s="2">
        <v>23348.400000000001</v>
      </c>
      <c r="G7478" s="3">
        <f t="shared" si="350"/>
        <v>-1.8319732447088732E-2</v>
      </c>
      <c r="H7478" s="2">
        <f t="shared" si="348"/>
        <v>409.14999999999782</v>
      </c>
      <c r="I7478" s="3">
        <f t="shared" si="349"/>
        <v>1.7247266319880529E-2</v>
      </c>
    </row>
    <row r="7479" spans="2:9" x14ac:dyDescent="0.25">
      <c r="B7479" s="1">
        <v>46155</v>
      </c>
      <c r="C7479" s="2">
        <v>23412.6</v>
      </c>
      <c r="D7479" s="2">
        <v>23362.45</v>
      </c>
      <c r="E7479" s="2">
        <v>23582.95</v>
      </c>
      <c r="F7479" s="2">
        <v>23262.55</v>
      </c>
      <c r="G7479" s="3">
        <f t="shared" si="350"/>
        <v>1.4136285771111368E-3</v>
      </c>
      <c r="H7479" s="2">
        <f t="shared" si="348"/>
        <v>320.40000000000146</v>
      </c>
      <c r="I7479" s="3">
        <f t="shared" si="349"/>
        <v>1.3714315065414862E-2</v>
      </c>
    </row>
    <row r="7480" spans="2:9" x14ac:dyDescent="0.25">
      <c r="B7480" s="1">
        <v>46156</v>
      </c>
      <c r="C7480" s="2">
        <v>23689.599999999999</v>
      </c>
      <c r="D7480" s="2">
        <v>23530.25</v>
      </c>
      <c r="E7480" s="2">
        <v>23777.200000000001</v>
      </c>
      <c r="F7480" s="2">
        <v>23426.55</v>
      </c>
      <c r="G7480" s="3">
        <f t="shared" si="350"/>
        <v>1.1831236171975679E-2</v>
      </c>
      <c r="H7480" s="2">
        <f t="shared" si="348"/>
        <v>350.65000000000146</v>
      </c>
      <c r="I7480" s="3">
        <f t="shared" si="349"/>
        <v>1.490209411289729E-2</v>
      </c>
    </row>
    <row r="7481" spans="2:9" x14ac:dyDescent="0.25">
      <c r="B7481" s="1">
        <v>46157</v>
      </c>
      <c r="C7481" s="2">
        <v>23643.5</v>
      </c>
      <c r="D7481" s="2">
        <v>23731.4</v>
      </c>
      <c r="E7481" s="2">
        <v>23839.3</v>
      </c>
      <c r="F7481" s="2">
        <v>23610.3</v>
      </c>
      <c r="G7481" s="3">
        <f t="shared" si="350"/>
        <v>-1.946001620964366E-3</v>
      </c>
      <c r="H7481" s="2">
        <f t="shared" si="348"/>
        <v>229</v>
      </c>
      <c r="I7481" s="3">
        <f t="shared" si="349"/>
        <v>9.6496624725047817E-3</v>
      </c>
    </row>
    <row r="7482" spans="2:9" x14ac:dyDescent="0.25">
      <c r="B7482" s="1">
        <v>46160</v>
      </c>
      <c r="C7482" s="2">
        <v>23649.95</v>
      </c>
      <c r="D7482" s="2">
        <v>23482.2</v>
      </c>
      <c r="E7482" s="2">
        <v>23695.65</v>
      </c>
      <c r="F7482" s="2">
        <v>23317.1</v>
      </c>
      <c r="G7482" s="3">
        <f t="shared" si="350"/>
        <v>2.7280225008996517E-4</v>
      </c>
      <c r="H7482" s="2">
        <f t="shared" si="348"/>
        <v>378.55000000000291</v>
      </c>
      <c r="I7482" s="3">
        <f t="shared" si="349"/>
        <v>1.6120721227142386E-2</v>
      </c>
    </row>
    <row r="7483" spans="2:9" x14ac:dyDescent="0.25">
      <c r="B7483" s="1">
        <v>46161</v>
      </c>
      <c r="C7483" s="2">
        <v>23618</v>
      </c>
      <c r="D7483" s="2">
        <v>23675.3</v>
      </c>
      <c r="E7483" s="2">
        <v>23782.3</v>
      </c>
      <c r="F7483" s="2">
        <v>23587.200000000001</v>
      </c>
      <c r="G7483" s="3">
        <f t="shared" si="350"/>
        <v>-1.3509542303472566E-3</v>
      </c>
      <c r="H7483" s="2">
        <f t="shared" si="348"/>
        <v>195.09999999999854</v>
      </c>
      <c r="I7483" s="3">
        <f t="shared" si="349"/>
        <v>8.2406558734207606E-3</v>
      </c>
    </row>
    <row r="7484" spans="2:9" x14ac:dyDescent="0.25">
      <c r="B7484" s="1">
        <v>46162</v>
      </c>
      <c r="C7484" s="2">
        <v>23659</v>
      </c>
      <c r="D7484" s="2">
        <v>23457.25</v>
      </c>
      <c r="E7484" s="2">
        <v>23690.9</v>
      </c>
      <c r="F7484" s="2">
        <v>23397.3</v>
      </c>
      <c r="G7484" s="3">
        <f t="shared" si="350"/>
        <v>1.7359640951817301E-3</v>
      </c>
      <c r="H7484" s="2">
        <f t="shared" si="348"/>
        <v>293.60000000000218</v>
      </c>
      <c r="I7484" s="3">
        <f t="shared" si="349"/>
        <v>1.2516386191902384E-2</v>
      </c>
    </row>
    <row r="7485" spans="2:9" x14ac:dyDescent="0.25">
      <c r="B7485" s="1">
        <v>46163</v>
      </c>
      <c r="C7485" s="2">
        <v>23654.7</v>
      </c>
      <c r="D7485" s="2">
        <v>23830.05</v>
      </c>
      <c r="E7485" s="2">
        <v>23859.9</v>
      </c>
      <c r="F7485" s="2">
        <v>23596.6</v>
      </c>
      <c r="G7485" s="3">
        <f t="shared" si="350"/>
        <v>-1.8174901728729154E-4</v>
      </c>
      <c r="H7485" s="2">
        <f t="shared" si="348"/>
        <v>263.30000000000291</v>
      </c>
      <c r="I7485" s="3">
        <f t="shared" si="349"/>
        <v>1.1049074592793676E-2</v>
      </c>
    </row>
    <row r="7486" spans="2:9" x14ac:dyDescent="0.25">
      <c r="B7486" s="1">
        <v>46164</v>
      </c>
      <c r="C7486" s="2">
        <v>23719.3</v>
      </c>
      <c r="D7486" s="2">
        <v>23671.200000000001</v>
      </c>
      <c r="E7486" s="2">
        <v>23835.65</v>
      </c>
      <c r="F7486" s="2">
        <v>23671</v>
      </c>
      <c r="G7486" s="3">
        <f t="shared" si="350"/>
        <v>2.7309583296342144E-3</v>
      </c>
      <c r="H7486" s="2">
        <f t="shared" si="348"/>
        <v>164.65000000000146</v>
      </c>
      <c r="I7486" s="3">
        <f t="shared" si="349"/>
        <v>6.9557098921897266E-3</v>
      </c>
    </row>
    <row r="7487" spans="2:9" x14ac:dyDescent="0.25">
      <c r="B7487" s="1">
        <v>46167</v>
      </c>
      <c r="C7487" s="2">
        <v>24031.7</v>
      </c>
      <c r="D7487" s="2">
        <v>23940.25</v>
      </c>
      <c r="E7487" s="2">
        <v>24054.45</v>
      </c>
      <c r="F7487" s="2">
        <v>23922.85</v>
      </c>
      <c r="G7487" s="3">
        <f t="shared" si="350"/>
        <v>1.3170709085006838E-2</v>
      </c>
      <c r="H7487" s="2">
        <f t="shared" si="348"/>
        <v>131.60000000000218</v>
      </c>
      <c r="I7487" s="3">
        <f t="shared" si="349"/>
        <v>5.4970186192709845E-3</v>
      </c>
    </row>
    <row r="7488" spans="2:9" x14ac:dyDescent="0.25">
      <c r="B7488" s="1">
        <v>46168</v>
      </c>
      <c r="C7488" s="2">
        <v>23913.7</v>
      </c>
      <c r="D7488" s="2">
        <v>24004.1</v>
      </c>
      <c r="E7488" s="2">
        <v>24089.8</v>
      </c>
      <c r="F7488" s="2">
        <v>23885.45</v>
      </c>
      <c r="G7488" s="3">
        <f t="shared" si="350"/>
        <v>-4.9101811357498137E-3</v>
      </c>
      <c r="H7488" s="2">
        <f t="shared" si="348"/>
        <v>204.34999999999854</v>
      </c>
      <c r="I7488" s="3">
        <f t="shared" si="349"/>
        <v>8.513129007127888E-3</v>
      </c>
    </row>
    <row r="7489" spans="2:9" x14ac:dyDescent="0.25">
      <c r="B7489" s="1">
        <v>46169</v>
      </c>
      <c r="C7489" s="2">
        <v>23907.15</v>
      </c>
      <c r="D7489" s="2">
        <v>23880.35</v>
      </c>
      <c r="E7489" s="2">
        <v>23983.200000000001</v>
      </c>
      <c r="F7489" s="2">
        <v>23858.25</v>
      </c>
      <c r="G7489" s="3">
        <f t="shared" si="350"/>
        <v>-2.7390157106588209E-4</v>
      </c>
      <c r="H7489" s="2">
        <f t="shared" si="348"/>
        <v>124.95000000000073</v>
      </c>
      <c r="I7489" s="3">
        <f t="shared" si="349"/>
        <v>5.2323353719690349E-3</v>
      </c>
    </row>
    <row r="7490" spans="2:9" x14ac:dyDescent="0.25">
      <c r="B7490" s="1">
        <v>46171</v>
      </c>
      <c r="C7490" s="2">
        <v>23547.75</v>
      </c>
      <c r="D7490" s="2">
        <v>23902.15</v>
      </c>
      <c r="E7490" s="2">
        <v>24002.799999999999</v>
      </c>
      <c r="F7490" s="2">
        <v>23484.75</v>
      </c>
      <c r="G7490" s="3">
        <f t="shared" si="350"/>
        <v>-1.5033159535954743E-2</v>
      </c>
      <c r="H7490" s="2">
        <f t="shared" si="348"/>
        <v>518.04999999999927</v>
      </c>
      <c r="I7490" s="3">
        <f t="shared" si="349"/>
        <v>2.1673782484002452E-2</v>
      </c>
    </row>
    <row r="7491" spans="2:9" x14ac:dyDescent="0.25">
      <c r="B7491" s="1">
        <v>46174</v>
      </c>
      <c r="C7491" s="2">
        <v>23382.6</v>
      </c>
      <c r="D7491" s="2">
        <v>23654.5</v>
      </c>
      <c r="E7491" s="2">
        <v>23733.7</v>
      </c>
      <c r="F7491" s="2">
        <v>23357.95</v>
      </c>
      <c r="G7491" s="3">
        <f t="shared" si="350"/>
        <v>-7.0134089244195952E-3</v>
      </c>
      <c r="H7491" s="2">
        <f t="shared" si="348"/>
        <v>375.75</v>
      </c>
      <c r="I7491" s="3">
        <f t="shared" si="349"/>
        <v>1.5884926758122132E-2</v>
      </c>
    </row>
    <row r="7492" spans="2:9" x14ac:dyDescent="0.25">
      <c r="B7492" s="1">
        <v>46175</v>
      </c>
      <c r="C7492" s="2">
        <v>23483.55</v>
      </c>
      <c r="D7492" s="2">
        <v>23229.15</v>
      </c>
      <c r="E7492" s="2">
        <v>23556.95</v>
      </c>
      <c r="F7492" s="2">
        <v>23229.15</v>
      </c>
      <c r="G7492" s="3">
        <f t="shared" si="350"/>
        <v>4.3173128736753164E-3</v>
      </c>
      <c r="H7492" s="2">
        <f t="shared" si="348"/>
        <v>327.79999999999927</v>
      </c>
      <c r="I7492" s="3">
        <f t="shared" si="349"/>
        <v>1.4111579631626609E-2</v>
      </c>
    </row>
    <row r="7493" spans="2:9" x14ac:dyDescent="0.25">
      <c r="B7493" s="1">
        <v>46176</v>
      </c>
      <c r="C7493" s="2">
        <v>23405.599999999999</v>
      </c>
      <c r="D7493" s="2">
        <v>23415.95</v>
      </c>
      <c r="E7493" s="2">
        <v>23459.65</v>
      </c>
      <c r="F7493" s="2">
        <v>23151.5</v>
      </c>
      <c r="G7493" s="3">
        <f t="shared" si="350"/>
        <v>-3.3193448179683616E-3</v>
      </c>
      <c r="H7493" s="2">
        <f t="shared" ref="H7493:H7555" si="351">E7493-F7493</f>
        <v>308.15000000000146</v>
      </c>
      <c r="I7493" s="3">
        <f t="shared" si="349"/>
        <v>1.3159833361448135E-2</v>
      </c>
    </row>
    <row r="7494" spans="2:9" x14ac:dyDescent="0.25">
      <c r="B7494" s="1">
        <v>46177</v>
      </c>
      <c r="C7494" s="2">
        <v>23416.55</v>
      </c>
      <c r="D7494" s="2">
        <v>23282.45</v>
      </c>
      <c r="E7494" s="2">
        <v>23465.3</v>
      </c>
      <c r="F7494" s="2">
        <v>23247.3</v>
      </c>
      <c r="G7494" s="3">
        <f t="shared" si="350"/>
        <v>4.6783675701544958E-4</v>
      </c>
      <c r="H7494" s="2">
        <f t="shared" si="351"/>
        <v>218</v>
      </c>
      <c r="I7494" s="3">
        <f t="shared" ref="I7494:I7555" si="352">H7494/D7494</f>
        <v>9.3632757720944308E-3</v>
      </c>
    </row>
    <row r="7495" spans="2:9" x14ac:dyDescent="0.25">
      <c r="B7495" s="1">
        <v>46178</v>
      </c>
      <c r="C7495" s="2">
        <v>23366.7</v>
      </c>
      <c r="D7495" s="2">
        <v>23478.95</v>
      </c>
      <c r="E7495" s="2">
        <v>23516.35</v>
      </c>
      <c r="F7495" s="2">
        <v>23282.65</v>
      </c>
      <c r="G7495" s="3">
        <f t="shared" ref="G7495:G7555" si="353">C7495/C7494-1</f>
        <v>-2.1288362290772245E-3</v>
      </c>
      <c r="H7495" s="2">
        <f t="shared" si="351"/>
        <v>233.69999999999709</v>
      </c>
      <c r="I7495" s="3">
        <f t="shared" si="352"/>
        <v>9.9535967323920831E-3</v>
      </c>
    </row>
    <row r="7496" spans="2:9" x14ac:dyDescent="0.25">
      <c r="B7496" s="1">
        <v>46181</v>
      </c>
      <c r="C7496" s="2">
        <v>23123</v>
      </c>
      <c r="D7496" s="2">
        <v>23080.7</v>
      </c>
      <c r="E7496" s="2">
        <v>23267.3</v>
      </c>
      <c r="F7496" s="2">
        <v>23070.15</v>
      </c>
      <c r="G7496" s="3">
        <f t="shared" si="353"/>
        <v>-1.0429371712736502E-2</v>
      </c>
      <c r="H7496" s="2">
        <f t="shared" si="351"/>
        <v>197.14999999999782</v>
      </c>
      <c r="I7496" s="3">
        <f t="shared" si="352"/>
        <v>8.5417686638619202E-3</v>
      </c>
    </row>
    <row r="7497" spans="2:9" x14ac:dyDescent="0.25">
      <c r="B7497" s="1">
        <v>46182</v>
      </c>
      <c r="C7497" s="2">
        <v>23242.1</v>
      </c>
      <c r="D7497" s="2">
        <v>23259.05</v>
      </c>
      <c r="E7497" s="2">
        <v>23279.4</v>
      </c>
      <c r="F7497" s="2">
        <v>23104.45</v>
      </c>
      <c r="G7497" s="3">
        <f t="shared" si="353"/>
        <v>5.1507157375771939E-3</v>
      </c>
      <c r="H7497" s="2">
        <f t="shared" si="351"/>
        <v>174.95000000000073</v>
      </c>
      <c r="I7497" s="3">
        <f t="shared" si="352"/>
        <v>7.521803341065122E-3</v>
      </c>
    </row>
    <row r="7498" spans="2:9" x14ac:dyDescent="0.25">
      <c r="B7498" s="1">
        <v>46183</v>
      </c>
      <c r="C7498" s="2">
        <v>23214.95</v>
      </c>
      <c r="D7498" s="2">
        <v>23233.95</v>
      </c>
      <c r="E7498" s="2">
        <v>23425.35</v>
      </c>
      <c r="F7498" s="2">
        <v>23184.6</v>
      </c>
      <c r="G7498" s="3">
        <f t="shared" si="353"/>
        <v>-1.1681388514805935E-3</v>
      </c>
      <c r="H7498" s="2">
        <f t="shared" si="351"/>
        <v>240.75</v>
      </c>
      <c r="I7498" s="3">
        <f t="shared" si="352"/>
        <v>1.0361991826615792E-2</v>
      </c>
    </row>
    <row r="7499" spans="2:9" x14ac:dyDescent="0.25">
      <c r="B7499" s="1">
        <v>46184</v>
      </c>
      <c r="C7499" s="2">
        <v>23161.599999999999</v>
      </c>
      <c r="D7499" s="2">
        <v>23104.400000000001</v>
      </c>
      <c r="E7499" s="2">
        <v>23327.45</v>
      </c>
      <c r="F7499" s="2">
        <v>23072.05</v>
      </c>
      <c r="G7499" s="3">
        <f t="shared" si="353"/>
        <v>-2.2980880854794883E-3</v>
      </c>
      <c r="H7499" s="2">
        <f t="shared" si="351"/>
        <v>255.40000000000146</v>
      </c>
      <c r="I7499" s="3">
        <f t="shared" si="352"/>
        <v>1.1054171499800966E-2</v>
      </c>
    </row>
    <row r="7500" spans="2:9" x14ac:dyDescent="0.25">
      <c r="B7500" s="1">
        <v>46185</v>
      </c>
      <c r="C7500" s="2">
        <v>23622.9</v>
      </c>
      <c r="D7500" s="2">
        <v>23412.55</v>
      </c>
      <c r="E7500" s="2">
        <v>23645.35</v>
      </c>
      <c r="F7500" s="2">
        <v>23313.9</v>
      </c>
      <c r="G7500" s="3">
        <f t="shared" si="353"/>
        <v>1.9916586073501108E-2</v>
      </c>
      <c r="H7500" s="2">
        <f t="shared" si="351"/>
        <v>331.44999999999709</v>
      </c>
      <c r="I7500" s="3">
        <f t="shared" si="352"/>
        <v>1.4156937198211947E-2</v>
      </c>
    </row>
    <row r="7501" spans="2:9" x14ac:dyDescent="0.25">
      <c r="B7501" s="1">
        <v>46188</v>
      </c>
      <c r="C7501" s="2">
        <v>23853.9</v>
      </c>
      <c r="D7501" s="2">
        <v>23984.85</v>
      </c>
      <c r="E7501" s="2">
        <v>24011.4</v>
      </c>
      <c r="F7501" s="2">
        <v>23817.8</v>
      </c>
      <c r="G7501" s="3">
        <f t="shared" si="353"/>
        <v>9.7786469908436313E-3</v>
      </c>
      <c r="H7501" s="2">
        <f t="shared" si="351"/>
        <v>193.60000000000218</v>
      </c>
      <c r="I7501" s="3">
        <f t="shared" si="352"/>
        <v>8.0717619664080528E-3</v>
      </c>
    </row>
    <row r="7502" spans="2:9" x14ac:dyDescent="0.25">
      <c r="B7502" s="1">
        <v>46189</v>
      </c>
      <c r="C7502" s="2">
        <v>23989.15</v>
      </c>
      <c r="D7502" s="2">
        <v>23923.9</v>
      </c>
      <c r="E7502" s="2">
        <v>24002.6</v>
      </c>
      <c r="F7502" s="2">
        <v>23888.2</v>
      </c>
      <c r="G7502" s="3">
        <f t="shared" si="353"/>
        <v>5.6699323800299961E-3</v>
      </c>
      <c r="H7502" s="2">
        <f t="shared" si="351"/>
        <v>114.39999999999782</v>
      </c>
      <c r="I7502" s="3">
        <f t="shared" si="352"/>
        <v>4.7818290496113849E-3</v>
      </c>
    </row>
    <row r="7503" spans="2:9" x14ac:dyDescent="0.25">
      <c r="B7503" s="1">
        <v>46190</v>
      </c>
      <c r="C7503" s="2">
        <v>24085.7</v>
      </c>
      <c r="D7503" s="2">
        <v>24044.5</v>
      </c>
      <c r="E7503" s="2">
        <v>24108.2</v>
      </c>
      <c r="F7503" s="2">
        <v>23969.7</v>
      </c>
      <c r="G7503" s="3">
        <f t="shared" si="353"/>
        <v>4.0247361828158468E-3</v>
      </c>
      <c r="H7503" s="2">
        <f t="shared" si="351"/>
        <v>138.5</v>
      </c>
      <c r="I7503" s="3">
        <f t="shared" si="352"/>
        <v>5.7601530495539517E-3</v>
      </c>
    </row>
    <row r="7504" spans="2:9" x14ac:dyDescent="0.25">
      <c r="B7504" s="1">
        <v>46191</v>
      </c>
      <c r="C7504" s="2">
        <v>24168</v>
      </c>
      <c r="D7504" s="2">
        <v>24073.8</v>
      </c>
      <c r="E7504" s="2">
        <v>24189.25</v>
      </c>
      <c r="F7504" s="2">
        <v>24036.95</v>
      </c>
      <c r="G7504" s="3">
        <f t="shared" si="353"/>
        <v>3.4169652532414219E-3</v>
      </c>
      <c r="H7504" s="2">
        <f t="shared" si="351"/>
        <v>152.29999999999927</v>
      </c>
      <c r="I7504" s="3">
        <f t="shared" si="352"/>
        <v>6.3263797157075028E-3</v>
      </c>
    </row>
    <row r="7505" spans="2:9" x14ac:dyDescent="0.25">
      <c r="B7505" s="1">
        <v>46192</v>
      </c>
      <c r="C7505" s="2">
        <v>24013.1</v>
      </c>
      <c r="D7505" s="2">
        <v>23991.200000000001</v>
      </c>
      <c r="E7505" s="2">
        <v>24047.200000000001</v>
      </c>
      <c r="F7505" s="2">
        <v>23901.9</v>
      </c>
      <c r="G7505" s="3">
        <f t="shared" si="353"/>
        <v>-6.4093015557763477E-3</v>
      </c>
      <c r="H7505" s="2">
        <f t="shared" si="351"/>
        <v>145.29999999999927</v>
      </c>
      <c r="I7505" s="3">
        <f t="shared" si="352"/>
        <v>6.0563873420253784E-3</v>
      </c>
    </row>
    <row r="7506" spans="2:9" x14ac:dyDescent="0.25">
      <c r="B7506" s="1">
        <v>46195</v>
      </c>
      <c r="C7506" s="2">
        <v>24102.9</v>
      </c>
      <c r="D7506" s="2">
        <v>24106.6</v>
      </c>
      <c r="E7506" s="2">
        <v>24168.05</v>
      </c>
      <c r="F7506" s="2">
        <v>24073.15</v>
      </c>
      <c r="G7506" s="3">
        <f t="shared" si="353"/>
        <v>3.7396254544395102E-3</v>
      </c>
      <c r="H7506" s="2">
        <f t="shared" si="351"/>
        <v>94.899999999997817</v>
      </c>
      <c r="I7506" s="3">
        <f t="shared" si="352"/>
        <v>3.9366812408219249E-3</v>
      </c>
    </row>
    <row r="7507" spans="2:9" x14ac:dyDescent="0.25">
      <c r="B7507" s="1">
        <v>46196</v>
      </c>
      <c r="C7507" s="2">
        <v>23824.1</v>
      </c>
      <c r="D7507" s="2">
        <v>24071.3</v>
      </c>
      <c r="E7507" s="2">
        <v>24135.5</v>
      </c>
      <c r="F7507" s="2">
        <v>23784.95</v>
      </c>
      <c r="G7507" s="3">
        <f t="shared" si="353"/>
        <v>-1.1567072841857318E-2</v>
      </c>
      <c r="H7507" s="2">
        <f t="shared" si="351"/>
        <v>350.54999999999927</v>
      </c>
      <c r="I7507" s="3">
        <f t="shared" si="352"/>
        <v>1.4562985796363274E-2</v>
      </c>
    </row>
    <row r="7508" spans="2:9" x14ac:dyDescent="0.25">
      <c r="B7508" s="1">
        <v>46197</v>
      </c>
      <c r="C7508" s="2">
        <v>24021.65</v>
      </c>
      <c r="D7508" s="2">
        <v>23795.8</v>
      </c>
      <c r="E7508" s="2">
        <v>24090.05</v>
      </c>
      <c r="F7508" s="2">
        <v>23789.25</v>
      </c>
      <c r="G7508" s="3">
        <f t="shared" si="353"/>
        <v>8.2920236231380784E-3</v>
      </c>
      <c r="H7508" s="2">
        <f t="shared" si="351"/>
        <v>300.79999999999927</v>
      </c>
      <c r="I7508" s="3">
        <f t="shared" si="352"/>
        <v>1.2640886206809575E-2</v>
      </c>
    </row>
    <row r="7509" spans="2:9" x14ac:dyDescent="0.25">
      <c r="B7509" s="1">
        <v>46198</v>
      </c>
      <c r="C7509" s="2">
        <v>24056</v>
      </c>
      <c r="D7509" s="2">
        <v>24125.85</v>
      </c>
      <c r="E7509" s="2">
        <v>24261.599999999999</v>
      </c>
      <c r="F7509" s="2">
        <v>24039</v>
      </c>
      <c r="G7509" s="3">
        <f t="shared" si="353"/>
        <v>1.4299600568652426E-3</v>
      </c>
      <c r="H7509" s="2">
        <f t="shared" si="351"/>
        <v>222.59999999999854</v>
      </c>
      <c r="I7509" s="3">
        <f t="shared" si="352"/>
        <v>9.2266179222700358E-3</v>
      </c>
    </row>
    <row r="7510" spans="2:9" x14ac:dyDescent="0.25">
      <c r="B7510" s="1">
        <v>46202</v>
      </c>
      <c r="C7510" s="2">
        <v>23946.25</v>
      </c>
      <c r="D7510" s="2">
        <v>24061.75</v>
      </c>
      <c r="E7510" s="2">
        <v>24120</v>
      </c>
      <c r="F7510" s="2">
        <v>23924.55</v>
      </c>
      <c r="G7510" s="3">
        <f t="shared" si="353"/>
        <v>-4.5622713668107551E-3</v>
      </c>
      <c r="H7510" s="2">
        <f t="shared" si="351"/>
        <v>195.45000000000073</v>
      </c>
      <c r="I7510" s="3">
        <f t="shared" si="352"/>
        <v>8.1228505823558433E-3</v>
      </c>
    </row>
    <row r="7511" spans="2:9" x14ac:dyDescent="0.25">
      <c r="B7511" s="1">
        <v>46203</v>
      </c>
      <c r="C7511" s="2">
        <v>23865.75</v>
      </c>
      <c r="D7511" s="2">
        <v>24032.05</v>
      </c>
      <c r="E7511" s="2">
        <v>24035.55</v>
      </c>
      <c r="F7511" s="2">
        <v>23829.200000000001</v>
      </c>
      <c r="G7511" s="3">
        <f t="shared" si="353"/>
        <v>-3.3616954637991636E-3</v>
      </c>
      <c r="H7511" s="2">
        <f t="shared" si="351"/>
        <v>206.34999999999854</v>
      </c>
      <c r="I7511" s="3">
        <f t="shared" si="352"/>
        <v>8.586450177991414E-3</v>
      </c>
    </row>
    <row r="7512" spans="2:9" x14ac:dyDescent="0.25">
      <c r="B7512" s="1">
        <v>46204</v>
      </c>
      <c r="C7512" s="2">
        <v>24005.85</v>
      </c>
      <c r="D7512" s="2">
        <v>23897.65</v>
      </c>
      <c r="E7512" s="2">
        <v>24049.9</v>
      </c>
      <c r="F7512" s="2">
        <v>23895.1</v>
      </c>
      <c r="G7512" s="3">
        <f t="shared" si="353"/>
        <v>5.8703371987052222E-3</v>
      </c>
      <c r="H7512" s="2">
        <f t="shared" si="351"/>
        <v>154.80000000000291</v>
      </c>
      <c r="I7512" s="3">
        <f t="shared" si="352"/>
        <v>6.4776243689234252E-3</v>
      </c>
    </row>
    <row r="7513" spans="2:9" x14ac:dyDescent="0.25">
      <c r="B7513" s="1">
        <v>46205</v>
      </c>
      <c r="C7513" s="2">
        <v>24175.7</v>
      </c>
      <c r="D7513" s="2">
        <v>24062.2</v>
      </c>
      <c r="E7513" s="2">
        <v>24194.55</v>
      </c>
      <c r="F7513" s="2">
        <v>24058.799999999999</v>
      </c>
      <c r="G7513" s="3">
        <f t="shared" si="353"/>
        <v>7.0753587146468178E-3</v>
      </c>
      <c r="H7513" s="2">
        <f t="shared" si="351"/>
        <v>135.75</v>
      </c>
      <c r="I7513" s="3">
        <f t="shared" si="352"/>
        <v>5.6416287787484105E-3</v>
      </c>
    </row>
    <row r="7514" spans="2:9" x14ac:dyDescent="0.25">
      <c r="B7514" s="1">
        <v>46206</v>
      </c>
      <c r="C7514" s="2">
        <v>24270.85</v>
      </c>
      <c r="D7514" s="2">
        <v>24375.65</v>
      </c>
      <c r="E7514" s="2">
        <v>24378.15</v>
      </c>
      <c r="F7514" s="2">
        <v>24252.35</v>
      </c>
      <c r="G7514" s="3">
        <f t="shared" si="353"/>
        <v>3.9357702155469187E-3</v>
      </c>
      <c r="H7514" s="2">
        <f t="shared" si="351"/>
        <v>125.80000000000291</v>
      </c>
      <c r="I7514" s="3">
        <f t="shared" si="352"/>
        <v>5.1608880173452977E-3</v>
      </c>
    </row>
    <row r="7515" spans="2:9" x14ac:dyDescent="0.25">
      <c r="B7515" s="1">
        <v>46209</v>
      </c>
      <c r="C7515" s="2">
        <v>24430.35</v>
      </c>
      <c r="D7515" s="2">
        <v>24306.85</v>
      </c>
      <c r="E7515" s="2">
        <v>24458.65</v>
      </c>
      <c r="F7515" s="2">
        <v>24287.1</v>
      </c>
      <c r="G7515" s="3">
        <f t="shared" si="353"/>
        <v>6.5716693070081433E-3</v>
      </c>
      <c r="H7515" s="2">
        <f t="shared" si="351"/>
        <v>171.55000000000291</v>
      </c>
      <c r="I7515" s="3">
        <f t="shared" si="352"/>
        <v>7.057681270917578E-3</v>
      </c>
    </row>
    <row r="7516" spans="2:9" x14ac:dyDescent="0.25">
      <c r="B7516" s="1">
        <v>46210</v>
      </c>
      <c r="C7516" s="2">
        <v>24398.7</v>
      </c>
      <c r="D7516" s="2">
        <v>24464.45</v>
      </c>
      <c r="E7516" s="2">
        <v>24530.9</v>
      </c>
      <c r="F7516" s="2">
        <v>24348.95</v>
      </c>
      <c r="G7516" s="3">
        <f t="shared" si="353"/>
        <v>-1.2955197121612416E-3</v>
      </c>
      <c r="H7516" s="2">
        <f t="shared" si="351"/>
        <v>181.95000000000073</v>
      </c>
      <c r="I7516" s="3">
        <f t="shared" si="352"/>
        <v>7.4373223187114658E-3</v>
      </c>
    </row>
    <row r="7517" spans="2:9" x14ac:dyDescent="0.25">
      <c r="B7517" s="1">
        <v>46211</v>
      </c>
      <c r="C7517" s="2">
        <v>23882.05</v>
      </c>
      <c r="D7517" s="2">
        <v>24259.55</v>
      </c>
      <c r="E7517" s="2">
        <v>24300</v>
      </c>
      <c r="F7517" s="2">
        <v>23805.200000000001</v>
      </c>
      <c r="G7517" s="3">
        <f t="shared" si="353"/>
        <v>-2.1175308520535951E-2</v>
      </c>
      <c r="H7517" s="2">
        <f t="shared" si="351"/>
        <v>494.79999999999927</v>
      </c>
      <c r="I7517" s="3">
        <f t="shared" si="352"/>
        <v>2.039609143615604E-2</v>
      </c>
    </row>
    <row r="7518" spans="2:9" x14ac:dyDescent="0.25">
      <c r="B7518" s="1">
        <v>46212</v>
      </c>
      <c r="C7518" s="2">
        <v>23962.799999999999</v>
      </c>
      <c r="D7518" s="2">
        <v>23928.95</v>
      </c>
      <c r="E7518" s="2">
        <v>24134.7</v>
      </c>
      <c r="F7518" s="2">
        <v>23925.7</v>
      </c>
      <c r="G7518" s="3">
        <f t="shared" si="353"/>
        <v>3.3812005250806187E-3</v>
      </c>
      <c r="H7518" s="2">
        <f t="shared" si="351"/>
        <v>209</v>
      </c>
      <c r="I7518" s="3">
        <f t="shared" si="352"/>
        <v>8.7341901754987156E-3</v>
      </c>
    </row>
    <row r="7519" spans="2:9" x14ac:dyDescent="0.25">
      <c r="B7519" s="1">
        <v>46213</v>
      </c>
      <c r="C7519" s="2">
        <v>24206.9</v>
      </c>
      <c r="D7519" s="2">
        <v>24124.7</v>
      </c>
      <c r="E7519" s="2">
        <v>24228.45</v>
      </c>
      <c r="F7519" s="2">
        <v>24120.35</v>
      </c>
      <c r="G7519" s="3">
        <f t="shared" si="353"/>
        <v>1.0186622598360895E-2</v>
      </c>
      <c r="H7519" s="2">
        <f t="shared" si="351"/>
        <v>108.10000000000218</v>
      </c>
      <c r="I7519" s="3">
        <f t="shared" si="352"/>
        <v>4.4808847363905944E-3</v>
      </c>
    </row>
    <row r="7520" spans="2:9" x14ac:dyDescent="0.25">
      <c r="B7520" s="1">
        <v>46216</v>
      </c>
      <c r="C7520" s="2">
        <v>24211</v>
      </c>
      <c r="D7520" s="2">
        <v>24039.4</v>
      </c>
      <c r="E7520" s="2">
        <v>24259.8</v>
      </c>
      <c r="F7520" s="2">
        <v>24000.2</v>
      </c>
      <c r="G7520" s="3">
        <f t="shared" si="353"/>
        <v>1.6937319524590322E-4</v>
      </c>
      <c r="H7520" s="2">
        <f t="shared" si="351"/>
        <v>259.59999999999854</v>
      </c>
      <c r="I7520" s="3">
        <f t="shared" si="352"/>
        <v>1.0798938409444434E-2</v>
      </c>
    </row>
    <row r="7521" spans="2:9" x14ac:dyDescent="0.25">
      <c r="B7521" s="1">
        <v>46217</v>
      </c>
      <c r="C7521" s="2">
        <v>24052.05</v>
      </c>
      <c r="D7521" s="2">
        <v>24068</v>
      </c>
      <c r="E7521" s="2">
        <v>24157.1</v>
      </c>
      <c r="F7521" s="2">
        <v>24023.7</v>
      </c>
      <c r="G7521" s="3">
        <f t="shared" si="353"/>
        <v>-6.5651976374375698E-3</v>
      </c>
      <c r="H7521" s="2">
        <f t="shared" si="351"/>
        <v>133.39999999999782</v>
      </c>
      <c r="I7521" s="3">
        <f t="shared" si="352"/>
        <v>5.5426292172177918E-3</v>
      </c>
    </row>
    <row r="7522" spans="2:9" x14ac:dyDescent="0.25">
      <c r="B7522" s="1">
        <v>46218</v>
      </c>
      <c r="C7522" s="2">
        <v>24078.5</v>
      </c>
      <c r="D7522" s="2">
        <v>24085.85</v>
      </c>
      <c r="E7522" s="2">
        <v>24220.35</v>
      </c>
      <c r="F7522" s="2">
        <v>24010.55</v>
      </c>
      <c r="G7522" s="3">
        <f t="shared" si="353"/>
        <v>1.0996983625095602E-3</v>
      </c>
      <c r="H7522" s="2">
        <f t="shared" si="351"/>
        <v>209.79999999999927</v>
      </c>
      <c r="I7522" s="3">
        <f t="shared" si="352"/>
        <v>8.7105084520579211E-3</v>
      </c>
    </row>
    <row r="7523" spans="2:9" x14ac:dyDescent="0.25">
      <c r="B7523" s="1">
        <v>46219</v>
      </c>
      <c r="C7523" s="2">
        <v>24072.75</v>
      </c>
      <c r="D7523" s="2">
        <v>24142.1</v>
      </c>
      <c r="E7523" s="2">
        <v>24186.5</v>
      </c>
      <c r="F7523" s="2">
        <v>24050</v>
      </c>
      <c r="G7523" s="3">
        <f t="shared" si="353"/>
        <v>-2.3880225097083763E-4</v>
      </c>
      <c r="H7523" s="2">
        <f t="shared" si="351"/>
        <v>136.5</v>
      </c>
      <c r="I7523" s="3">
        <f t="shared" si="352"/>
        <v>5.6540234693750755E-3</v>
      </c>
    </row>
    <row r="7524" spans="2:9" x14ac:dyDescent="0.25">
      <c r="B7524" s="1">
        <v>46220</v>
      </c>
      <c r="C7524" s="2">
        <v>24334.3</v>
      </c>
      <c r="D7524" s="2">
        <v>24127.599999999999</v>
      </c>
      <c r="E7524" s="2">
        <v>24367.3</v>
      </c>
      <c r="F7524" s="2">
        <v>24099.05</v>
      </c>
      <c r="G7524" s="3">
        <f t="shared" si="353"/>
        <v>1.0864982189404904E-2</v>
      </c>
      <c r="H7524" s="2">
        <f t="shared" si="351"/>
        <v>268.25</v>
      </c>
      <c r="I7524" s="3">
        <f t="shared" si="352"/>
        <v>1.1117972778063298E-2</v>
      </c>
    </row>
    <row r="7525" spans="2:9" x14ac:dyDescent="0.25">
      <c r="B7525" s="1">
        <v>46223</v>
      </c>
      <c r="C7525" s="2">
        <v>24238.5</v>
      </c>
      <c r="D7525" s="2">
        <v>24190.05</v>
      </c>
      <c r="E7525" s="2">
        <v>24266.1</v>
      </c>
      <c r="F7525" s="2">
        <v>24135.85</v>
      </c>
      <c r="G7525" s="3">
        <f t="shared" si="353"/>
        <v>-3.9368299067571444E-3</v>
      </c>
      <c r="H7525" s="2">
        <f t="shared" si="351"/>
        <v>130.25</v>
      </c>
      <c r="I7525" s="3">
        <f t="shared" si="352"/>
        <v>5.3844452574508947E-3</v>
      </c>
    </row>
    <row r="7526" spans="2:9" x14ac:dyDescent="0.25">
      <c r="B7526" s="1">
        <v>46224</v>
      </c>
      <c r="C7526" s="2">
        <v>24187.7</v>
      </c>
      <c r="D7526" s="2">
        <v>24216.05</v>
      </c>
      <c r="E7526" s="2">
        <v>24262.2</v>
      </c>
      <c r="F7526" s="2">
        <v>24135.65</v>
      </c>
      <c r="G7526" s="3">
        <f t="shared" si="353"/>
        <v>-2.0958392639808254E-3</v>
      </c>
      <c r="H7526" s="2">
        <f t="shared" si="351"/>
        <v>126.54999999999927</v>
      </c>
      <c r="I7526" s="3">
        <f t="shared" si="352"/>
        <v>5.2258729231232709E-3</v>
      </c>
    </row>
    <row r="7527" spans="2:9" x14ac:dyDescent="0.25">
      <c r="B7527" s="1">
        <v>46225</v>
      </c>
      <c r="C7527" s="2">
        <v>23996.25</v>
      </c>
      <c r="D7527" s="2">
        <v>24150.45</v>
      </c>
      <c r="E7527" s="2">
        <v>24166.3</v>
      </c>
      <c r="F7527" s="2">
        <v>23961.4</v>
      </c>
      <c r="G7527" s="3">
        <f t="shared" si="353"/>
        <v>-7.9151800295191865E-3</v>
      </c>
      <c r="H7527" s="2">
        <f t="shared" si="351"/>
        <v>204.89999999999782</v>
      </c>
      <c r="I7527" s="3">
        <f t="shared" si="352"/>
        <v>8.4843139568827001E-3</v>
      </c>
    </row>
    <row r="7528" spans="2:9" x14ac:dyDescent="0.25">
      <c r="B7528" s="1">
        <v>46226</v>
      </c>
      <c r="C7528" s="2">
        <v>23869.599999999999</v>
      </c>
      <c r="D7528" s="2">
        <v>23904.799999999999</v>
      </c>
      <c r="E7528" s="2">
        <v>23990.75</v>
      </c>
      <c r="F7528" s="2">
        <v>23807.200000000001</v>
      </c>
      <c r="G7528" s="3">
        <f t="shared" si="353"/>
        <v>-5.2779080064594419E-3</v>
      </c>
      <c r="H7528" s="2">
        <f t="shared" si="351"/>
        <v>183.54999999999927</v>
      </c>
      <c r="I7528" s="3">
        <f t="shared" si="352"/>
        <v>7.6783742177302999E-3</v>
      </c>
    </row>
    <row r="7529" spans="2:9" x14ac:dyDescent="0.25">
      <c r="B7529" s="1">
        <v>46227</v>
      </c>
      <c r="C7529" s="2">
        <v>23767.45</v>
      </c>
      <c r="D7529" s="2">
        <v>23666.35</v>
      </c>
      <c r="E7529" s="2">
        <v>23823.599999999999</v>
      </c>
      <c r="F7529" s="2">
        <v>23606.3</v>
      </c>
      <c r="G7529" s="3">
        <f t="shared" si="353"/>
        <v>-4.2795019606527429E-3</v>
      </c>
      <c r="H7529" s="2">
        <f t="shared" si="351"/>
        <v>217.29999999999927</v>
      </c>
      <c r="I7529" s="3">
        <f t="shared" si="352"/>
        <v>9.1818129960893544E-3</v>
      </c>
    </row>
    <row r="7530" spans="2:9" x14ac:dyDescent="0.25">
      <c r="B7530" s="1">
        <v>46230</v>
      </c>
      <c r="C7530" s="2">
        <v>23995.95</v>
      </c>
      <c r="D7530" s="2">
        <v>23928.400000000001</v>
      </c>
      <c r="E7530" s="2">
        <v>24011.599999999999</v>
      </c>
      <c r="F7530" s="2">
        <v>23891.55</v>
      </c>
      <c r="G7530" s="3">
        <f t="shared" si="353"/>
        <v>9.6139888797495132E-3</v>
      </c>
      <c r="H7530" s="2">
        <f t="shared" si="351"/>
        <v>120.04999999999927</v>
      </c>
      <c r="I7530" s="3">
        <f t="shared" si="352"/>
        <v>5.0170508684241012E-3</v>
      </c>
    </row>
    <row r="7531" spans="2:9" x14ac:dyDescent="0.25">
      <c r="B7531" s="1">
        <v>46231</v>
      </c>
      <c r="C7531" s="2">
        <v>23985.35</v>
      </c>
      <c r="D7531" s="2">
        <v>23971.25</v>
      </c>
      <c r="E7531" s="2">
        <v>24041.15</v>
      </c>
      <c r="F7531" s="2">
        <v>23954.6</v>
      </c>
      <c r="G7531" s="3">
        <f t="shared" si="353"/>
        <v>-4.4174121049600501E-4</v>
      </c>
      <c r="H7531" s="2">
        <f t="shared" si="351"/>
        <v>86.55000000000291</v>
      </c>
      <c r="I7531" s="3">
        <f t="shared" si="352"/>
        <v>3.6105751681703253E-3</v>
      </c>
    </row>
    <row r="7532" spans="2:9" x14ac:dyDescent="0.25">
      <c r="B7532" s="1">
        <v>46232</v>
      </c>
      <c r="C7532" s="2">
        <v>24250.2</v>
      </c>
      <c r="D7532" s="2">
        <v>24176.65</v>
      </c>
      <c r="E7532" s="2">
        <v>24283.55</v>
      </c>
      <c r="F7532" s="2">
        <v>24136.75</v>
      </c>
      <c r="G7532" s="3">
        <f t="shared" si="353"/>
        <v>1.1042156983325224E-2</v>
      </c>
      <c r="H7532" s="2">
        <f t="shared" si="351"/>
        <v>146.79999999999927</v>
      </c>
      <c r="I7532" s="3">
        <f t="shared" si="352"/>
        <v>6.0719744050560876E-3</v>
      </c>
    </row>
    <row r="7533" spans="2:9" x14ac:dyDescent="0.25">
      <c r="B7533" s="1">
        <v>46233</v>
      </c>
      <c r="C7533" s="2">
        <v>24317.15</v>
      </c>
      <c r="D7533" s="2">
        <v>24249.55</v>
      </c>
      <c r="E7533" s="2">
        <v>24342.95</v>
      </c>
      <c r="F7533" s="2">
        <v>24187.1</v>
      </c>
      <c r="G7533" s="3">
        <f t="shared" si="353"/>
        <v>2.7608019727671795E-3</v>
      </c>
      <c r="H7533" s="2">
        <f t="shared" si="351"/>
        <v>155.85000000000218</v>
      </c>
      <c r="I7533" s="3">
        <f t="shared" si="352"/>
        <v>6.4269233862072573E-3</v>
      </c>
    </row>
    <row r="7534" spans="2:9" x14ac:dyDescent="0.25">
      <c r="B7534" s="1">
        <v>46234</v>
      </c>
      <c r="C7534" s="2">
        <v>24383.599999999999</v>
      </c>
      <c r="D7534" s="2">
        <v>24361.45</v>
      </c>
      <c r="E7534" s="2">
        <v>24429.4</v>
      </c>
      <c r="F7534" s="2">
        <v>24299.7</v>
      </c>
      <c r="G7534" s="3">
        <f t="shared" si="353"/>
        <v>2.7326393101163582E-3</v>
      </c>
      <c r="H7534" s="2">
        <f t="shared" si="351"/>
        <v>129.70000000000073</v>
      </c>
      <c r="I7534" s="3">
        <f t="shared" si="352"/>
        <v>5.3239852307642088E-3</v>
      </c>
    </row>
    <row r="7535" spans="2:9" x14ac:dyDescent="0.25">
      <c r="B7535" s="1">
        <v>46237</v>
      </c>
      <c r="C7535" s="2">
        <v>24774.3</v>
      </c>
      <c r="D7535" s="2">
        <v>24572.7</v>
      </c>
      <c r="E7535" s="2">
        <v>24774.3</v>
      </c>
      <c r="F7535" s="2">
        <v>24515.15</v>
      </c>
      <c r="G7535" s="3">
        <f t="shared" si="353"/>
        <v>1.6023064682819665E-2</v>
      </c>
      <c r="H7535" s="2">
        <f t="shared" si="351"/>
        <v>259.14999999999782</v>
      </c>
      <c r="I7535" s="3">
        <f t="shared" si="352"/>
        <v>1.0546256618116765E-2</v>
      </c>
    </row>
    <row r="7536" spans="2:9" x14ac:dyDescent="0.25">
      <c r="B7536" s="1">
        <v>46238</v>
      </c>
      <c r="C7536" s="2">
        <v>24614.9</v>
      </c>
      <c r="D7536" s="2">
        <v>24703.9</v>
      </c>
      <c r="E7536" s="2">
        <v>24703.9</v>
      </c>
      <c r="F7536" s="2">
        <v>24427.95</v>
      </c>
      <c r="G7536" s="3">
        <f t="shared" si="353"/>
        <v>-6.4340869368659792E-3</v>
      </c>
      <c r="H7536" s="2">
        <f t="shared" si="351"/>
        <v>275.95000000000073</v>
      </c>
      <c r="I7536" s="3">
        <f t="shared" si="352"/>
        <v>1.1170301045583924E-2</v>
      </c>
    </row>
    <row r="7537" spans="2:9" x14ac:dyDescent="0.25">
      <c r="B7537" s="1">
        <v>46239</v>
      </c>
      <c r="C7537" s="2">
        <v>24624.65</v>
      </c>
      <c r="D7537" s="2">
        <v>24669.200000000001</v>
      </c>
      <c r="E7537" s="2">
        <v>24677.599999999999</v>
      </c>
      <c r="F7537" s="2">
        <v>24497.95</v>
      </c>
      <c r="G7537" s="3">
        <f t="shared" si="353"/>
        <v>3.9610154824920585E-4</v>
      </c>
      <c r="H7537" s="2">
        <f t="shared" si="351"/>
        <v>179.64999999999782</v>
      </c>
      <c r="I7537" s="3">
        <f t="shared" si="352"/>
        <v>7.2823601900344481E-3</v>
      </c>
    </row>
    <row r="7538" spans="2:9" x14ac:dyDescent="0.25">
      <c r="B7538" s="1">
        <v>46240</v>
      </c>
      <c r="C7538" s="2">
        <v>24636</v>
      </c>
      <c r="D7538" s="2">
        <v>24641</v>
      </c>
      <c r="E7538" s="2">
        <v>24677.05</v>
      </c>
      <c r="F7538" s="2">
        <v>24604.15</v>
      </c>
      <c r="G7538" s="3">
        <f t="shared" si="353"/>
        <v>4.6092025673449832E-4</v>
      </c>
      <c r="H7538" s="2">
        <f t="shared" si="351"/>
        <v>72.899999999997817</v>
      </c>
      <c r="I7538" s="3">
        <f t="shared" si="352"/>
        <v>2.9584838277666417E-3</v>
      </c>
    </row>
    <row r="7539" spans="2:9" x14ac:dyDescent="0.25">
      <c r="B7539" s="1">
        <v>46241</v>
      </c>
      <c r="C7539" s="2">
        <v>24570.65</v>
      </c>
      <c r="D7539" s="2">
        <v>24538.9</v>
      </c>
      <c r="E7539" s="2">
        <v>24630.400000000001</v>
      </c>
      <c r="F7539" s="2">
        <v>24522.75</v>
      </c>
      <c r="G7539" s="3">
        <f t="shared" si="353"/>
        <v>-2.6526221789251458E-3</v>
      </c>
      <c r="H7539" s="2">
        <f t="shared" si="351"/>
        <v>107.65000000000146</v>
      </c>
      <c r="I7539" s="3">
        <f t="shared" si="352"/>
        <v>4.3869122087787735E-3</v>
      </c>
    </row>
    <row r="7540" spans="2:9" x14ac:dyDescent="0.25">
      <c r="B7540" s="1">
        <v>46244</v>
      </c>
      <c r="C7540" s="2">
        <v>24583.8</v>
      </c>
      <c r="D7540" s="2">
        <v>24581.25</v>
      </c>
      <c r="E7540" s="2">
        <v>24620.95</v>
      </c>
      <c r="F7540" s="2">
        <v>24511.1</v>
      </c>
      <c r="G7540" s="3">
        <f t="shared" si="353"/>
        <v>5.3519137670332562E-4</v>
      </c>
      <c r="H7540" s="2">
        <f t="shared" si="351"/>
        <v>109.85000000000218</v>
      </c>
      <c r="I7540" s="3">
        <f t="shared" si="352"/>
        <v>4.4688532926520086E-3</v>
      </c>
    </row>
    <row r="7541" spans="2:9" x14ac:dyDescent="0.25">
      <c r="B7541" s="1">
        <v>46245</v>
      </c>
      <c r="C7541" s="2">
        <v>24471.7</v>
      </c>
      <c r="D7541" s="2">
        <v>24575.1</v>
      </c>
      <c r="E7541" s="2">
        <v>24576.85</v>
      </c>
      <c r="F7541" s="2">
        <v>24429.25</v>
      </c>
      <c r="G7541" s="3">
        <f t="shared" si="353"/>
        <v>-4.5599134389312512E-3</v>
      </c>
      <c r="H7541" s="2">
        <f t="shared" si="351"/>
        <v>147.59999999999854</v>
      </c>
      <c r="I7541" s="3">
        <f t="shared" si="352"/>
        <v>6.0060793241939426E-3</v>
      </c>
    </row>
    <row r="7542" spans="2:9" x14ac:dyDescent="0.25">
      <c r="B7542" s="1">
        <v>46246</v>
      </c>
      <c r="C7542" s="2">
        <v>24435.95</v>
      </c>
      <c r="D7542" s="2">
        <v>24472.45</v>
      </c>
      <c r="E7542" s="2">
        <v>24473.3</v>
      </c>
      <c r="F7542" s="2">
        <v>24265.95</v>
      </c>
      <c r="G7542" s="3">
        <f t="shared" si="353"/>
        <v>-1.4608711286915321E-3</v>
      </c>
      <c r="H7542" s="2">
        <f t="shared" si="351"/>
        <v>207.34999999999854</v>
      </c>
      <c r="I7542" s="3">
        <f t="shared" si="352"/>
        <v>8.4727928752535413E-3</v>
      </c>
    </row>
    <row r="7543" spans="2:9" x14ac:dyDescent="0.25">
      <c r="B7543" s="1">
        <v>46247</v>
      </c>
      <c r="C7543" s="2">
        <v>24395.85</v>
      </c>
      <c r="D7543" s="2">
        <v>24431.599999999999</v>
      </c>
      <c r="E7543" s="2">
        <v>24431.599999999999</v>
      </c>
      <c r="F7543" s="2">
        <v>24311.4</v>
      </c>
      <c r="G7543" s="3">
        <f t="shared" si="353"/>
        <v>-1.6410248015731321E-3</v>
      </c>
      <c r="H7543" s="2">
        <f t="shared" si="351"/>
        <v>120.19999999999709</v>
      </c>
      <c r="I7543" s="3">
        <f t="shared" si="352"/>
        <v>4.9198578889633549E-3</v>
      </c>
    </row>
    <row r="7544" spans="2:9" x14ac:dyDescent="0.25">
      <c r="B7544" s="1">
        <v>46248</v>
      </c>
      <c r="C7544" s="2">
        <v>24366</v>
      </c>
      <c r="D7544" s="2">
        <v>24361.9</v>
      </c>
      <c r="E7544" s="2">
        <v>24405.200000000001</v>
      </c>
      <c r="F7544" s="2">
        <v>24296.799999999999</v>
      </c>
      <c r="G7544" s="3">
        <f t="shared" si="353"/>
        <v>-1.2235687627197844E-3</v>
      </c>
      <c r="H7544" s="2">
        <f t="shared" si="351"/>
        <v>108.40000000000146</v>
      </c>
      <c r="I7544" s="3">
        <f t="shared" si="352"/>
        <v>4.4495708462805221E-3</v>
      </c>
    </row>
    <row r="7545" spans="2:9" x14ac:dyDescent="0.25">
      <c r="B7545" s="1">
        <v>46251</v>
      </c>
      <c r="C7545" s="2">
        <v>24287.65</v>
      </c>
      <c r="D7545" s="2">
        <v>24343.45</v>
      </c>
      <c r="E7545" s="2">
        <v>24360.1</v>
      </c>
      <c r="F7545" s="2">
        <v>24226.95</v>
      </c>
      <c r="G7545" s="3">
        <f t="shared" si="353"/>
        <v>-3.2155462529753764E-3</v>
      </c>
      <c r="H7545" s="2">
        <f t="shared" si="351"/>
        <v>133.14999999999782</v>
      </c>
      <c r="I7545" s="3">
        <f t="shared" si="352"/>
        <v>5.4696437850837824E-3</v>
      </c>
    </row>
    <row r="7546" spans="2:9" x14ac:dyDescent="0.25">
      <c r="B7546" s="1">
        <v>46252</v>
      </c>
      <c r="C7546" s="2">
        <v>24154.9</v>
      </c>
      <c r="D7546" s="2">
        <v>24223.85</v>
      </c>
      <c r="E7546" s="2">
        <v>24269.65</v>
      </c>
      <c r="F7546" s="2">
        <v>24154.9</v>
      </c>
      <c r="G7546" s="3">
        <f t="shared" si="353"/>
        <v>-5.4657408188935053E-3</v>
      </c>
      <c r="H7546" s="2">
        <f t="shared" si="351"/>
        <v>114.75</v>
      </c>
      <c r="I7546" s="3">
        <f t="shared" si="352"/>
        <v>4.7370669815078948E-3</v>
      </c>
    </row>
    <row r="7547" spans="2:9" x14ac:dyDescent="0.25">
      <c r="B7547" s="1">
        <v>46253</v>
      </c>
      <c r="C7547" s="2">
        <v>24078.3</v>
      </c>
      <c r="D7547" s="2">
        <v>24152.05</v>
      </c>
      <c r="E7547" s="2">
        <v>24172.85</v>
      </c>
      <c r="F7547" s="2">
        <v>24025.65</v>
      </c>
      <c r="G7547" s="3">
        <f t="shared" si="353"/>
        <v>-3.1711992183781623E-3</v>
      </c>
      <c r="H7547" s="2">
        <f t="shared" si="351"/>
        <v>147.19999999999709</v>
      </c>
      <c r="I7547" s="3">
        <f t="shared" si="352"/>
        <v>6.0947207379910646E-3</v>
      </c>
    </row>
    <row r="7548" spans="2:9" x14ac:dyDescent="0.25">
      <c r="B7548" s="1">
        <v>46254</v>
      </c>
      <c r="C7548" s="2">
        <v>24231.85</v>
      </c>
      <c r="D7548" s="2">
        <v>24225.45</v>
      </c>
      <c r="E7548" s="2">
        <v>24265.15</v>
      </c>
      <c r="F7548" s="2">
        <v>24184.55</v>
      </c>
      <c r="G7548" s="3">
        <f t="shared" si="353"/>
        <v>6.3771113409167857E-3</v>
      </c>
      <c r="H7548" s="2">
        <f t="shared" si="351"/>
        <v>80.600000000002183</v>
      </c>
      <c r="I7548" s="3">
        <f t="shared" si="352"/>
        <v>3.3270795795331842E-3</v>
      </c>
    </row>
    <row r="7549" spans="2:9" x14ac:dyDescent="0.25">
      <c r="B7549" s="1">
        <v>46255</v>
      </c>
      <c r="C7549" s="2">
        <v>24252</v>
      </c>
      <c r="D7549" s="2">
        <v>24284.05</v>
      </c>
      <c r="E7549" s="2">
        <v>24284.05</v>
      </c>
      <c r="F7549" s="2">
        <v>24206.799999999999</v>
      </c>
      <c r="G7549" s="3">
        <f t="shared" si="353"/>
        <v>8.3155021180814082E-4</v>
      </c>
      <c r="H7549" s="2">
        <f t="shared" si="351"/>
        <v>77.25</v>
      </c>
      <c r="I7549" s="3">
        <f t="shared" si="352"/>
        <v>3.1811003518770553E-3</v>
      </c>
    </row>
    <row r="7550" spans="2:9" x14ac:dyDescent="0.25">
      <c r="B7550" s="1">
        <v>46258</v>
      </c>
      <c r="C7550" s="2">
        <v>24219.05</v>
      </c>
      <c r="D7550" s="2">
        <v>24285.05</v>
      </c>
      <c r="E7550" s="2">
        <v>24313</v>
      </c>
      <c r="F7550" s="2">
        <v>24144.3</v>
      </c>
      <c r="G7550" s="3">
        <f t="shared" si="353"/>
        <v>-1.3586508329209712E-3</v>
      </c>
      <c r="H7550" s="2">
        <f t="shared" si="351"/>
        <v>168.70000000000073</v>
      </c>
      <c r="I7550" s="3">
        <f t="shared" si="352"/>
        <v>6.9466605998340846E-3</v>
      </c>
    </row>
    <row r="7551" spans="2:9" x14ac:dyDescent="0.25">
      <c r="B7551" s="1">
        <v>46259</v>
      </c>
      <c r="C7551" s="2">
        <v>24334.55</v>
      </c>
      <c r="D7551" s="2">
        <v>24175.75</v>
      </c>
      <c r="E7551" s="2">
        <v>24334.55</v>
      </c>
      <c r="F7551" s="2">
        <v>24115.45</v>
      </c>
      <c r="G7551" s="3">
        <f t="shared" si="353"/>
        <v>4.7689731843321148E-3</v>
      </c>
      <c r="H7551" s="2">
        <f t="shared" si="351"/>
        <v>219.09999999999854</v>
      </c>
      <c r="I7551" s="3">
        <f t="shared" si="352"/>
        <v>9.0628005335924855E-3</v>
      </c>
    </row>
    <row r="7552" spans="2:9" x14ac:dyDescent="0.25">
      <c r="B7552" s="1">
        <v>46260</v>
      </c>
      <c r="C7552" s="2">
        <v>24207.75</v>
      </c>
      <c r="D7552" s="2">
        <v>24341.95</v>
      </c>
      <c r="E7552" s="2">
        <v>24378.6</v>
      </c>
      <c r="F7552" s="2">
        <v>24207.75</v>
      </c>
      <c r="G7552" s="3">
        <f t="shared" si="353"/>
        <v>-5.2106983691910802E-3</v>
      </c>
      <c r="H7552" s="2">
        <f t="shared" si="351"/>
        <v>170.84999999999854</v>
      </c>
      <c r="I7552" s="3">
        <f t="shared" si="352"/>
        <v>7.0187474709297549E-3</v>
      </c>
    </row>
    <row r="7553" spans="2:9" x14ac:dyDescent="0.25">
      <c r="B7553" s="1">
        <v>46261</v>
      </c>
      <c r="C7553" s="2">
        <v>24090.85</v>
      </c>
      <c r="D7553" s="2">
        <v>24277.599999999999</v>
      </c>
      <c r="E7553" s="2">
        <v>24297.45</v>
      </c>
      <c r="F7553" s="2">
        <v>24090.85</v>
      </c>
      <c r="G7553" s="3">
        <f t="shared" si="353"/>
        <v>-4.829032024868174E-3</v>
      </c>
      <c r="H7553" s="2">
        <f t="shared" si="351"/>
        <v>206.60000000000218</v>
      </c>
      <c r="I7553" s="3">
        <f t="shared" si="352"/>
        <v>8.5099021320065495E-3</v>
      </c>
    </row>
    <row r="7554" spans="2:9" x14ac:dyDescent="0.25">
      <c r="B7554" s="1">
        <v>46262</v>
      </c>
      <c r="C7554" s="2">
        <v>24175.65</v>
      </c>
      <c r="D7554" s="2">
        <v>24122.6</v>
      </c>
      <c r="E7554" s="2">
        <v>24188.3</v>
      </c>
      <c r="F7554" s="2">
        <v>24076.85</v>
      </c>
      <c r="G7554" s="3">
        <f t="shared" si="353"/>
        <v>3.5200086339834957E-3</v>
      </c>
      <c r="H7554" s="2">
        <f t="shared" si="351"/>
        <v>111.45000000000073</v>
      </c>
      <c r="I7554" s="3">
        <f t="shared" si="352"/>
        <v>4.6201487401855822E-3</v>
      </c>
    </row>
    <row r="7555" spans="2:9" x14ac:dyDescent="0.25">
      <c r="B7555" s="1">
        <v>46265</v>
      </c>
      <c r="C7555" s="2">
        <v>24080.400000000001</v>
      </c>
      <c r="D7555" s="2">
        <v>24117.55</v>
      </c>
      <c r="E7555" s="2">
        <v>24128.7</v>
      </c>
      <c r="F7555" s="2">
        <v>23993.599999999999</v>
      </c>
      <c r="G7555" s="3">
        <f t="shared" si="353"/>
        <v>-3.9399147489312947E-3</v>
      </c>
      <c r="H7555" s="2">
        <f t="shared" si="351"/>
        <v>135.10000000000218</v>
      </c>
      <c r="I7555" s="3">
        <f t="shared" si="352"/>
        <v>5.6017298606202614E-3</v>
      </c>
    </row>
  </sheetData>
  <autoFilter ref="B3:I7555" xr:uid="{00000000-0001-0000-0000-000000000000}"/>
  <mergeCells count="15">
    <mergeCell ref="L20:S20"/>
    <mergeCell ref="L46:S46"/>
    <mergeCell ref="L55:S55"/>
    <mergeCell ref="L41:S41"/>
    <mergeCell ref="L59:S59"/>
    <mergeCell ref="L25:S25"/>
    <mergeCell ref="L31:S31"/>
    <mergeCell ref="L33:S33"/>
    <mergeCell ref="L37:S37"/>
    <mergeCell ref="L53:S53"/>
    <mergeCell ref="B2:I2"/>
    <mergeCell ref="L4:S4"/>
    <mergeCell ref="L8:S8"/>
    <mergeCell ref="L12:S12"/>
    <mergeCell ref="L16:S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EE196-D398-40DB-BC35-5FFBE48E2409}">
  <sheetPr codeName="Sheet2"/>
  <dimension ref="B1:Q415"/>
  <sheetViews>
    <sheetView showGridLines="0" zoomScale="110" zoomScaleNormal="110" workbookViewId="0">
      <selection activeCell="J4" sqref="J4"/>
    </sheetView>
  </sheetViews>
  <sheetFormatPr defaultRowHeight="15" x14ac:dyDescent="0.25"/>
  <cols>
    <col min="2" max="2" width="10.42578125" bestFit="1" customWidth="1"/>
    <col min="3" max="3" width="17.42578125" bestFit="1" customWidth="1"/>
    <col min="4" max="4" width="16.85546875" bestFit="1" customWidth="1"/>
    <col min="5" max="5" width="9.140625" hidden="1" customWidth="1"/>
    <col min="6" max="6" width="10.140625" hidden="1" customWidth="1"/>
    <col min="7" max="7" width="11.7109375" hidden="1" customWidth="1"/>
    <col min="8" max="8" width="18.5703125" bestFit="1" customWidth="1"/>
    <col min="10" max="10" width="11" bestFit="1" customWidth="1"/>
  </cols>
  <sheetData>
    <row r="1" spans="2:17" x14ac:dyDescent="0.25">
      <c r="D1" s="9" t="s">
        <v>49</v>
      </c>
      <c r="H1" s="9" t="s">
        <v>50</v>
      </c>
    </row>
    <row r="2" spans="2:17" x14ac:dyDescent="0.25">
      <c r="B2" s="7" t="s">
        <v>1</v>
      </c>
      <c r="C2" s="7" t="s">
        <v>44</v>
      </c>
      <c r="D2" s="7" t="s">
        <v>43</v>
      </c>
      <c r="F2" s="7" t="s">
        <v>1</v>
      </c>
      <c r="G2" s="7" t="s">
        <v>45</v>
      </c>
      <c r="H2" s="7" t="s">
        <v>52</v>
      </c>
    </row>
    <row r="3" spans="2:17" x14ac:dyDescent="0.25">
      <c r="B3" s="8">
        <v>45658</v>
      </c>
      <c r="C3" s="2">
        <v>23742.9</v>
      </c>
      <c r="D3" s="3">
        <v>4.1489037758830616E-3</v>
      </c>
      <c r="F3" s="8">
        <v>45658</v>
      </c>
      <c r="G3">
        <v>65.33</v>
      </c>
      <c r="H3" s="3">
        <v>4.1489037758830616E-3</v>
      </c>
      <c r="J3" s="11" t="s">
        <v>46</v>
      </c>
      <c r="K3" s="11"/>
      <c r="L3" s="11"/>
      <c r="M3" s="11"/>
      <c r="N3" s="11"/>
      <c r="O3" s="11"/>
      <c r="P3" s="11"/>
      <c r="Q3" s="11"/>
    </row>
    <row r="4" spans="2:17" x14ac:dyDescent="0.25">
      <c r="B4" s="8">
        <v>45659</v>
      </c>
      <c r="C4" s="2">
        <v>24188.65</v>
      </c>
      <c r="D4" s="3">
        <v>1.8774033500541298E-2</v>
      </c>
      <c r="F4" s="8">
        <v>45659</v>
      </c>
      <c r="G4">
        <v>62.92</v>
      </c>
      <c r="H4" s="3">
        <f>G4/G3-1</f>
        <v>-3.6889637226389049E-2</v>
      </c>
      <c r="K4" t="s">
        <v>10</v>
      </c>
    </row>
    <row r="5" spans="2:17" x14ac:dyDescent="0.25">
      <c r="B5" s="8">
        <v>45660</v>
      </c>
      <c r="C5" s="2">
        <v>24004.75</v>
      </c>
      <c r="D5" s="3">
        <v>-7.6027393012839672E-3</v>
      </c>
      <c r="F5" s="8">
        <v>45660</v>
      </c>
      <c r="G5">
        <v>61.95</v>
      </c>
      <c r="H5" s="3">
        <f t="shared" ref="H5:H68" si="0">G5/G4-1</f>
        <v>-1.5416401780038114E-2</v>
      </c>
      <c r="J5" t="s">
        <v>47</v>
      </c>
      <c r="K5" s="10">
        <f>_xlfn.COVARIANCE.P(D3:D415,H3:H415)</f>
        <v>9.7971722877193625E-5</v>
      </c>
    </row>
    <row r="6" spans="2:17" x14ac:dyDescent="0.25">
      <c r="B6" s="8">
        <v>45663</v>
      </c>
      <c r="C6" s="2">
        <v>23616.05</v>
      </c>
      <c r="D6" s="3">
        <v>-1.6192628542267662E-2</v>
      </c>
      <c r="F6" s="8">
        <v>45663</v>
      </c>
      <c r="G6">
        <v>58.85</v>
      </c>
      <c r="H6" s="3">
        <f t="shared" si="0"/>
        <v>-5.0040355125100855E-2</v>
      </c>
      <c r="J6" t="s">
        <v>48</v>
      </c>
      <c r="K6" s="10">
        <f>_xlfn.COVARIANCE.S(D3:D415,H3:H415)</f>
        <v>9.8209518321070303E-5</v>
      </c>
    </row>
    <row r="7" spans="2:17" x14ac:dyDescent="0.25">
      <c r="B7" s="8">
        <v>45664</v>
      </c>
      <c r="C7" s="2">
        <v>23707.9</v>
      </c>
      <c r="D7" s="3">
        <v>3.8893040961549552E-3</v>
      </c>
      <c r="F7" s="8">
        <v>45664</v>
      </c>
      <c r="G7">
        <v>60.88</v>
      </c>
      <c r="H7" s="3">
        <f t="shared" si="0"/>
        <v>3.449447748513168E-2</v>
      </c>
    </row>
    <row r="8" spans="2:17" x14ac:dyDescent="0.25">
      <c r="B8" s="8">
        <v>45665</v>
      </c>
      <c r="C8" s="2">
        <v>23688.95</v>
      </c>
      <c r="D8" s="3">
        <v>-7.9931162186441806E-4</v>
      </c>
      <c r="F8" s="8">
        <v>45665</v>
      </c>
      <c r="G8">
        <v>60.03</v>
      </c>
      <c r="H8" s="3">
        <f t="shared" si="0"/>
        <v>-1.3961892247043362E-2</v>
      </c>
      <c r="J8" s="11" t="s">
        <v>51</v>
      </c>
      <c r="K8" s="11"/>
      <c r="L8" s="11"/>
      <c r="M8" s="11"/>
      <c r="N8" s="11"/>
      <c r="O8" s="11"/>
      <c r="P8" s="11"/>
      <c r="Q8" s="11"/>
    </row>
    <row r="9" spans="2:17" x14ac:dyDescent="0.25">
      <c r="B9" s="8">
        <v>45666</v>
      </c>
      <c r="C9" s="2">
        <v>23526.5</v>
      </c>
      <c r="D9" s="3">
        <v>-6.8576277124988705E-3</v>
      </c>
      <c r="F9" s="8">
        <v>45666</v>
      </c>
      <c r="G9">
        <v>57.88</v>
      </c>
      <c r="H9" s="3">
        <f t="shared" si="0"/>
        <v>-3.5815425620523089E-2</v>
      </c>
      <c r="K9" t="s">
        <v>10</v>
      </c>
    </row>
    <row r="10" spans="2:17" x14ac:dyDescent="0.25">
      <c r="B10" s="8">
        <v>45667</v>
      </c>
      <c r="C10" s="2">
        <v>23431.5</v>
      </c>
      <c r="D10" s="3">
        <v>-4.037999702463213E-3</v>
      </c>
      <c r="F10" s="8">
        <v>45667</v>
      </c>
      <c r="G10">
        <v>55.57</v>
      </c>
      <c r="H10" s="3">
        <f t="shared" si="0"/>
        <v>-3.9910158949550856E-2</v>
      </c>
      <c r="J10" t="s">
        <v>51</v>
      </c>
      <c r="K10" s="6">
        <f>CORREL(D3:D415,H3:H415)</f>
        <v>0.50470603955812565</v>
      </c>
    </row>
    <row r="11" spans="2:17" x14ac:dyDescent="0.25">
      <c r="B11" s="8">
        <v>45670</v>
      </c>
      <c r="C11" s="2">
        <v>23085.95</v>
      </c>
      <c r="D11" s="3">
        <v>-1.4747241960608504E-2</v>
      </c>
      <c r="F11" s="8">
        <v>45670</v>
      </c>
      <c r="G11">
        <v>54.45</v>
      </c>
      <c r="H11" s="3">
        <f t="shared" si="0"/>
        <v>-2.0154759762461727E-2</v>
      </c>
      <c r="J11" t="s">
        <v>51</v>
      </c>
      <c r="K11" s="6">
        <f>CORREL(H3:H415,D3:D415)</f>
        <v>0.50470603955812565</v>
      </c>
    </row>
    <row r="12" spans="2:17" x14ac:dyDescent="0.25">
      <c r="B12" s="8">
        <v>45671</v>
      </c>
      <c r="C12" s="2">
        <v>23176.05</v>
      </c>
      <c r="D12" s="3">
        <v>3.9028066854513987E-3</v>
      </c>
      <c r="F12" s="8">
        <v>45671</v>
      </c>
      <c r="G12">
        <v>57.17</v>
      </c>
      <c r="H12" s="3">
        <f t="shared" si="0"/>
        <v>4.9954086317722579E-2</v>
      </c>
    </row>
    <row r="13" spans="2:17" x14ac:dyDescent="0.25">
      <c r="B13" s="8">
        <v>45672</v>
      </c>
      <c r="C13" s="2">
        <v>23213.200000000001</v>
      </c>
      <c r="D13" s="3">
        <v>1.6029478707546563E-3</v>
      </c>
      <c r="F13" s="8">
        <v>45672</v>
      </c>
      <c r="G13">
        <v>57.26</v>
      </c>
      <c r="H13" s="3">
        <f t="shared" si="0"/>
        <v>1.574252230190698E-3</v>
      </c>
    </row>
    <row r="14" spans="2:17" x14ac:dyDescent="0.25">
      <c r="B14" s="8">
        <v>45673</v>
      </c>
      <c r="C14" s="2">
        <v>23311.8</v>
      </c>
      <c r="D14" s="3">
        <v>4.2475832715866968E-3</v>
      </c>
      <c r="F14" s="8">
        <v>45673</v>
      </c>
      <c r="G14">
        <v>56.87</v>
      </c>
      <c r="H14" s="3">
        <f t="shared" si="0"/>
        <v>-6.8110373733846208E-3</v>
      </c>
    </row>
    <row r="15" spans="2:17" x14ac:dyDescent="0.25">
      <c r="B15" s="8">
        <v>45674</v>
      </c>
      <c r="C15" s="2">
        <v>23203.200000000001</v>
      </c>
      <c r="D15" s="3">
        <v>-4.6585849226571385E-3</v>
      </c>
      <c r="F15" s="8">
        <v>45674</v>
      </c>
      <c r="G15">
        <v>56.84</v>
      </c>
      <c r="H15" s="3">
        <f t="shared" si="0"/>
        <v>-5.275189027605931E-4</v>
      </c>
    </row>
    <row r="16" spans="2:17" x14ac:dyDescent="0.25">
      <c r="B16" s="8">
        <v>45677</v>
      </c>
      <c r="C16" s="2">
        <v>23344.75</v>
      </c>
      <c r="D16" s="3">
        <v>6.1004516618397009E-3</v>
      </c>
      <c r="F16" s="8">
        <v>45677</v>
      </c>
      <c r="G16">
        <v>58.09</v>
      </c>
      <c r="H16" s="3">
        <f t="shared" si="0"/>
        <v>2.1991555242786731E-2</v>
      </c>
    </row>
    <row r="17" spans="2:8" x14ac:dyDescent="0.25">
      <c r="B17" s="8">
        <v>45678</v>
      </c>
      <c r="C17" s="2">
        <v>23024.65</v>
      </c>
      <c r="D17" s="3">
        <v>-1.3711862410177855E-2</v>
      </c>
      <c r="F17" s="8">
        <v>45678</v>
      </c>
      <c r="G17">
        <v>57.43</v>
      </c>
      <c r="H17" s="3">
        <f t="shared" si="0"/>
        <v>-1.1361680151489084E-2</v>
      </c>
    </row>
    <row r="18" spans="2:8" x14ac:dyDescent="0.25">
      <c r="B18" s="8">
        <v>45679</v>
      </c>
      <c r="C18" s="2">
        <v>23155.35</v>
      </c>
      <c r="D18" s="3">
        <v>5.6765249417471964E-3</v>
      </c>
      <c r="F18" s="8">
        <v>45679</v>
      </c>
      <c r="G18">
        <v>55.12</v>
      </c>
      <c r="H18" s="3">
        <f t="shared" si="0"/>
        <v>-4.0222880027860008E-2</v>
      </c>
    </row>
    <row r="19" spans="2:8" x14ac:dyDescent="0.25">
      <c r="B19" s="8">
        <v>45680</v>
      </c>
      <c r="C19" s="2">
        <v>23205.35</v>
      </c>
      <c r="D19" s="3">
        <v>2.1593281898135697E-3</v>
      </c>
      <c r="F19" s="8">
        <v>45680</v>
      </c>
      <c r="G19">
        <v>54.31</v>
      </c>
      <c r="H19" s="3">
        <f t="shared" si="0"/>
        <v>-1.4695210449927387E-2</v>
      </c>
    </row>
    <row r="20" spans="2:8" x14ac:dyDescent="0.25">
      <c r="B20" s="8">
        <v>45681</v>
      </c>
      <c r="C20" s="2">
        <v>23092.2</v>
      </c>
      <c r="D20" s="3">
        <v>-4.876030742910431E-3</v>
      </c>
      <c r="F20" s="8">
        <v>45681</v>
      </c>
      <c r="G20">
        <v>52.54</v>
      </c>
      <c r="H20" s="3">
        <f t="shared" si="0"/>
        <v>-3.2590683115448438E-2</v>
      </c>
    </row>
    <row r="21" spans="2:8" x14ac:dyDescent="0.25">
      <c r="B21" s="8">
        <v>45684</v>
      </c>
      <c r="C21" s="2">
        <v>22829.15</v>
      </c>
      <c r="D21" s="3">
        <v>-1.139129229783209E-2</v>
      </c>
      <c r="F21" s="8">
        <v>45684</v>
      </c>
      <c r="G21">
        <v>50.23</v>
      </c>
      <c r="H21" s="3">
        <f t="shared" si="0"/>
        <v>-4.3966501712980666E-2</v>
      </c>
    </row>
    <row r="22" spans="2:8" x14ac:dyDescent="0.25">
      <c r="B22" s="8">
        <v>45685</v>
      </c>
      <c r="C22" s="2">
        <v>22957.25</v>
      </c>
      <c r="D22" s="3">
        <v>5.6112470240896606E-3</v>
      </c>
      <c r="F22" s="8">
        <v>45685</v>
      </c>
      <c r="G22">
        <v>50.26</v>
      </c>
      <c r="H22" s="3">
        <f t="shared" si="0"/>
        <v>5.9725263786591931E-4</v>
      </c>
    </row>
    <row r="23" spans="2:8" x14ac:dyDescent="0.25">
      <c r="B23" s="8">
        <v>45686</v>
      </c>
      <c r="C23" s="2">
        <v>23163.1</v>
      </c>
      <c r="D23" s="3">
        <v>8.9666663036731542E-3</v>
      </c>
      <c r="F23" s="8">
        <v>45686</v>
      </c>
      <c r="G23">
        <v>52.77</v>
      </c>
      <c r="H23" s="3">
        <f t="shared" si="0"/>
        <v>4.9940310385993003E-2</v>
      </c>
    </row>
    <row r="24" spans="2:8" x14ac:dyDescent="0.25">
      <c r="B24" s="8">
        <v>45687</v>
      </c>
      <c r="C24" s="2">
        <v>23249.5</v>
      </c>
      <c r="D24" s="3">
        <v>3.7300706727512178E-3</v>
      </c>
      <c r="F24" s="8">
        <v>45687</v>
      </c>
      <c r="G24">
        <v>55.4</v>
      </c>
      <c r="H24" s="3">
        <f t="shared" si="0"/>
        <v>4.983892363085074E-2</v>
      </c>
    </row>
    <row r="25" spans="2:8" x14ac:dyDescent="0.25">
      <c r="B25" s="8">
        <v>45688</v>
      </c>
      <c r="C25" s="2">
        <v>23508.400000000001</v>
      </c>
      <c r="D25" s="3">
        <v>1.1135723348889348E-2</v>
      </c>
      <c r="F25" s="8">
        <v>45688</v>
      </c>
      <c r="G25">
        <v>58.17</v>
      </c>
      <c r="H25" s="3">
        <f t="shared" si="0"/>
        <v>5.0000000000000044E-2</v>
      </c>
    </row>
    <row r="26" spans="2:8" x14ac:dyDescent="0.25">
      <c r="B26" s="8">
        <v>45689</v>
      </c>
      <c r="C26" s="2">
        <v>23482.15</v>
      </c>
      <c r="D26" s="3">
        <v>-1.1166221435742196E-3</v>
      </c>
      <c r="F26" s="8">
        <v>45689</v>
      </c>
      <c r="G26">
        <v>58.16</v>
      </c>
      <c r="H26" s="3">
        <f t="shared" si="0"/>
        <v>-1.7190991920246201E-4</v>
      </c>
    </row>
    <row r="27" spans="2:8" x14ac:dyDescent="0.25">
      <c r="B27" s="8">
        <v>45691</v>
      </c>
      <c r="C27" s="2">
        <v>23361.05</v>
      </c>
      <c r="D27" s="3">
        <v>-5.1571086974575575E-3</v>
      </c>
      <c r="F27" s="8">
        <v>45691</v>
      </c>
      <c r="G27">
        <v>56.37</v>
      </c>
      <c r="H27" s="3">
        <f t="shared" si="0"/>
        <v>-3.0777166437414016E-2</v>
      </c>
    </row>
    <row r="28" spans="2:8" x14ac:dyDescent="0.25">
      <c r="B28" s="8">
        <v>45692</v>
      </c>
      <c r="C28" s="2">
        <v>23739.25</v>
      </c>
      <c r="D28" s="3">
        <v>1.6189340804458663E-2</v>
      </c>
      <c r="F28" s="8">
        <v>45692</v>
      </c>
      <c r="G28">
        <v>56.92</v>
      </c>
      <c r="H28" s="3">
        <f t="shared" si="0"/>
        <v>9.7569629235410016E-3</v>
      </c>
    </row>
    <row r="29" spans="2:8" x14ac:dyDescent="0.25">
      <c r="B29" s="8">
        <v>45693</v>
      </c>
      <c r="C29" s="2">
        <v>23696.3</v>
      </c>
      <c r="D29" s="3">
        <v>-1.8092399717767327E-3</v>
      </c>
      <c r="F29" s="8">
        <v>45693</v>
      </c>
      <c r="G29">
        <v>55.9</v>
      </c>
      <c r="H29" s="3">
        <f t="shared" si="0"/>
        <v>-1.7919887561489878E-2</v>
      </c>
    </row>
    <row r="30" spans="2:8" x14ac:dyDescent="0.25">
      <c r="B30" s="8">
        <v>45694</v>
      </c>
      <c r="C30" s="2">
        <v>23603.35</v>
      </c>
      <c r="D30" s="3">
        <v>-3.922553310010457E-3</v>
      </c>
      <c r="F30" s="8">
        <v>45694</v>
      </c>
      <c r="G30">
        <v>54.92</v>
      </c>
      <c r="H30" s="3">
        <f t="shared" si="0"/>
        <v>-1.7531305903398908E-2</v>
      </c>
    </row>
    <row r="31" spans="2:8" x14ac:dyDescent="0.25">
      <c r="B31" s="8">
        <v>45695</v>
      </c>
      <c r="C31" s="2">
        <v>23559.95</v>
      </c>
      <c r="D31" s="3">
        <v>-1.8387220458111475E-3</v>
      </c>
      <c r="F31" s="8">
        <v>45695</v>
      </c>
      <c r="G31">
        <v>53.61</v>
      </c>
      <c r="H31" s="3">
        <f t="shared" si="0"/>
        <v>-2.3852876911871879E-2</v>
      </c>
    </row>
    <row r="32" spans="2:8" x14ac:dyDescent="0.25">
      <c r="B32" s="8">
        <v>45698</v>
      </c>
      <c r="C32" s="2">
        <v>23381.599999999999</v>
      </c>
      <c r="D32" s="3">
        <v>-7.5700500213287114E-3</v>
      </c>
      <c r="F32" s="8">
        <v>45698</v>
      </c>
      <c r="G32">
        <v>52.72</v>
      </c>
      <c r="H32" s="3">
        <f t="shared" si="0"/>
        <v>-1.660138033948888E-2</v>
      </c>
    </row>
    <row r="33" spans="2:8" x14ac:dyDescent="0.25">
      <c r="B33" s="8">
        <v>45699</v>
      </c>
      <c r="C33" s="2">
        <v>23071.8</v>
      </c>
      <c r="D33" s="3">
        <v>-1.3249734834228644E-2</v>
      </c>
      <c r="F33" s="8">
        <v>45699</v>
      </c>
      <c r="G33">
        <v>51.99</v>
      </c>
      <c r="H33" s="3">
        <f t="shared" si="0"/>
        <v>-1.3846737481031823E-2</v>
      </c>
    </row>
    <row r="34" spans="2:8" x14ac:dyDescent="0.25">
      <c r="B34" s="8">
        <v>45700</v>
      </c>
      <c r="C34" s="2">
        <v>23045.25</v>
      </c>
      <c r="D34" s="3">
        <v>-1.1507554677138154E-3</v>
      </c>
      <c r="F34" s="8">
        <v>45700</v>
      </c>
      <c r="G34">
        <v>52.4</v>
      </c>
      <c r="H34" s="3">
        <f t="shared" si="0"/>
        <v>7.886131948451558E-3</v>
      </c>
    </row>
    <row r="35" spans="2:8" x14ac:dyDescent="0.25">
      <c r="B35" s="8">
        <v>45701</v>
      </c>
      <c r="C35" s="2">
        <v>23031.4</v>
      </c>
      <c r="D35" s="3">
        <v>-6.0099152753811946E-4</v>
      </c>
      <c r="F35" s="8">
        <v>45701</v>
      </c>
      <c r="G35">
        <v>53.35</v>
      </c>
      <c r="H35" s="3">
        <f t="shared" si="0"/>
        <v>1.8129770992366456E-2</v>
      </c>
    </row>
    <row r="36" spans="2:8" x14ac:dyDescent="0.25">
      <c r="B36" s="8">
        <v>45702</v>
      </c>
      <c r="C36" s="2">
        <v>22929.25</v>
      </c>
      <c r="D36" s="3">
        <v>-4.4352492683902289E-3</v>
      </c>
      <c r="F36" s="8">
        <v>45702</v>
      </c>
      <c r="G36">
        <v>51.14</v>
      </c>
      <c r="H36" s="3">
        <f t="shared" si="0"/>
        <v>-4.1424554826616666E-2</v>
      </c>
    </row>
    <row r="37" spans="2:8" x14ac:dyDescent="0.25">
      <c r="B37" s="8">
        <v>45705</v>
      </c>
      <c r="C37" s="2">
        <v>22959.5</v>
      </c>
      <c r="D37" s="3">
        <v>1.3192755977626813E-3</v>
      </c>
      <c r="F37" s="8">
        <v>45705</v>
      </c>
      <c r="G37">
        <v>51.42</v>
      </c>
      <c r="H37" s="3">
        <f t="shared" si="0"/>
        <v>5.4751662104028931E-3</v>
      </c>
    </row>
    <row r="38" spans="2:8" x14ac:dyDescent="0.25">
      <c r="B38" s="8">
        <v>45706</v>
      </c>
      <c r="C38" s="2">
        <v>22945.3</v>
      </c>
      <c r="D38" s="3">
        <v>-6.1848036760381309E-4</v>
      </c>
      <c r="F38" s="8">
        <v>45706</v>
      </c>
      <c r="G38">
        <v>50.64</v>
      </c>
      <c r="H38" s="3">
        <f t="shared" si="0"/>
        <v>-1.5169194865811031E-2</v>
      </c>
    </row>
    <row r="39" spans="2:8" x14ac:dyDescent="0.25">
      <c r="B39" s="8">
        <v>45707</v>
      </c>
      <c r="C39" s="2">
        <v>22932.9</v>
      </c>
      <c r="D39" s="3">
        <v>-5.4041568425766684E-4</v>
      </c>
      <c r="F39" s="8">
        <v>45707</v>
      </c>
      <c r="G39">
        <v>54.16</v>
      </c>
      <c r="H39" s="3">
        <f t="shared" si="0"/>
        <v>6.9510268562401167E-2</v>
      </c>
    </row>
    <row r="40" spans="2:8" x14ac:dyDescent="0.25">
      <c r="B40" s="8">
        <v>45708</v>
      </c>
      <c r="C40" s="2">
        <v>22913.15</v>
      </c>
      <c r="D40" s="3">
        <v>-8.6120813329326751E-4</v>
      </c>
      <c r="F40" s="8">
        <v>45708</v>
      </c>
      <c r="G40">
        <v>54.88</v>
      </c>
      <c r="H40" s="3">
        <f t="shared" si="0"/>
        <v>1.3293943870014813E-2</v>
      </c>
    </row>
    <row r="41" spans="2:8" x14ac:dyDescent="0.25">
      <c r="B41" s="8">
        <v>45709</v>
      </c>
      <c r="C41" s="2">
        <v>22795.9</v>
      </c>
      <c r="D41" s="3">
        <v>-5.1171488861200265E-3</v>
      </c>
      <c r="F41" s="8">
        <v>45709</v>
      </c>
      <c r="G41">
        <v>55.17</v>
      </c>
      <c r="H41" s="3">
        <f t="shared" si="0"/>
        <v>5.2842565597668312E-3</v>
      </c>
    </row>
    <row r="42" spans="2:8" x14ac:dyDescent="0.25">
      <c r="B42" s="8">
        <v>45712</v>
      </c>
      <c r="C42" s="2">
        <v>22553.35</v>
      </c>
      <c r="D42" s="3">
        <v>-1.0640071240881177E-2</v>
      </c>
      <c r="F42" s="8">
        <v>45712</v>
      </c>
      <c r="G42">
        <v>54.29</v>
      </c>
      <c r="H42" s="3">
        <f t="shared" si="0"/>
        <v>-1.5950697843030714E-2</v>
      </c>
    </row>
    <row r="43" spans="2:8" x14ac:dyDescent="0.25">
      <c r="B43" s="8">
        <v>45713</v>
      </c>
      <c r="C43" s="2">
        <v>22547.55</v>
      </c>
      <c r="D43" s="3">
        <v>-2.5716800386632599E-4</v>
      </c>
      <c r="F43" s="8">
        <v>45713</v>
      </c>
      <c r="G43">
        <v>54.58</v>
      </c>
      <c r="H43" s="3">
        <f t="shared" si="0"/>
        <v>5.3416835512984928E-3</v>
      </c>
    </row>
    <row r="44" spans="2:8" x14ac:dyDescent="0.25">
      <c r="B44" s="8">
        <v>45715</v>
      </c>
      <c r="C44" s="2">
        <v>22545.05</v>
      </c>
      <c r="D44" s="3">
        <v>-1.1087679149179852E-4</v>
      </c>
      <c r="F44" s="8">
        <v>45715</v>
      </c>
      <c r="G44">
        <v>52.13</v>
      </c>
      <c r="H44" s="3">
        <f t="shared" si="0"/>
        <v>-4.488823744961512E-2</v>
      </c>
    </row>
    <row r="45" spans="2:8" x14ac:dyDescent="0.25">
      <c r="B45" s="8">
        <v>45716</v>
      </c>
      <c r="C45" s="2">
        <v>22124.7</v>
      </c>
      <c r="D45" s="3">
        <v>-1.8644891007116748E-2</v>
      </c>
      <c r="F45" s="8">
        <v>45716</v>
      </c>
      <c r="G45">
        <v>49.71</v>
      </c>
      <c r="H45" s="3">
        <f t="shared" si="0"/>
        <v>-4.6422405524649935E-2</v>
      </c>
    </row>
    <row r="46" spans="2:8" x14ac:dyDescent="0.25">
      <c r="B46" s="8">
        <v>45719</v>
      </c>
      <c r="C46" s="2">
        <v>22119.3</v>
      </c>
      <c r="D46" s="3">
        <v>-2.4407110604895976E-4</v>
      </c>
      <c r="F46" s="8">
        <v>45719</v>
      </c>
      <c r="G46">
        <v>49.78</v>
      </c>
      <c r="H46" s="3">
        <f t="shared" si="0"/>
        <v>1.4081673707504461E-3</v>
      </c>
    </row>
    <row r="47" spans="2:8" x14ac:dyDescent="0.25">
      <c r="B47" s="8">
        <v>45720</v>
      </c>
      <c r="C47" s="2">
        <v>22082.65</v>
      </c>
      <c r="D47" s="3">
        <v>-1.6569240437083188E-3</v>
      </c>
      <c r="F47" s="8">
        <v>45720</v>
      </c>
      <c r="G47">
        <v>50.11</v>
      </c>
      <c r="H47" s="3">
        <f t="shared" si="0"/>
        <v>6.6291683406989321E-3</v>
      </c>
    </row>
    <row r="48" spans="2:8" x14ac:dyDescent="0.25">
      <c r="B48" s="8">
        <v>45721</v>
      </c>
      <c r="C48" s="2">
        <v>22337.3</v>
      </c>
      <c r="D48" s="3">
        <v>1.1531677583985545E-2</v>
      </c>
      <c r="F48" s="8">
        <v>45721</v>
      </c>
      <c r="G48">
        <v>51.49</v>
      </c>
      <c r="H48" s="3">
        <f t="shared" si="0"/>
        <v>2.7539413290760484E-2</v>
      </c>
    </row>
    <row r="49" spans="2:8" x14ac:dyDescent="0.25">
      <c r="B49" s="8">
        <v>45722</v>
      </c>
      <c r="C49" s="2">
        <v>22544.7</v>
      </c>
      <c r="D49" s="3">
        <v>9.2849180518683738E-3</v>
      </c>
      <c r="F49" s="8">
        <v>45722</v>
      </c>
      <c r="G49">
        <v>52.1</v>
      </c>
      <c r="H49" s="3">
        <f t="shared" si="0"/>
        <v>1.1846960574869003E-2</v>
      </c>
    </row>
    <row r="50" spans="2:8" x14ac:dyDescent="0.25">
      <c r="B50" s="8">
        <v>45723</v>
      </c>
      <c r="C50" s="2">
        <v>22552.5</v>
      </c>
      <c r="D50" s="3">
        <v>3.459793210820461E-4</v>
      </c>
      <c r="F50" s="8">
        <v>45723</v>
      </c>
      <c r="G50">
        <v>54.92</v>
      </c>
      <c r="H50" s="3">
        <f t="shared" si="0"/>
        <v>5.4126679462571881E-2</v>
      </c>
    </row>
    <row r="51" spans="2:8" x14ac:dyDescent="0.25">
      <c r="B51" s="8">
        <v>45726</v>
      </c>
      <c r="C51" s="2">
        <v>22460.3</v>
      </c>
      <c r="D51" s="3">
        <v>-4.0882385544840361E-3</v>
      </c>
      <c r="F51" s="8">
        <v>45726</v>
      </c>
      <c r="G51">
        <v>53.24</v>
      </c>
      <c r="H51" s="3">
        <f t="shared" si="0"/>
        <v>-3.0589949016751605E-2</v>
      </c>
    </row>
    <row r="52" spans="2:8" x14ac:dyDescent="0.25">
      <c r="B52" s="8">
        <v>45727</v>
      </c>
      <c r="C52" s="2">
        <v>22497.9</v>
      </c>
      <c r="D52" s="3">
        <v>1.6740649056334878E-3</v>
      </c>
      <c r="F52" s="8">
        <v>45727</v>
      </c>
      <c r="G52">
        <v>53.76</v>
      </c>
      <c r="H52" s="3">
        <f t="shared" si="0"/>
        <v>9.7670924117203572E-3</v>
      </c>
    </row>
    <row r="53" spans="2:8" x14ac:dyDescent="0.25">
      <c r="B53" s="8">
        <v>45728</v>
      </c>
      <c r="C53" s="2">
        <v>22470.5</v>
      </c>
      <c r="D53" s="3">
        <v>-1.2178914476462799E-3</v>
      </c>
      <c r="F53" s="8">
        <v>45728</v>
      </c>
      <c r="G53">
        <v>53.85</v>
      </c>
      <c r="H53" s="3">
        <f t="shared" si="0"/>
        <v>1.6741071428572063E-3</v>
      </c>
    </row>
    <row r="54" spans="2:8" x14ac:dyDescent="0.25">
      <c r="B54" s="8">
        <v>45729</v>
      </c>
      <c r="C54" s="2">
        <v>22397.200000000001</v>
      </c>
      <c r="D54" s="3">
        <v>-3.2620546939320372E-3</v>
      </c>
      <c r="F54" s="8">
        <v>45729</v>
      </c>
      <c r="G54">
        <v>54.58</v>
      </c>
      <c r="H54" s="3">
        <f t="shared" si="0"/>
        <v>1.3556174558960077E-2</v>
      </c>
    </row>
    <row r="55" spans="2:8" x14ac:dyDescent="0.25">
      <c r="B55" s="8">
        <v>45733</v>
      </c>
      <c r="C55" s="2">
        <v>22508.75</v>
      </c>
      <c r="D55" s="3">
        <v>4.9805332809458314E-3</v>
      </c>
      <c r="F55" s="8">
        <v>45733</v>
      </c>
      <c r="G55">
        <v>54.5</v>
      </c>
      <c r="H55" s="3">
        <f t="shared" si="0"/>
        <v>-1.4657383657017409E-3</v>
      </c>
    </row>
    <row r="56" spans="2:8" x14ac:dyDescent="0.25">
      <c r="B56" s="8">
        <v>45734</v>
      </c>
      <c r="C56" s="2">
        <v>22834.3</v>
      </c>
      <c r="D56" s="3">
        <v>1.4463264286110888E-2</v>
      </c>
      <c r="F56" s="8">
        <v>45734</v>
      </c>
      <c r="G56">
        <v>54.98</v>
      </c>
      <c r="H56" s="3">
        <f t="shared" si="0"/>
        <v>8.8073394495411517E-3</v>
      </c>
    </row>
    <row r="57" spans="2:8" x14ac:dyDescent="0.25">
      <c r="B57" s="8">
        <v>45735</v>
      </c>
      <c r="C57" s="2">
        <v>22907.599999999999</v>
      </c>
      <c r="D57" s="3">
        <v>3.2100830767747279E-3</v>
      </c>
      <c r="F57" s="8">
        <v>45735</v>
      </c>
      <c r="G57">
        <v>57.76</v>
      </c>
      <c r="H57" s="3">
        <f t="shared" si="0"/>
        <v>5.0563841396871645E-2</v>
      </c>
    </row>
    <row r="58" spans="2:8" x14ac:dyDescent="0.25">
      <c r="B58" s="8">
        <v>45736</v>
      </c>
      <c r="C58" s="2">
        <v>23190.65</v>
      </c>
      <c r="D58" s="3">
        <v>1.2356161273987754E-2</v>
      </c>
      <c r="F58" s="8">
        <v>45736</v>
      </c>
      <c r="G58">
        <v>58.39</v>
      </c>
      <c r="H58" s="3">
        <f t="shared" si="0"/>
        <v>1.0907202216066558E-2</v>
      </c>
    </row>
    <row r="59" spans="2:8" x14ac:dyDescent="0.25">
      <c r="B59" s="8">
        <v>45737</v>
      </c>
      <c r="C59" s="2">
        <v>23350.400000000001</v>
      </c>
      <c r="D59" s="3">
        <v>6.8885520673203082E-3</v>
      </c>
      <c r="F59" s="8">
        <v>45737</v>
      </c>
      <c r="G59">
        <v>56.5</v>
      </c>
      <c r="H59" s="3">
        <f t="shared" si="0"/>
        <v>-3.236855625963353E-2</v>
      </c>
    </row>
    <row r="60" spans="2:8" x14ac:dyDescent="0.25">
      <c r="B60" s="8">
        <v>45740</v>
      </c>
      <c r="C60" s="2">
        <v>23658.35</v>
      </c>
      <c r="D60" s="3">
        <v>1.3188210908592346E-2</v>
      </c>
      <c r="F60" s="8">
        <v>45740</v>
      </c>
      <c r="G60">
        <v>57.91</v>
      </c>
      <c r="H60" s="3">
        <f t="shared" si="0"/>
        <v>2.4955752212389326E-2</v>
      </c>
    </row>
    <row r="61" spans="2:8" x14ac:dyDescent="0.25">
      <c r="B61" s="8">
        <v>45741</v>
      </c>
      <c r="C61" s="2">
        <v>23668.65</v>
      </c>
      <c r="D61" s="3">
        <v>4.353642582852757E-4</v>
      </c>
      <c r="F61" s="8">
        <v>45741</v>
      </c>
      <c r="G61">
        <v>57.65</v>
      </c>
      <c r="H61" s="3">
        <f t="shared" si="0"/>
        <v>-4.4897254360213301E-3</v>
      </c>
    </row>
    <row r="62" spans="2:8" x14ac:dyDescent="0.25">
      <c r="B62" s="8">
        <v>45742</v>
      </c>
      <c r="C62" s="2">
        <v>23486.85</v>
      </c>
      <c r="D62" s="3">
        <v>-7.6810464475161044E-3</v>
      </c>
      <c r="F62" s="8">
        <v>45742</v>
      </c>
      <c r="G62">
        <v>57.43</v>
      </c>
      <c r="H62" s="3">
        <f t="shared" si="0"/>
        <v>-3.8161318300086178E-3</v>
      </c>
    </row>
    <row r="63" spans="2:8" x14ac:dyDescent="0.25">
      <c r="B63" s="8">
        <v>45743</v>
      </c>
      <c r="C63" s="2">
        <v>23591.95</v>
      </c>
      <c r="D63" s="3">
        <v>4.4748444342259663E-3</v>
      </c>
      <c r="F63" s="8">
        <v>45743</v>
      </c>
      <c r="G63">
        <v>57.01</v>
      </c>
      <c r="H63" s="3">
        <f t="shared" si="0"/>
        <v>-7.3132509141563551E-3</v>
      </c>
    </row>
    <row r="64" spans="2:8" x14ac:dyDescent="0.25">
      <c r="B64" s="8">
        <v>45744</v>
      </c>
      <c r="C64" s="2">
        <v>23519.35</v>
      </c>
      <c r="D64" s="3">
        <v>-3.0773208658039231E-3</v>
      </c>
      <c r="F64" s="8">
        <v>45744</v>
      </c>
      <c r="G64">
        <v>56.66</v>
      </c>
      <c r="H64" s="3">
        <f t="shared" si="0"/>
        <v>-6.139273811612056E-3</v>
      </c>
    </row>
    <row r="65" spans="2:8" x14ac:dyDescent="0.25">
      <c r="B65" s="8">
        <v>45748</v>
      </c>
      <c r="C65" s="2">
        <v>23165.7</v>
      </c>
      <c r="D65" s="3">
        <v>-1.5036555006834651E-2</v>
      </c>
      <c r="F65" s="8">
        <v>45748</v>
      </c>
      <c r="G65">
        <v>55.75</v>
      </c>
      <c r="H65" s="3">
        <f t="shared" si="0"/>
        <v>-1.6060713025061735E-2</v>
      </c>
    </row>
    <row r="66" spans="2:8" x14ac:dyDescent="0.25">
      <c r="B66" s="8">
        <v>45749</v>
      </c>
      <c r="C66" s="2">
        <v>23332.35</v>
      </c>
      <c r="D66" s="3">
        <v>7.1938253538634811E-3</v>
      </c>
      <c r="F66" s="8">
        <v>45749</v>
      </c>
      <c r="G66">
        <v>57.43</v>
      </c>
      <c r="H66" s="3">
        <f t="shared" si="0"/>
        <v>3.0134529147981981E-2</v>
      </c>
    </row>
    <row r="67" spans="2:8" x14ac:dyDescent="0.25">
      <c r="B67" s="8">
        <v>45750</v>
      </c>
      <c r="C67" s="2">
        <v>23250.1</v>
      </c>
      <c r="D67" s="3">
        <v>-3.5251485598322141E-3</v>
      </c>
      <c r="F67" s="8">
        <v>45750</v>
      </c>
      <c r="G67">
        <v>57.49</v>
      </c>
      <c r="H67" s="3">
        <f t="shared" si="0"/>
        <v>1.0447501305939078E-3</v>
      </c>
    </row>
    <row r="68" spans="2:8" x14ac:dyDescent="0.25">
      <c r="B68" s="8">
        <v>45751</v>
      </c>
      <c r="C68" s="2">
        <v>22904.45</v>
      </c>
      <c r="D68" s="3">
        <v>-1.4866602724289302E-2</v>
      </c>
      <c r="F68" s="8">
        <v>45751</v>
      </c>
      <c r="G68">
        <v>55.36</v>
      </c>
      <c r="H68" s="3">
        <f t="shared" si="0"/>
        <v>-3.7049921725517576E-2</v>
      </c>
    </row>
    <row r="69" spans="2:8" x14ac:dyDescent="0.25">
      <c r="B69" s="8">
        <v>45754</v>
      </c>
      <c r="C69" s="2">
        <v>22161.599999999999</v>
      </c>
      <c r="D69" s="3">
        <v>-3.2432562231356932E-2</v>
      </c>
      <c r="F69" s="8">
        <v>45754</v>
      </c>
      <c r="G69">
        <v>52.12</v>
      </c>
      <c r="H69" s="3">
        <f t="shared" ref="H69:H132" si="1">G69/G68-1</f>
        <v>-5.8526011560693703E-2</v>
      </c>
    </row>
    <row r="70" spans="2:8" x14ac:dyDescent="0.25">
      <c r="B70" s="8">
        <v>45755</v>
      </c>
      <c r="C70" s="2">
        <v>22535.85</v>
      </c>
      <c r="D70" s="3">
        <v>1.68873186051548E-2</v>
      </c>
      <c r="F70" s="8">
        <v>45755</v>
      </c>
      <c r="G70">
        <v>53.08</v>
      </c>
      <c r="H70" s="3">
        <f t="shared" si="1"/>
        <v>1.8419033000767415E-2</v>
      </c>
    </row>
    <row r="71" spans="2:8" x14ac:dyDescent="0.25">
      <c r="B71" s="8">
        <v>45756</v>
      </c>
      <c r="C71" s="2">
        <v>22399.15</v>
      </c>
      <c r="D71" s="3">
        <v>-6.0658905699140231E-3</v>
      </c>
      <c r="F71" s="8">
        <v>45756</v>
      </c>
      <c r="G71">
        <v>51.21</v>
      </c>
      <c r="H71" s="3">
        <f t="shared" si="1"/>
        <v>-3.5229841748304347E-2</v>
      </c>
    </row>
    <row r="72" spans="2:8" x14ac:dyDescent="0.25">
      <c r="B72" s="8">
        <v>45758</v>
      </c>
      <c r="C72" s="2">
        <v>22828.55</v>
      </c>
      <c r="D72" s="3">
        <v>1.91703703042303E-2</v>
      </c>
      <c r="F72" s="8">
        <v>45758</v>
      </c>
      <c r="G72">
        <v>53</v>
      </c>
      <c r="H72" s="3">
        <f t="shared" si="1"/>
        <v>3.4954110525287962E-2</v>
      </c>
    </row>
    <row r="73" spans="2:8" x14ac:dyDescent="0.25">
      <c r="B73" s="8">
        <v>45762</v>
      </c>
      <c r="C73" s="2">
        <v>23328.55</v>
      </c>
      <c r="D73" s="3">
        <v>2.1902398531663314E-2</v>
      </c>
      <c r="F73" s="8">
        <v>45762</v>
      </c>
      <c r="G73">
        <v>54.37</v>
      </c>
      <c r="H73" s="3">
        <f t="shared" si="1"/>
        <v>2.5849056603773457E-2</v>
      </c>
    </row>
    <row r="74" spans="2:8" x14ac:dyDescent="0.25">
      <c r="B74" s="8">
        <v>45763</v>
      </c>
      <c r="C74" s="2">
        <v>23437.200000000001</v>
      </c>
      <c r="D74" s="3">
        <v>4.6573833350123106E-3</v>
      </c>
      <c r="F74" s="8">
        <v>45763</v>
      </c>
      <c r="G74">
        <v>54.34</v>
      </c>
      <c r="H74" s="3">
        <f t="shared" si="1"/>
        <v>-5.5177487585056362E-4</v>
      </c>
    </row>
    <row r="75" spans="2:8" x14ac:dyDescent="0.25">
      <c r="B75" s="8">
        <v>45764</v>
      </c>
      <c r="C75" s="2">
        <v>23851.65</v>
      </c>
      <c r="D75" s="3">
        <v>1.7683426347857356E-2</v>
      </c>
      <c r="F75" s="8">
        <v>45764</v>
      </c>
      <c r="G75">
        <v>55.07</v>
      </c>
      <c r="H75" s="3">
        <f t="shared" si="1"/>
        <v>1.3433934486565935E-2</v>
      </c>
    </row>
    <row r="76" spans="2:8" x14ac:dyDescent="0.25">
      <c r="B76" s="8">
        <v>45768</v>
      </c>
      <c r="C76" s="2">
        <v>24125.55</v>
      </c>
      <c r="D76" s="3">
        <v>1.1483482274811108E-2</v>
      </c>
      <c r="F76" s="8">
        <v>45768</v>
      </c>
      <c r="G76">
        <v>60.29</v>
      </c>
      <c r="H76" s="3">
        <f t="shared" si="1"/>
        <v>9.4788451062284285E-2</v>
      </c>
    </row>
    <row r="77" spans="2:8" x14ac:dyDescent="0.25">
      <c r="B77" s="8">
        <v>45769</v>
      </c>
      <c r="C77" s="2">
        <v>24167.25</v>
      </c>
      <c r="D77" s="3">
        <v>1.7284580040661801E-3</v>
      </c>
      <c r="F77" s="8">
        <v>45769</v>
      </c>
      <c r="G77">
        <v>59.27</v>
      </c>
      <c r="H77" s="3">
        <f t="shared" si="1"/>
        <v>-1.6918228561950466E-2</v>
      </c>
    </row>
    <row r="78" spans="2:8" x14ac:dyDescent="0.25">
      <c r="B78" s="8">
        <v>45770</v>
      </c>
      <c r="C78" s="2">
        <v>24328.95</v>
      </c>
      <c r="D78" s="3">
        <v>6.6908729789281196E-3</v>
      </c>
      <c r="F78" s="8">
        <v>45770</v>
      </c>
      <c r="G78">
        <v>59.99</v>
      </c>
      <c r="H78" s="3">
        <f t="shared" si="1"/>
        <v>1.2147798211574079E-2</v>
      </c>
    </row>
    <row r="79" spans="2:8" x14ac:dyDescent="0.25">
      <c r="B79" s="8">
        <v>45771</v>
      </c>
      <c r="C79" s="2">
        <v>24246.7</v>
      </c>
      <c r="D79" s="3">
        <v>-3.380745983694311E-3</v>
      </c>
      <c r="F79" s="8">
        <v>45771</v>
      </c>
      <c r="G79">
        <v>60.11</v>
      </c>
      <c r="H79" s="3">
        <f t="shared" si="1"/>
        <v>2.0003333888980457E-3</v>
      </c>
    </row>
    <row r="80" spans="2:8" x14ac:dyDescent="0.25">
      <c r="B80" s="8">
        <v>45772</v>
      </c>
      <c r="C80" s="2">
        <v>24039.35</v>
      </c>
      <c r="D80" s="3">
        <v>-8.5516791975815964E-3</v>
      </c>
      <c r="F80" s="8">
        <v>45772</v>
      </c>
      <c r="G80">
        <v>58.3</v>
      </c>
      <c r="H80" s="3">
        <f t="shared" si="1"/>
        <v>-3.0111462319081683E-2</v>
      </c>
    </row>
    <row r="81" spans="2:8" x14ac:dyDescent="0.25">
      <c r="B81" s="8">
        <v>45775</v>
      </c>
      <c r="C81" s="2">
        <v>24328.5</v>
      </c>
      <c r="D81" s="3">
        <v>1.2028195437896683E-2</v>
      </c>
      <c r="F81" s="8">
        <v>45775</v>
      </c>
      <c r="G81">
        <v>57.78</v>
      </c>
      <c r="H81" s="3">
        <f t="shared" si="1"/>
        <v>-8.9193825042881425E-3</v>
      </c>
    </row>
    <row r="82" spans="2:8" x14ac:dyDescent="0.25">
      <c r="B82" s="8">
        <v>45776</v>
      </c>
      <c r="C82" s="2">
        <v>24335.95</v>
      </c>
      <c r="D82" s="3">
        <v>3.0622520911682827E-4</v>
      </c>
      <c r="F82" s="8">
        <v>45776</v>
      </c>
      <c r="G82">
        <v>57.7</v>
      </c>
      <c r="H82" s="3">
        <f t="shared" si="1"/>
        <v>-1.3845621322257085E-3</v>
      </c>
    </row>
    <row r="83" spans="2:8" x14ac:dyDescent="0.25">
      <c r="B83" s="8">
        <v>45777</v>
      </c>
      <c r="C83" s="2">
        <v>24334.2</v>
      </c>
      <c r="D83" s="3">
        <v>-7.1910075423398112E-5</v>
      </c>
      <c r="F83" s="8">
        <v>45777</v>
      </c>
      <c r="G83">
        <v>56.4</v>
      </c>
      <c r="H83" s="3">
        <f t="shared" si="1"/>
        <v>-2.2530329289428108E-2</v>
      </c>
    </row>
    <row r="84" spans="2:8" x14ac:dyDescent="0.25">
      <c r="B84" s="8">
        <v>45779</v>
      </c>
      <c r="C84" s="2">
        <v>24346.7</v>
      </c>
      <c r="D84" s="3">
        <v>5.1368033467302787E-4</v>
      </c>
      <c r="F84" s="8">
        <v>45779</v>
      </c>
      <c r="G84">
        <v>56.25</v>
      </c>
      <c r="H84" s="3">
        <f t="shared" si="1"/>
        <v>-2.6595744680850686E-3</v>
      </c>
    </row>
    <row r="85" spans="2:8" x14ac:dyDescent="0.25">
      <c r="B85" s="8">
        <v>45782</v>
      </c>
      <c r="C85" s="2">
        <v>24461.15</v>
      </c>
      <c r="D85" s="3">
        <v>4.7008424139616256E-3</v>
      </c>
      <c r="F85" s="8">
        <v>45782</v>
      </c>
      <c r="G85">
        <v>56.92</v>
      </c>
      <c r="H85" s="3">
        <f t="shared" si="1"/>
        <v>1.1911111111111206E-2</v>
      </c>
    </row>
    <row r="86" spans="2:8" x14ac:dyDescent="0.25">
      <c r="B86" s="8">
        <v>45783</v>
      </c>
      <c r="C86" s="2">
        <v>24379.599999999999</v>
      </c>
      <c r="D86" s="3">
        <v>-3.3338579747886898E-3</v>
      </c>
      <c r="F86" s="8">
        <v>45783</v>
      </c>
      <c r="G86">
        <v>53.74</v>
      </c>
      <c r="H86" s="3">
        <f t="shared" si="1"/>
        <v>-5.5867884750527064E-2</v>
      </c>
    </row>
    <row r="87" spans="2:8" x14ac:dyDescent="0.25">
      <c r="B87" s="8">
        <v>45784</v>
      </c>
      <c r="C87" s="2">
        <v>24414.400000000001</v>
      </c>
      <c r="D87" s="3">
        <v>1.4274229273656402E-3</v>
      </c>
      <c r="F87" s="8">
        <v>45784</v>
      </c>
      <c r="G87">
        <v>54.7</v>
      </c>
      <c r="H87" s="3">
        <f t="shared" si="1"/>
        <v>1.7863788611834686E-2</v>
      </c>
    </row>
    <row r="88" spans="2:8" x14ac:dyDescent="0.25">
      <c r="B88" s="8">
        <v>45785</v>
      </c>
      <c r="C88" s="2">
        <v>24273.8</v>
      </c>
      <c r="D88" s="3">
        <v>-5.758896389016388E-3</v>
      </c>
      <c r="F88" s="8">
        <v>45785</v>
      </c>
      <c r="G88">
        <v>53.15</v>
      </c>
      <c r="H88" s="3">
        <f t="shared" si="1"/>
        <v>-2.833638025594154E-2</v>
      </c>
    </row>
    <row r="89" spans="2:8" x14ac:dyDescent="0.25">
      <c r="B89" s="8">
        <v>45786</v>
      </c>
      <c r="C89" s="2">
        <v>24008</v>
      </c>
      <c r="D89" s="3">
        <v>-1.0950077861727414E-2</v>
      </c>
      <c r="F89" s="8">
        <v>45786</v>
      </c>
      <c r="G89">
        <v>52.67</v>
      </c>
      <c r="H89" s="3">
        <f t="shared" si="1"/>
        <v>-9.0310442144871939E-3</v>
      </c>
    </row>
    <row r="90" spans="2:8" x14ac:dyDescent="0.25">
      <c r="B90" s="8">
        <v>45789</v>
      </c>
      <c r="C90" s="2">
        <v>24924.7</v>
      </c>
      <c r="D90" s="3">
        <v>3.8183105631456105E-2</v>
      </c>
      <c r="F90" s="8">
        <v>45789</v>
      </c>
      <c r="G90">
        <v>56.95</v>
      </c>
      <c r="H90" s="3">
        <f t="shared" si="1"/>
        <v>8.126067970381623E-2</v>
      </c>
    </row>
    <row r="91" spans="2:8" x14ac:dyDescent="0.25">
      <c r="B91" s="8">
        <v>45790</v>
      </c>
      <c r="C91" s="2">
        <v>24578.35</v>
      </c>
      <c r="D91" s="3">
        <v>-1.3895854313191403E-2</v>
      </c>
      <c r="F91" s="8">
        <v>45790</v>
      </c>
      <c r="G91">
        <v>57.6</v>
      </c>
      <c r="H91" s="3">
        <f t="shared" si="1"/>
        <v>1.1413520632133523E-2</v>
      </c>
    </row>
    <row r="92" spans="2:8" x14ac:dyDescent="0.25">
      <c r="B92" s="8">
        <v>45791</v>
      </c>
      <c r="C92" s="2">
        <v>24666.9</v>
      </c>
      <c r="D92" s="3">
        <v>3.602764221357635E-3</v>
      </c>
      <c r="F92" s="8">
        <v>45791</v>
      </c>
      <c r="G92">
        <v>59.92</v>
      </c>
      <c r="H92" s="3">
        <f t="shared" si="1"/>
        <v>4.0277777777777857E-2</v>
      </c>
    </row>
    <row r="93" spans="2:8" x14ac:dyDescent="0.25">
      <c r="B93" s="8">
        <v>45792</v>
      </c>
      <c r="C93" s="2">
        <v>25062.1</v>
      </c>
      <c r="D93" s="3">
        <v>1.6021470067175025E-2</v>
      </c>
      <c r="F93" s="8">
        <v>45792</v>
      </c>
      <c r="G93">
        <v>61.22</v>
      </c>
      <c r="H93" s="3">
        <f t="shared" si="1"/>
        <v>2.1695594125500595E-2</v>
      </c>
    </row>
    <row r="94" spans="2:8" x14ac:dyDescent="0.25">
      <c r="B94" s="8">
        <v>45793</v>
      </c>
      <c r="C94" s="2">
        <v>25019.8</v>
      </c>
      <c r="D94" s="3">
        <v>-1.6878074862042292E-3</v>
      </c>
      <c r="F94" s="8">
        <v>45793</v>
      </c>
      <c r="G94">
        <v>61.08</v>
      </c>
      <c r="H94" s="3">
        <f t="shared" si="1"/>
        <v>-2.2868343678537073E-3</v>
      </c>
    </row>
    <row r="95" spans="2:8" x14ac:dyDescent="0.25">
      <c r="B95" s="8">
        <v>45796</v>
      </c>
      <c r="C95" s="2">
        <v>24945.45</v>
      </c>
      <c r="D95" s="3">
        <v>-2.9716464560067823E-3</v>
      </c>
      <c r="F95" s="8">
        <v>45796</v>
      </c>
      <c r="G95">
        <v>61.53</v>
      </c>
      <c r="H95" s="3">
        <f t="shared" si="1"/>
        <v>7.3673870333987868E-3</v>
      </c>
    </row>
    <row r="96" spans="2:8" x14ac:dyDescent="0.25">
      <c r="B96" s="8">
        <v>45797</v>
      </c>
      <c r="C96" s="2">
        <v>24683.9</v>
      </c>
      <c r="D96" s="3">
        <v>-1.0484878003804265E-2</v>
      </c>
      <c r="F96" s="8">
        <v>45797</v>
      </c>
      <c r="G96">
        <v>60.35</v>
      </c>
      <c r="H96" s="3">
        <f t="shared" si="1"/>
        <v>-1.9177636925077235E-2</v>
      </c>
    </row>
    <row r="97" spans="2:8" x14ac:dyDescent="0.25">
      <c r="B97" s="8">
        <v>45798</v>
      </c>
      <c r="C97" s="2">
        <v>24813.45</v>
      </c>
      <c r="D97" s="3">
        <v>5.2483602672186436E-3</v>
      </c>
      <c r="F97" s="8">
        <v>45798</v>
      </c>
      <c r="G97">
        <v>61.28</v>
      </c>
      <c r="H97" s="3">
        <f t="shared" si="1"/>
        <v>1.541010770505391E-2</v>
      </c>
    </row>
    <row r="98" spans="2:8" x14ac:dyDescent="0.25">
      <c r="B98" s="8">
        <v>45799</v>
      </c>
      <c r="C98" s="2">
        <v>24609.7</v>
      </c>
      <c r="D98" s="3">
        <v>-8.2112725155107924E-3</v>
      </c>
      <c r="F98" s="8">
        <v>45799</v>
      </c>
      <c r="G98">
        <v>61.01</v>
      </c>
      <c r="H98" s="3">
        <f t="shared" si="1"/>
        <v>-4.40600522193213E-3</v>
      </c>
    </row>
    <row r="99" spans="2:8" x14ac:dyDescent="0.25">
      <c r="B99" s="8">
        <v>45800</v>
      </c>
      <c r="C99" s="2">
        <v>24853.15</v>
      </c>
      <c r="D99" s="3">
        <v>9.8924407855438545E-3</v>
      </c>
      <c r="F99" s="8">
        <v>45800</v>
      </c>
      <c r="G99">
        <v>62.21</v>
      </c>
      <c r="H99" s="3">
        <f t="shared" si="1"/>
        <v>1.9668906736600711E-2</v>
      </c>
    </row>
    <row r="100" spans="2:8" x14ac:dyDescent="0.25">
      <c r="B100" s="8">
        <v>45803</v>
      </c>
      <c r="C100" s="2">
        <v>25001.15</v>
      </c>
      <c r="D100" s="3">
        <v>5.954979549875894E-3</v>
      </c>
      <c r="F100" s="8">
        <v>45803</v>
      </c>
      <c r="G100">
        <v>64.37</v>
      </c>
      <c r="H100" s="3">
        <f t="shared" si="1"/>
        <v>3.4721105931522223E-2</v>
      </c>
    </row>
    <row r="101" spans="2:8" x14ac:dyDescent="0.25">
      <c r="B101" s="8">
        <v>45804</v>
      </c>
      <c r="C101" s="2">
        <v>24826.2</v>
      </c>
      <c r="D101" s="3">
        <v>-6.9976781068070704E-3</v>
      </c>
      <c r="F101" s="8">
        <v>45804</v>
      </c>
      <c r="G101">
        <v>65.39</v>
      </c>
      <c r="H101" s="3">
        <f t="shared" si="1"/>
        <v>1.5845890942985719E-2</v>
      </c>
    </row>
    <row r="102" spans="2:8" x14ac:dyDescent="0.25">
      <c r="B102" s="8">
        <v>45805</v>
      </c>
      <c r="C102" s="2">
        <v>24752.45</v>
      </c>
      <c r="D102" s="3">
        <v>-2.9706519725128944E-3</v>
      </c>
      <c r="F102" s="8">
        <v>45805</v>
      </c>
      <c r="G102">
        <v>66.319999999999993</v>
      </c>
      <c r="H102" s="3">
        <f t="shared" si="1"/>
        <v>1.4222358158739734E-2</v>
      </c>
    </row>
    <row r="103" spans="2:8" x14ac:dyDescent="0.25">
      <c r="B103" s="8">
        <v>45806</v>
      </c>
      <c r="C103" s="2">
        <v>24833.599999999999</v>
      </c>
      <c r="D103" s="3">
        <v>3.2784633440325894E-3</v>
      </c>
      <c r="F103" s="8">
        <v>45806</v>
      </c>
      <c r="G103">
        <v>65.42</v>
      </c>
      <c r="H103" s="3">
        <f t="shared" si="1"/>
        <v>-1.3570566948130192E-2</v>
      </c>
    </row>
    <row r="104" spans="2:8" x14ac:dyDescent="0.25">
      <c r="B104" s="8">
        <v>45807</v>
      </c>
      <c r="C104" s="2">
        <v>24750.7</v>
      </c>
      <c r="D104" s="3">
        <v>-3.3382191869080202E-3</v>
      </c>
      <c r="F104" s="8">
        <v>45807</v>
      </c>
      <c r="G104">
        <v>71.48</v>
      </c>
      <c r="H104" s="3">
        <f t="shared" si="1"/>
        <v>9.2632222561907618E-2</v>
      </c>
    </row>
    <row r="105" spans="2:8" x14ac:dyDescent="0.25">
      <c r="B105" s="8">
        <v>45810</v>
      </c>
      <c r="C105" s="2">
        <v>24716.6</v>
      </c>
      <c r="D105" s="3">
        <v>-1.3777388114276645E-3</v>
      </c>
      <c r="F105" s="8">
        <v>45810</v>
      </c>
      <c r="G105">
        <v>71.19</v>
      </c>
      <c r="H105" s="3">
        <f t="shared" si="1"/>
        <v>-4.057078903189737E-3</v>
      </c>
    </row>
    <row r="106" spans="2:8" x14ac:dyDescent="0.25">
      <c r="B106" s="8">
        <v>45811</v>
      </c>
      <c r="C106" s="2">
        <v>24542.5</v>
      </c>
      <c r="D106" s="3">
        <v>-7.0438490730925229E-3</v>
      </c>
      <c r="F106" s="8">
        <v>45811</v>
      </c>
      <c r="G106">
        <v>68.150000000000006</v>
      </c>
      <c r="H106" s="3">
        <f t="shared" si="1"/>
        <v>-4.2702626773423069E-2</v>
      </c>
    </row>
    <row r="107" spans="2:8" x14ac:dyDescent="0.25">
      <c r="B107" s="8">
        <v>45812</v>
      </c>
      <c r="C107" s="2">
        <v>24620.2</v>
      </c>
      <c r="D107" s="3">
        <v>3.1659366405216716E-3</v>
      </c>
      <c r="F107" s="8">
        <v>45812</v>
      </c>
      <c r="G107">
        <v>66.72</v>
      </c>
      <c r="H107" s="3">
        <f t="shared" si="1"/>
        <v>-2.0983125458547414E-2</v>
      </c>
    </row>
    <row r="108" spans="2:8" x14ac:dyDescent="0.25">
      <c r="B108" s="8">
        <v>45813</v>
      </c>
      <c r="C108" s="2">
        <v>24750.9</v>
      </c>
      <c r="D108" s="3">
        <v>5.3086489955402882E-3</v>
      </c>
      <c r="F108" s="8">
        <v>45813</v>
      </c>
      <c r="G108">
        <v>66.77</v>
      </c>
      <c r="H108" s="3">
        <f t="shared" si="1"/>
        <v>7.4940047961624678E-4</v>
      </c>
    </row>
    <row r="109" spans="2:8" x14ac:dyDescent="0.25">
      <c r="B109" s="8">
        <v>45814</v>
      </c>
      <c r="C109" s="2">
        <v>25003.05</v>
      </c>
      <c r="D109" s="3">
        <v>1.0187508333030282E-2</v>
      </c>
      <c r="F109" s="8">
        <v>45814</v>
      </c>
      <c r="G109">
        <v>66.709999999999994</v>
      </c>
      <c r="H109" s="3">
        <f t="shared" si="1"/>
        <v>-8.9860715890377474E-4</v>
      </c>
    </row>
    <row r="110" spans="2:8" x14ac:dyDescent="0.25">
      <c r="B110" s="8">
        <v>45817</v>
      </c>
      <c r="C110" s="2">
        <v>25103.200000000001</v>
      </c>
      <c r="D110" s="3">
        <v>4.0055113276180609E-3</v>
      </c>
      <c r="F110" s="8">
        <v>45817</v>
      </c>
      <c r="G110">
        <v>67.13</v>
      </c>
      <c r="H110" s="3">
        <f t="shared" si="1"/>
        <v>6.2959076600210828E-3</v>
      </c>
    </row>
    <row r="111" spans="2:8" x14ac:dyDescent="0.25">
      <c r="B111" s="8">
        <v>45818</v>
      </c>
      <c r="C111" s="2">
        <v>25104.25</v>
      </c>
      <c r="D111" s="3">
        <v>4.1827336753952338E-5</v>
      </c>
      <c r="F111" s="8">
        <v>45818</v>
      </c>
      <c r="G111">
        <v>68.290000000000006</v>
      </c>
      <c r="H111" s="3">
        <f t="shared" si="1"/>
        <v>1.7279904662595102E-2</v>
      </c>
    </row>
    <row r="112" spans="2:8" x14ac:dyDescent="0.25">
      <c r="B112" s="8">
        <v>45819</v>
      </c>
      <c r="C112" s="2">
        <v>25141.4</v>
      </c>
      <c r="D112" s="3">
        <v>1.4798291126005836E-3</v>
      </c>
      <c r="F112" s="8">
        <v>45819</v>
      </c>
      <c r="G112">
        <v>67.59</v>
      </c>
      <c r="H112" s="3">
        <f t="shared" si="1"/>
        <v>-1.0250402694391592E-2</v>
      </c>
    </row>
    <row r="113" spans="2:8" x14ac:dyDescent="0.25">
      <c r="B113" s="8">
        <v>45820</v>
      </c>
      <c r="C113" s="2">
        <v>24888.2</v>
      </c>
      <c r="D113" s="3">
        <v>-1.0071038207896121E-2</v>
      </c>
      <c r="F113" s="8">
        <v>45820</v>
      </c>
      <c r="G113">
        <v>65.680000000000007</v>
      </c>
      <c r="H113" s="3">
        <f t="shared" si="1"/>
        <v>-2.8258618138777836E-2</v>
      </c>
    </row>
    <row r="114" spans="2:8" x14ac:dyDescent="0.25">
      <c r="B114" s="8">
        <v>45821</v>
      </c>
      <c r="C114" s="2">
        <v>24718.6</v>
      </c>
      <c r="D114" s="3">
        <v>-6.8144743292002374E-3</v>
      </c>
      <c r="F114" s="8">
        <v>45821</v>
      </c>
      <c r="G114">
        <v>64.73</v>
      </c>
      <c r="H114" s="3">
        <f t="shared" si="1"/>
        <v>-1.4464068209500636E-2</v>
      </c>
    </row>
    <row r="115" spans="2:8" x14ac:dyDescent="0.25">
      <c r="B115" s="8">
        <v>45824</v>
      </c>
      <c r="C115" s="2">
        <v>24946.5</v>
      </c>
      <c r="D115" s="3">
        <v>9.2197778191323021E-3</v>
      </c>
      <c r="F115" s="8">
        <v>45824</v>
      </c>
      <c r="G115">
        <v>65.41</v>
      </c>
      <c r="H115" s="3">
        <f t="shared" si="1"/>
        <v>1.0505175343735296E-2</v>
      </c>
    </row>
    <row r="116" spans="2:8" x14ac:dyDescent="0.25">
      <c r="B116" s="8">
        <v>45825</v>
      </c>
      <c r="C116" s="2">
        <v>24853.4</v>
      </c>
      <c r="D116" s="3">
        <v>-3.7319864510051426E-3</v>
      </c>
      <c r="F116" s="8">
        <v>45825</v>
      </c>
      <c r="G116">
        <v>64.52</v>
      </c>
      <c r="H116" s="3">
        <f t="shared" si="1"/>
        <v>-1.3606482189267743E-2</v>
      </c>
    </row>
    <row r="117" spans="2:8" x14ac:dyDescent="0.25">
      <c r="B117" s="8">
        <v>45826</v>
      </c>
      <c r="C117" s="2">
        <v>24812.05</v>
      </c>
      <c r="D117" s="3">
        <v>-1.6637562667483063E-3</v>
      </c>
      <c r="F117" s="8">
        <v>45826</v>
      </c>
      <c r="G117">
        <v>64.069999999999993</v>
      </c>
      <c r="H117" s="3">
        <f t="shared" si="1"/>
        <v>-6.9745815251085475E-3</v>
      </c>
    </row>
    <row r="118" spans="2:8" x14ac:dyDescent="0.25">
      <c r="B118" s="8">
        <v>45827</v>
      </c>
      <c r="C118" s="2">
        <v>24793.25</v>
      </c>
      <c r="D118" s="3">
        <v>-7.5769636124378703E-4</v>
      </c>
      <c r="F118" s="8">
        <v>45827</v>
      </c>
      <c r="G118">
        <v>62.53</v>
      </c>
      <c r="H118" s="3">
        <f t="shared" si="1"/>
        <v>-2.4036210394880464E-2</v>
      </c>
    </row>
    <row r="119" spans="2:8" x14ac:dyDescent="0.25">
      <c r="B119" s="8">
        <v>45828</v>
      </c>
      <c r="C119" s="2">
        <v>25112.400000000001</v>
      </c>
      <c r="D119" s="3">
        <v>1.2872455204541611E-2</v>
      </c>
      <c r="F119" s="8">
        <v>45828</v>
      </c>
      <c r="G119">
        <v>63.23</v>
      </c>
      <c r="H119" s="3">
        <f t="shared" si="1"/>
        <v>1.1194626579241973E-2</v>
      </c>
    </row>
    <row r="120" spans="2:8" x14ac:dyDescent="0.25">
      <c r="B120" s="8">
        <v>45831</v>
      </c>
      <c r="C120" s="2">
        <v>24971.9</v>
      </c>
      <c r="D120" s="3">
        <v>-5.594845574297902E-3</v>
      </c>
      <c r="F120" s="8">
        <v>45831</v>
      </c>
      <c r="G120">
        <v>62.79</v>
      </c>
      <c r="H120" s="3">
        <f t="shared" si="1"/>
        <v>-6.9587221255732468E-3</v>
      </c>
    </row>
    <row r="121" spans="2:8" x14ac:dyDescent="0.25">
      <c r="B121" s="8">
        <v>45832</v>
      </c>
      <c r="C121" s="2">
        <v>25044.35</v>
      </c>
      <c r="D121" s="3">
        <v>2.9012610173835274E-3</v>
      </c>
      <c r="F121" s="8">
        <v>45832</v>
      </c>
      <c r="G121">
        <v>64.39</v>
      </c>
      <c r="H121" s="3">
        <f t="shared" si="1"/>
        <v>2.548176461219942E-2</v>
      </c>
    </row>
    <row r="122" spans="2:8" x14ac:dyDescent="0.25">
      <c r="B122" s="8">
        <v>45833</v>
      </c>
      <c r="C122" s="2">
        <v>25244.75</v>
      </c>
      <c r="D122" s="3">
        <v>8.001804798287937E-3</v>
      </c>
      <c r="F122" s="8">
        <v>45833</v>
      </c>
      <c r="G122">
        <v>64.319999999999993</v>
      </c>
      <c r="H122" s="3">
        <f t="shared" si="1"/>
        <v>-1.087125330020311E-3</v>
      </c>
    </row>
    <row r="123" spans="2:8" x14ac:dyDescent="0.25">
      <c r="B123" s="8">
        <v>45834</v>
      </c>
      <c r="C123" s="2">
        <v>25549</v>
      </c>
      <c r="D123" s="3">
        <v>1.2052010814129765E-2</v>
      </c>
      <c r="F123" s="8">
        <v>45834</v>
      </c>
      <c r="G123">
        <v>64.53</v>
      </c>
      <c r="H123" s="3">
        <f t="shared" si="1"/>
        <v>3.2649253731344974E-3</v>
      </c>
    </row>
    <row r="124" spans="2:8" x14ac:dyDescent="0.25">
      <c r="B124" s="8">
        <v>45835</v>
      </c>
      <c r="C124" s="2">
        <v>25637.8</v>
      </c>
      <c r="D124" s="3">
        <v>3.4756741946846414E-3</v>
      </c>
      <c r="F124" s="8">
        <v>45835</v>
      </c>
      <c r="G124">
        <v>67.319999999999993</v>
      </c>
      <c r="H124" s="3">
        <f t="shared" si="1"/>
        <v>4.3235704323570268E-2</v>
      </c>
    </row>
    <row r="125" spans="2:8" x14ac:dyDescent="0.25">
      <c r="B125" s="8">
        <v>45838</v>
      </c>
      <c r="C125" s="2">
        <v>25517.05</v>
      </c>
      <c r="D125" s="3">
        <v>-4.7098424981862896E-3</v>
      </c>
      <c r="F125" s="8">
        <v>45838</v>
      </c>
      <c r="G125">
        <v>67.72</v>
      </c>
      <c r="H125" s="3">
        <f t="shared" si="1"/>
        <v>5.9417706476529997E-3</v>
      </c>
    </row>
    <row r="126" spans="2:8" x14ac:dyDescent="0.25">
      <c r="B126" s="8">
        <v>45839</v>
      </c>
      <c r="C126" s="2">
        <v>25541.8</v>
      </c>
      <c r="D126" s="3">
        <v>9.6993970698022736E-4</v>
      </c>
      <c r="F126" s="8">
        <v>45839</v>
      </c>
      <c r="G126">
        <v>67.2</v>
      </c>
      <c r="H126" s="3">
        <f t="shared" si="1"/>
        <v>-7.6786769049024262E-3</v>
      </c>
    </row>
    <row r="127" spans="2:8" x14ac:dyDescent="0.25">
      <c r="B127" s="8">
        <v>45840</v>
      </c>
      <c r="C127" s="2">
        <v>25453.4</v>
      </c>
      <c r="D127" s="3">
        <v>-3.4609933520737268E-3</v>
      </c>
      <c r="F127" s="8">
        <v>45840</v>
      </c>
      <c r="G127">
        <v>64.790000000000006</v>
      </c>
      <c r="H127" s="3">
        <f t="shared" si="1"/>
        <v>-3.5863095238095166E-2</v>
      </c>
    </row>
    <row r="128" spans="2:8" x14ac:dyDescent="0.25">
      <c r="B128" s="8">
        <v>45841</v>
      </c>
      <c r="C128" s="2">
        <v>25405.3</v>
      </c>
      <c r="D128" s="3">
        <v>-1.8897278948981633E-3</v>
      </c>
      <c r="F128" s="8">
        <v>45841</v>
      </c>
      <c r="G128">
        <v>65.27</v>
      </c>
      <c r="H128" s="3">
        <f t="shared" si="1"/>
        <v>7.4085507022687569E-3</v>
      </c>
    </row>
    <row r="129" spans="2:8" x14ac:dyDescent="0.25">
      <c r="B129" s="8">
        <v>45842</v>
      </c>
      <c r="C129" s="2">
        <v>25461</v>
      </c>
      <c r="D129" s="3">
        <v>2.1924559048702719E-3</v>
      </c>
      <c r="F129" s="8">
        <v>45842</v>
      </c>
      <c r="G129">
        <v>65.53</v>
      </c>
      <c r="H129" s="3">
        <f t="shared" si="1"/>
        <v>3.9834533476330591E-3</v>
      </c>
    </row>
    <row r="130" spans="2:8" x14ac:dyDescent="0.25">
      <c r="B130" s="8">
        <v>45845</v>
      </c>
      <c r="C130" s="2">
        <v>25461.3</v>
      </c>
      <c r="D130" s="3">
        <v>1.1782726522913123E-5</v>
      </c>
      <c r="F130" s="8">
        <v>45845</v>
      </c>
      <c r="G130">
        <v>65.88</v>
      </c>
      <c r="H130" s="3">
        <f t="shared" si="1"/>
        <v>5.3410651609948623E-3</v>
      </c>
    </row>
    <row r="131" spans="2:8" x14ac:dyDescent="0.25">
      <c r="B131" s="8">
        <v>45846</v>
      </c>
      <c r="C131" s="2">
        <v>25522.5</v>
      </c>
      <c r="D131" s="3">
        <v>2.403647889149374E-3</v>
      </c>
      <c r="F131" s="8">
        <v>45846</v>
      </c>
      <c r="G131">
        <v>66.260000000000005</v>
      </c>
      <c r="H131" s="3">
        <f t="shared" si="1"/>
        <v>5.7680631451124675E-3</v>
      </c>
    </row>
    <row r="132" spans="2:8" x14ac:dyDescent="0.25">
      <c r="B132" s="8">
        <v>45847</v>
      </c>
      <c r="C132" s="2">
        <v>25476.1</v>
      </c>
      <c r="D132" s="3">
        <v>-1.8180037222059742E-3</v>
      </c>
      <c r="F132" s="8">
        <v>45847</v>
      </c>
      <c r="G132">
        <v>65.94</v>
      </c>
      <c r="H132" s="3">
        <f t="shared" si="1"/>
        <v>-4.8294597041956822E-3</v>
      </c>
    </row>
    <row r="133" spans="2:8" x14ac:dyDescent="0.25">
      <c r="B133" s="8">
        <v>45848</v>
      </c>
      <c r="C133" s="2">
        <v>25355.25</v>
      </c>
      <c r="D133" s="3">
        <v>-4.7436617064621212E-3</v>
      </c>
      <c r="F133" s="8">
        <v>45848</v>
      </c>
      <c r="G133">
        <v>65.97</v>
      </c>
      <c r="H133" s="3">
        <f t="shared" ref="H133:H196" si="2">G133/G132-1</f>
        <v>4.5495905368508893E-4</v>
      </c>
    </row>
    <row r="134" spans="2:8" x14ac:dyDescent="0.25">
      <c r="B134" s="8">
        <v>45849</v>
      </c>
      <c r="C134" s="2">
        <v>25149.85</v>
      </c>
      <c r="D134" s="3">
        <v>-8.1008864041963724E-3</v>
      </c>
      <c r="F134" s="8">
        <v>45849</v>
      </c>
      <c r="G134">
        <v>65.92</v>
      </c>
      <c r="H134" s="3">
        <f t="shared" si="2"/>
        <v>-7.5792026678789259E-4</v>
      </c>
    </row>
    <row r="135" spans="2:8" x14ac:dyDescent="0.25">
      <c r="B135" s="8">
        <v>45852</v>
      </c>
      <c r="C135" s="2">
        <v>25082.3</v>
      </c>
      <c r="D135" s="3">
        <v>-2.68590071113739E-3</v>
      </c>
      <c r="F135" s="8">
        <v>45852</v>
      </c>
      <c r="G135">
        <v>65.44</v>
      </c>
      <c r="H135" s="3">
        <f t="shared" si="2"/>
        <v>-7.2815533980583602E-3</v>
      </c>
    </row>
    <row r="136" spans="2:8" x14ac:dyDescent="0.25">
      <c r="B136" s="8">
        <v>45853</v>
      </c>
      <c r="C136" s="2">
        <v>25195.8</v>
      </c>
      <c r="D136" s="3">
        <v>4.5251033597397683E-3</v>
      </c>
      <c r="F136" s="8">
        <v>45853</v>
      </c>
      <c r="G136">
        <v>67.17</v>
      </c>
      <c r="H136" s="3">
        <f t="shared" si="2"/>
        <v>2.6436430317848369E-2</v>
      </c>
    </row>
    <row r="137" spans="2:8" x14ac:dyDescent="0.25">
      <c r="B137" s="8">
        <v>45854</v>
      </c>
      <c r="C137" s="2">
        <v>25212.05</v>
      </c>
      <c r="D137" s="3">
        <v>6.4494876130138934E-4</v>
      </c>
      <c r="F137" s="8">
        <v>45854</v>
      </c>
      <c r="G137">
        <v>67.03</v>
      </c>
      <c r="H137" s="3">
        <f t="shared" si="2"/>
        <v>-2.0842638082477771E-3</v>
      </c>
    </row>
    <row r="138" spans="2:8" x14ac:dyDescent="0.25">
      <c r="B138" s="8">
        <v>45855</v>
      </c>
      <c r="C138" s="2">
        <v>25111.45</v>
      </c>
      <c r="D138" s="3">
        <v>-3.9901555010400935E-3</v>
      </c>
      <c r="F138" s="8">
        <v>45855</v>
      </c>
      <c r="G138">
        <v>66.260000000000005</v>
      </c>
      <c r="H138" s="3">
        <f t="shared" si="2"/>
        <v>-1.1487393704311399E-2</v>
      </c>
    </row>
    <row r="139" spans="2:8" x14ac:dyDescent="0.25">
      <c r="B139" s="8">
        <v>45856</v>
      </c>
      <c r="C139" s="2">
        <v>24968.400000000001</v>
      </c>
      <c r="D139" s="3">
        <v>-5.6966045369741813E-3</v>
      </c>
      <c r="F139" s="8">
        <v>45856</v>
      </c>
      <c r="G139">
        <v>65.06</v>
      </c>
      <c r="H139" s="3">
        <f t="shared" si="2"/>
        <v>-1.8110473890733503E-2</v>
      </c>
    </row>
    <row r="140" spans="2:8" x14ac:dyDescent="0.25">
      <c r="B140" s="8">
        <v>45859</v>
      </c>
      <c r="C140" s="2">
        <v>25090.7</v>
      </c>
      <c r="D140" s="3">
        <v>4.8981913138206323E-3</v>
      </c>
      <c r="F140" s="8">
        <v>45859</v>
      </c>
      <c r="G140">
        <v>66.42</v>
      </c>
      <c r="H140" s="3">
        <f t="shared" si="2"/>
        <v>2.0903781125115373E-2</v>
      </c>
    </row>
    <row r="141" spans="2:8" x14ac:dyDescent="0.25">
      <c r="B141" s="8">
        <v>45860</v>
      </c>
      <c r="C141" s="2">
        <v>25060.9</v>
      </c>
      <c r="D141" s="3">
        <v>-1.1876910568456855E-3</v>
      </c>
      <c r="F141" s="8">
        <v>45860</v>
      </c>
      <c r="G141">
        <v>66.58</v>
      </c>
      <c r="H141" s="3">
        <f t="shared" si="2"/>
        <v>2.4089129780187069E-3</v>
      </c>
    </row>
    <row r="142" spans="2:8" x14ac:dyDescent="0.25">
      <c r="B142" s="8">
        <v>45861</v>
      </c>
      <c r="C142" s="2">
        <v>25219.9</v>
      </c>
      <c r="D142" s="3">
        <v>6.3445446891372548E-3</v>
      </c>
      <c r="F142" s="8">
        <v>45861</v>
      </c>
      <c r="G142">
        <v>65.98</v>
      </c>
      <c r="H142" s="3">
        <f t="shared" si="2"/>
        <v>-9.0117152297986003E-3</v>
      </c>
    </row>
    <row r="143" spans="2:8" x14ac:dyDescent="0.25">
      <c r="B143" s="8">
        <v>45862</v>
      </c>
      <c r="C143" s="2">
        <v>25062.1</v>
      </c>
      <c r="D143" s="3">
        <v>-6.2569637468825601E-3</v>
      </c>
      <c r="F143" s="8">
        <v>45862</v>
      </c>
      <c r="G143">
        <v>65.319999999999993</v>
      </c>
      <c r="H143" s="3">
        <f t="shared" si="2"/>
        <v>-1.0003031221582415E-2</v>
      </c>
    </row>
    <row r="144" spans="2:8" x14ac:dyDescent="0.25">
      <c r="B144" s="8">
        <v>45863</v>
      </c>
      <c r="C144" s="2">
        <v>24837</v>
      </c>
      <c r="D144" s="3">
        <v>-8.9816894833233407E-3</v>
      </c>
      <c r="F144" s="8">
        <v>45863</v>
      </c>
      <c r="G144">
        <v>63.62</v>
      </c>
      <c r="H144" s="3">
        <f t="shared" si="2"/>
        <v>-2.6025719534598868E-2</v>
      </c>
    </row>
    <row r="145" spans="2:8" x14ac:dyDescent="0.25">
      <c r="B145" s="8">
        <v>45866</v>
      </c>
      <c r="C145" s="2">
        <v>24680.9</v>
      </c>
      <c r="D145" s="3">
        <v>-6.2849780569311786E-3</v>
      </c>
      <c r="F145" s="8">
        <v>45866</v>
      </c>
      <c r="G145">
        <v>60.85</v>
      </c>
      <c r="H145" s="3">
        <f t="shared" si="2"/>
        <v>-4.3539767368751869E-2</v>
      </c>
    </row>
    <row r="146" spans="2:8" x14ac:dyDescent="0.25">
      <c r="B146" s="8">
        <v>45867</v>
      </c>
      <c r="C146" s="2">
        <v>24821.1</v>
      </c>
      <c r="D146" s="3">
        <v>5.6805059783069378E-3</v>
      </c>
      <c r="F146" s="8">
        <v>45867</v>
      </c>
      <c r="G146">
        <v>61.79</v>
      </c>
      <c r="H146" s="3">
        <f t="shared" si="2"/>
        <v>1.5447822514379483E-2</v>
      </c>
    </row>
    <row r="147" spans="2:8" x14ac:dyDescent="0.25">
      <c r="B147" s="8">
        <v>45868</v>
      </c>
      <c r="C147" s="2">
        <v>24855.05</v>
      </c>
      <c r="D147" s="3">
        <v>1.3677878901419138E-3</v>
      </c>
      <c r="F147" s="8">
        <v>45868</v>
      </c>
      <c r="G147">
        <v>61.21</v>
      </c>
      <c r="H147" s="3">
        <f t="shared" si="2"/>
        <v>-9.3866321411231191E-3</v>
      </c>
    </row>
    <row r="148" spans="2:8" x14ac:dyDescent="0.25">
      <c r="B148" s="8">
        <v>45869</v>
      </c>
      <c r="C148" s="2">
        <v>24768.35</v>
      </c>
      <c r="D148" s="3">
        <v>-3.4882247269669708E-3</v>
      </c>
      <c r="F148" s="8">
        <v>45869</v>
      </c>
      <c r="G148">
        <v>61.6</v>
      </c>
      <c r="H148" s="3">
        <f t="shared" si="2"/>
        <v>6.3715079235420191E-3</v>
      </c>
    </row>
    <row r="149" spans="2:8" x14ac:dyDescent="0.25">
      <c r="B149" s="8">
        <v>45870</v>
      </c>
      <c r="C149" s="2">
        <v>24565.35</v>
      </c>
      <c r="D149" s="3">
        <v>-8.195943613522938E-3</v>
      </c>
      <c r="F149" s="8">
        <v>45870</v>
      </c>
      <c r="G149">
        <v>65.95</v>
      </c>
      <c r="H149" s="3">
        <f t="shared" si="2"/>
        <v>7.0616883116883189E-2</v>
      </c>
    </row>
    <row r="150" spans="2:8" x14ac:dyDescent="0.25">
      <c r="B150" s="8">
        <v>45873</v>
      </c>
      <c r="C150" s="2">
        <v>24722.75</v>
      </c>
      <c r="D150" s="3">
        <v>6.4073990397044422E-3</v>
      </c>
      <c r="F150" s="8">
        <v>45873</v>
      </c>
      <c r="G150">
        <v>65</v>
      </c>
      <c r="H150" s="3">
        <f t="shared" si="2"/>
        <v>-1.4404852160727843E-2</v>
      </c>
    </row>
    <row r="151" spans="2:8" x14ac:dyDescent="0.25">
      <c r="B151" s="8">
        <v>45874</v>
      </c>
      <c r="C151" s="2">
        <v>24649.55</v>
      </c>
      <c r="D151" s="3">
        <v>-2.9608356675532299E-3</v>
      </c>
      <c r="F151" s="8">
        <v>45874</v>
      </c>
      <c r="G151">
        <v>65.44</v>
      </c>
      <c r="H151" s="3">
        <f t="shared" si="2"/>
        <v>6.7692307692306386E-3</v>
      </c>
    </row>
    <row r="152" spans="2:8" x14ac:dyDescent="0.25">
      <c r="B152" s="8">
        <v>45875</v>
      </c>
      <c r="C152" s="2">
        <v>24574.2</v>
      </c>
      <c r="D152" s="3">
        <v>-3.0568509364268248E-3</v>
      </c>
      <c r="F152" s="8">
        <v>45875</v>
      </c>
      <c r="G152">
        <v>65.260000000000005</v>
      </c>
      <c r="H152" s="3">
        <f t="shared" si="2"/>
        <v>-2.7506112469436461E-3</v>
      </c>
    </row>
    <row r="153" spans="2:8" x14ac:dyDescent="0.25">
      <c r="B153" s="8">
        <v>45876</v>
      </c>
      <c r="C153" s="2">
        <v>24596.15</v>
      </c>
      <c r="D153" s="3">
        <v>8.9321320734758736E-4</v>
      </c>
      <c r="F153" s="8">
        <v>45876</v>
      </c>
      <c r="G153">
        <v>64.209999999999994</v>
      </c>
      <c r="H153" s="3">
        <f t="shared" si="2"/>
        <v>-1.6089488201042168E-2</v>
      </c>
    </row>
    <row r="154" spans="2:8" x14ac:dyDescent="0.25">
      <c r="B154" s="8">
        <v>45877</v>
      </c>
      <c r="C154" s="2">
        <v>24363.3</v>
      </c>
      <c r="D154" s="3">
        <v>-9.4669287673071478E-3</v>
      </c>
      <c r="F154" s="8">
        <v>45877</v>
      </c>
      <c r="G154">
        <v>63.19</v>
      </c>
      <c r="H154" s="3">
        <f t="shared" si="2"/>
        <v>-1.5885376109640137E-2</v>
      </c>
    </row>
    <row r="155" spans="2:8" x14ac:dyDescent="0.25">
      <c r="B155" s="8">
        <v>45880</v>
      </c>
      <c r="C155" s="2">
        <v>24585.05</v>
      </c>
      <c r="D155" s="3">
        <v>9.1018047637225763E-3</v>
      </c>
      <c r="F155" s="8">
        <v>45880</v>
      </c>
      <c r="G155">
        <v>63.32</v>
      </c>
      <c r="H155" s="3">
        <f t="shared" si="2"/>
        <v>2.0572875454978323E-3</v>
      </c>
    </row>
    <row r="156" spans="2:8" x14ac:dyDescent="0.25">
      <c r="B156" s="8">
        <v>45881</v>
      </c>
      <c r="C156" s="2">
        <v>24487.4</v>
      </c>
      <c r="D156" s="3">
        <v>-3.9719260282162772E-3</v>
      </c>
      <c r="F156" s="8">
        <v>45881</v>
      </c>
      <c r="G156">
        <v>63.13</v>
      </c>
      <c r="H156" s="3">
        <f t="shared" si="2"/>
        <v>-3.0006317119393167E-3</v>
      </c>
    </row>
    <row r="157" spans="2:8" x14ac:dyDescent="0.25">
      <c r="B157" s="8">
        <v>45882</v>
      </c>
      <c r="C157" s="2">
        <v>24619.35</v>
      </c>
      <c r="D157" s="3">
        <v>5.3884855068320192E-3</v>
      </c>
      <c r="F157" s="8">
        <v>45882</v>
      </c>
      <c r="G157">
        <v>60.38</v>
      </c>
      <c r="H157" s="3">
        <f t="shared" si="2"/>
        <v>-4.356090606684615E-2</v>
      </c>
    </row>
    <row r="158" spans="2:8" x14ac:dyDescent="0.25">
      <c r="B158" s="8">
        <v>45883</v>
      </c>
      <c r="C158" s="2">
        <v>24631.3</v>
      </c>
      <c r="D158" s="3">
        <v>4.8539055661511732E-4</v>
      </c>
      <c r="F158" s="8">
        <v>45883</v>
      </c>
      <c r="G158">
        <v>60.06</v>
      </c>
      <c r="H158" s="3">
        <f t="shared" si="2"/>
        <v>-5.2997681351441006E-3</v>
      </c>
    </row>
    <row r="159" spans="2:8" x14ac:dyDescent="0.25">
      <c r="B159" s="8">
        <v>45887</v>
      </c>
      <c r="C159" s="2">
        <v>24876.95</v>
      </c>
      <c r="D159" s="3">
        <v>9.9730830285045258E-3</v>
      </c>
      <c r="F159" s="8">
        <v>45887</v>
      </c>
      <c r="G159">
        <v>58.07</v>
      </c>
      <c r="H159" s="3">
        <f t="shared" si="2"/>
        <v>-3.3133533133533177E-2</v>
      </c>
    </row>
    <row r="160" spans="2:8" x14ac:dyDescent="0.25">
      <c r="B160" s="8">
        <v>45888</v>
      </c>
      <c r="C160" s="2">
        <v>24980.65</v>
      </c>
      <c r="D160" s="3">
        <v>4.1685174428538474E-3</v>
      </c>
      <c r="F160" s="8">
        <v>45888</v>
      </c>
      <c r="G160">
        <v>59.59</v>
      </c>
      <c r="H160" s="3">
        <f t="shared" si="2"/>
        <v>2.6175305665576021E-2</v>
      </c>
    </row>
    <row r="161" spans="2:8" x14ac:dyDescent="0.25">
      <c r="B161" s="8">
        <v>45889</v>
      </c>
      <c r="C161" s="2">
        <v>25050.55</v>
      </c>
      <c r="D161" s="3">
        <v>2.7981657803137772E-3</v>
      </c>
      <c r="F161" s="8">
        <v>45889</v>
      </c>
      <c r="G161">
        <v>59.85</v>
      </c>
      <c r="H161" s="3">
        <f t="shared" si="2"/>
        <v>4.363148179224563E-3</v>
      </c>
    </row>
    <row r="162" spans="2:8" x14ac:dyDescent="0.25">
      <c r="B162" s="8">
        <v>45890</v>
      </c>
      <c r="C162" s="2">
        <v>25083.75</v>
      </c>
      <c r="D162" s="3">
        <v>1.3253202025504951E-3</v>
      </c>
      <c r="F162" s="8">
        <v>45890</v>
      </c>
      <c r="G162">
        <v>58.16</v>
      </c>
      <c r="H162" s="3">
        <f t="shared" si="2"/>
        <v>-2.8237259816207283E-2</v>
      </c>
    </row>
    <row r="163" spans="2:8" x14ac:dyDescent="0.25">
      <c r="B163" s="8">
        <v>45891</v>
      </c>
      <c r="C163" s="2">
        <v>24870.1</v>
      </c>
      <c r="D163" s="3">
        <v>-8.5174664872676997E-3</v>
      </c>
      <c r="F163" s="8">
        <v>45891</v>
      </c>
      <c r="G163">
        <v>58.51</v>
      </c>
      <c r="H163" s="3">
        <f t="shared" si="2"/>
        <v>6.0178817056395495E-3</v>
      </c>
    </row>
    <row r="164" spans="2:8" x14ac:dyDescent="0.25">
      <c r="B164" s="8">
        <v>45894</v>
      </c>
      <c r="C164" s="2">
        <v>24967.75</v>
      </c>
      <c r="D164" s="3">
        <v>3.9264015826234733E-3</v>
      </c>
      <c r="F164" s="8">
        <v>45894</v>
      </c>
      <c r="G164">
        <v>57.43</v>
      </c>
      <c r="H164" s="3">
        <f t="shared" si="2"/>
        <v>-1.8458383182361926E-2</v>
      </c>
    </row>
    <row r="165" spans="2:8" x14ac:dyDescent="0.25">
      <c r="B165" s="8">
        <v>45895</v>
      </c>
      <c r="C165" s="2">
        <v>24712.05</v>
      </c>
      <c r="D165" s="3">
        <v>-1.0241211162399511E-2</v>
      </c>
      <c r="F165" s="8">
        <v>45895</v>
      </c>
      <c r="G165">
        <v>56.97</v>
      </c>
      <c r="H165" s="3">
        <f t="shared" si="2"/>
        <v>-8.0097510012189232E-3</v>
      </c>
    </row>
    <row r="166" spans="2:8" x14ac:dyDescent="0.25">
      <c r="B166" s="8">
        <v>45897</v>
      </c>
      <c r="C166" s="2">
        <v>24500.9</v>
      </c>
      <c r="D166" s="3">
        <v>-8.5444145669824056E-3</v>
      </c>
      <c r="F166" s="8">
        <v>45897</v>
      </c>
      <c r="G166">
        <v>56.32</v>
      </c>
      <c r="H166" s="3">
        <f t="shared" si="2"/>
        <v>-1.1409513779181979E-2</v>
      </c>
    </row>
    <row r="167" spans="2:8" x14ac:dyDescent="0.25">
      <c r="B167" s="8">
        <v>45898</v>
      </c>
      <c r="C167" s="2">
        <v>24426.85</v>
      </c>
      <c r="D167" s="3">
        <v>-3.0223379549323415E-3</v>
      </c>
      <c r="F167" s="8">
        <v>45898</v>
      </c>
      <c r="G167">
        <v>56.43</v>
      </c>
      <c r="H167" s="3">
        <f t="shared" si="2"/>
        <v>1.953125E-3</v>
      </c>
    </row>
    <row r="168" spans="2:8" x14ac:dyDescent="0.25">
      <c r="B168" s="8">
        <v>45901</v>
      </c>
      <c r="C168" s="2">
        <v>24625.05</v>
      </c>
      <c r="D168" s="3">
        <v>8.1140220699762455E-3</v>
      </c>
      <c r="F168" s="8">
        <v>45901</v>
      </c>
      <c r="G168">
        <v>57.86</v>
      </c>
      <c r="H168" s="3">
        <f t="shared" si="2"/>
        <v>2.5341130604288553E-2</v>
      </c>
    </row>
    <row r="169" spans="2:8" x14ac:dyDescent="0.25">
      <c r="B169" s="8">
        <v>45902</v>
      </c>
      <c r="C169" s="2">
        <v>24579.599999999999</v>
      </c>
      <c r="D169" s="3">
        <v>-1.8456815316111319E-3</v>
      </c>
      <c r="F169" s="8">
        <v>45902</v>
      </c>
      <c r="G169">
        <v>58.25</v>
      </c>
      <c r="H169" s="3">
        <f t="shared" si="2"/>
        <v>6.740407881092203E-3</v>
      </c>
    </row>
    <row r="170" spans="2:8" x14ac:dyDescent="0.25">
      <c r="B170" s="8">
        <v>45903</v>
      </c>
      <c r="C170" s="2">
        <v>24715.05</v>
      </c>
      <c r="D170" s="3">
        <v>5.510667382707668E-3</v>
      </c>
      <c r="F170" s="8">
        <v>45903</v>
      </c>
      <c r="G170">
        <v>57.99</v>
      </c>
      <c r="H170" s="3">
        <f t="shared" si="2"/>
        <v>-4.4635193133046869E-3</v>
      </c>
    </row>
    <row r="171" spans="2:8" x14ac:dyDescent="0.25">
      <c r="B171" s="8">
        <v>45904</v>
      </c>
      <c r="C171" s="2">
        <v>24734.3</v>
      </c>
      <c r="D171" s="3">
        <v>7.7887764742534671E-4</v>
      </c>
      <c r="F171" s="8">
        <v>45904</v>
      </c>
      <c r="G171">
        <v>57.42</v>
      </c>
      <c r="H171" s="3">
        <f t="shared" si="2"/>
        <v>-9.8292809105018364E-3</v>
      </c>
    </row>
    <row r="172" spans="2:8" x14ac:dyDescent="0.25">
      <c r="B172" s="8">
        <v>45905</v>
      </c>
      <c r="C172" s="2">
        <v>24741</v>
      </c>
      <c r="D172" s="3">
        <v>2.7087890095933709E-4</v>
      </c>
      <c r="F172" s="8">
        <v>45905</v>
      </c>
      <c r="G172">
        <v>57.87</v>
      </c>
      <c r="H172" s="3">
        <f t="shared" si="2"/>
        <v>7.8369905956112706E-3</v>
      </c>
    </row>
    <row r="173" spans="2:8" x14ac:dyDescent="0.25">
      <c r="B173" s="8">
        <v>45908</v>
      </c>
      <c r="C173" s="2">
        <v>24773.15</v>
      </c>
      <c r="D173" s="3">
        <v>1.2994624307829383E-3</v>
      </c>
      <c r="F173" s="8">
        <v>45908</v>
      </c>
      <c r="G173">
        <v>57.45</v>
      </c>
      <c r="H173" s="3">
        <f t="shared" si="2"/>
        <v>-7.2576464489372272E-3</v>
      </c>
    </row>
    <row r="174" spans="2:8" x14ac:dyDescent="0.25">
      <c r="B174" s="8">
        <v>45909</v>
      </c>
      <c r="C174" s="2">
        <v>24868.6</v>
      </c>
      <c r="D174" s="3">
        <v>3.8529617751474898E-3</v>
      </c>
      <c r="F174" s="8">
        <v>45909</v>
      </c>
      <c r="G174">
        <v>57.06</v>
      </c>
      <c r="H174" s="3">
        <f t="shared" si="2"/>
        <v>-6.788511749347248E-3</v>
      </c>
    </row>
    <row r="175" spans="2:8" x14ac:dyDescent="0.25">
      <c r="B175" s="8">
        <v>45910</v>
      </c>
      <c r="C175" s="2">
        <v>24973.1</v>
      </c>
      <c r="D175" s="3">
        <v>4.2020861648826013E-3</v>
      </c>
      <c r="F175" s="8">
        <v>45910</v>
      </c>
      <c r="G175">
        <v>57.57</v>
      </c>
      <c r="H175" s="3">
        <f t="shared" si="2"/>
        <v>8.9379600420609329E-3</v>
      </c>
    </row>
    <row r="176" spans="2:8" x14ac:dyDescent="0.25">
      <c r="B176" s="8">
        <v>45911</v>
      </c>
      <c r="C176" s="2">
        <v>25005.5</v>
      </c>
      <c r="D176" s="3">
        <v>1.2973959980939753E-3</v>
      </c>
      <c r="F176" s="8">
        <v>45911</v>
      </c>
      <c r="G176">
        <v>56.94</v>
      </c>
      <c r="H176" s="3">
        <f t="shared" si="2"/>
        <v>-1.0943199583116292E-2</v>
      </c>
    </row>
    <row r="177" spans="2:8" x14ac:dyDescent="0.25">
      <c r="B177" s="8">
        <v>45912</v>
      </c>
      <c r="C177" s="2">
        <v>25114</v>
      </c>
      <c r="D177" s="3">
        <v>4.3390454100098452E-3</v>
      </c>
      <c r="F177" s="8">
        <v>45912</v>
      </c>
      <c r="G177">
        <v>57.11</v>
      </c>
      <c r="H177" s="3">
        <f t="shared" si="2"/>
        <v>2.9855988760099095E-3</v>
      </c>
    </row>
    <row r="178" spans="2:8" x14ac:dyDescent="0.25">
      <c r="B178" s="8">
        <v>45915</v>
      </c>
      <c r="C178" s="2">
        <v>25069.200000000001</v>
      </c>
      <c r="D178" s="3">
        <v>-1.7838655729871533E-3</v>
      </c>
      <c r="F178" s="8">
        <v>45915</v>
      </c>
      <c r="G178">
        <v>58.07</v>
      </c>
      <c r="H178" s="3">
        <f t="shared" si="2"/>
        <v>1.6809665557695697E-2</v>
      </c>
    </row>
    <row r="179" spans="2:8" x14ac:dyDescent="0.25">
      <c r="B179" s="8">
        <v>45916</v>
      </c>
      <c r="C179" s="2">
        <v>25239.1</v>
      </c>
      <c r="D179" s="3">
        <v>6.7772405980246475E-3</v>
      </c>
      <c r="F179" s="8">
        <v>45916</v>
      </c>
      <c r="G179">
        <v>58.98</v>
      </c>
      <c r="H179" s="3">
        <f t="shared" si="2"/>
        <v>1.5670742207680277E-2</v>
      </c>
    </row>
    <row r="180" spans="2:8" x14ac:dyDescent="0.25">
      <c r="B180" s="8">
        <v>45917</v>
      </c>
      <c r="C180" s="2">
        <v>25330.25</v>
      </c>
      <c r="D180" s="3">
        <v>3.6114599965926253E-3</v>
      </c>
      <c r="F180" s="8">
        <v>45917</v>
      </c>
      <c r="G180">
        <v>59.29</v>
      </c>
      <c r="H180" s="3">
        <f t="shared" si="2"/>
        <v>5.2560189894879095E-3</v>
      </c>
    </row>
    <row r="181" spans="2:8" x14ac:dyDescent="0.25">
      <c r="B181" s="8">
        <v>45918</v>
      </c>
      <c r="C181" s="2">
        <v>25423.599999999999</v>
      </c>
      <c r="D181" s="3">
        <v>3.685316962919849E-3</v>
      </c>
      <c r="F181" s="8">
        <v>45918</v>
      </c>
      <c r="G181">
        <v>59.08</v>
      </c>
      <c r="H181" s="3">
        <f t="shared" si="2"/>
        <v>-3.5419126328217754E-3</v>
      </c>
    </row>
    <row r="182" spans="2:8" x14ac:dyDescent="0.25">
      <c r="B182" s="8">
        <v>45919</v>
      </c>
      <c r="C182" s="2">
        <v>25327.05</v>
      </c>
      <c r="D182" s="3">
        <v>-3.7976525747730472E-3</v>
      </c>
      <c r="F182" s="8">
        <v>45919</v>
      </c>
      <c r="G182">
        <v>60.4</v>
      </c>
      <c r="H182" s="3">
        <f t="shared" si="2"/>
        <v>2.2342586323629066E-2</v>
      </c>
    </row>
    <row r="183" spans="2:8" x14ac:dyDescent="0.25">
      <c r="B183" s="8">
        <v>45922</v>
      </c>
      <c r="C183" s="2">
        <v>25202.35</v>
      </c>
      <c r="D183" s="3">
        <v>-4.9235896008418267E-3</v>
      </c>
      <c r="F183" s="8">
        <v>45922</v>
      </c>
      <c r="G183">
        <v>59.93</v>
      </c>
      <c r="H183" s="3">
        <f t="shared" si="2"/>
        <v>-7.7814569536424072E-3</v>
      </c>
    </row>
    <row r="184" spans="2:8" x14ac:dyDescent="0.25">
      <c r="B184" s="8">
        <v>45923</v>
      </c>
      <c r="C184" s="2">
        <v>25169.5</v>
      </c>
      <c r="D184" s="3">
        <v>-1.3034498766979485E-3</v>
      </c>
      <c r="F184" s="8">
        <v>45923</v>
      </c>
      <c r="G184">
        <v>58.75</v>
      </c>
      <c r="H184" s="3">
        <f t="shared" si="2"/>
        <v>-1.9689637910896063E-2</v>
      </c>
    </row>
    <row r="185" spans="2:8" x14ac:dyDescent="0.25">
      <c r="B185" s="8">
        <v>45924</v>
      </c>
      <c r="C185" s="2">
        <v>25056.9</v>
      </c>
      <c r="D185" s="3">
        <v>-4.4736685273842891E-3</v>
      </c>
      <c r="F185" s="8">
        <v>45924</v>
      </c>
      <c r="G185">
        <v>57.5</v>
      </c>
      <c r="H185" s="3">
        <f t="shared" si="2"/>
        <v>-2.1276595744680882E-2</v>
      </c>
    </row>
    <row r="186" spans="2:8" x14ac:dyDescent="0.25">
      <c r="B186" s="8">
        <v>45925</v>
      </c>
      <c r="C186" s="2">
        <v>24890.85</v>
      </c>
      <c r="D186" s="3">
        <v>-6.6269171365972435E-3</v>
      </c>
      <c r="F186" s="8">
        <v>45925</v>
      </c>
      <c r="G186">
        <v>56.64</v>
      </c>
      <c r="H186" s="3">
        <f t="shared" si="2"/>
        <v>-1.4956521739130424E-2</v>
      </c>
    </row>
    <row r="187" spans="2:8" x14ac:dyDescent="0.25">
      <c r="B187" s="8">
        <v>45926</v>
      </c>
      <c r="C187" s="2">
        <v>24654.7</v>
      </c>
      <c r="D187" s="3">
        <v>-9.4874220848222279E-3</v>
      </c>
      <c r="F187" s="8">
        <v>45926</v>
      </c>
      <c r="G187">
        <v>55.28</v>
      </c>
      <c r="H187" s="3">
        <f t="shared" si="2"/>
        <v>-2.4011299435028222E-2</v>
      </c>
    </row>
    <row r="188" spans="2:8" x14ac:dyDescent="0.25">
      <c r="B188" s="8">
        <v>45929</v>
      </c>
      <c r="C188" s="2">
        <v>24634.9</v>
      </c>
      <c r="D188" s="3">
        <v>-8.0309231099950917E-4</v>
      </c>
      <c r="F188" s="8">
        <v>45929</v>
      </c>
      <c r="G188">
        <v>55.28</v>
      </c>
      <c r="H188" s="3">
        <f t="shared" si="2"/>
        <v>0</v>
      </c>
    </row>
    <row r="189" spans="2:8" x14ac:dyDescent="0.25">
      <c r="B189" s="8">
        <v>45930</v>
      </c>
      <c r="C189" s="2">
        <v>24611.1</v>
      </c>
      <c r="D189" s="3">
        <v>-9.6610905666361102E-4</v>
      </c>
      <c r="F189" s="8">
        <v>45930</v>
      </c>
      <c r="G189">
        <v>55.05</v>
      </c>
      <c r="H189" s="3">
        <f t="shared" si="2"/>
        <v>-4.1606367583213455E-3</v>
      </c>
    </row>
    <row r="190" spans="2:8" x14ac:dyDescent="0.25">
      <c r="B190" s="8">
        <v>45931</v>
      </c>
      <c r="C190" s="2">
        <v>24836.3</v>
      </c>
      <c r="D190" s="3">
        <v>9.1503427315318131E-3</v>
      </c>
      <c r="F190" s="8">
        <v>45931</v>
      </c>
      <c r="G190">
        <v>55.18</v>
      </c>
      <c r="H190" s="3">
        <f t="shared" si="2"/>
        <v>2.3614895549501913E-3</v>
      </c>
    </row>
    <row r="191" spans="2:8" x14ac:dyDescent="0.25">
      <c r="B191" s="8">
        <v>45933</v>
      </c>
      <c r="C191" s="2">
        <v>24894.25</v>
      </c>
      <c r="D191" s="3">
        <v>2.3332783063501061E-3</v>
      </c>
      <c r="F191" s="8">
        <v>45933</v>
      </c>
      <c r="G191">
        <v>54.46</v>
      </c>
      <c r="H191" s="3">
        <f t="shared" si="2"/>
        <v>-1.3048205871692642E-2</v>
      </c>
    </row>
    <row r="192" spans="2:8" x14ac:dyDescent="0.25">
      <c r="B192" s="8">
        <v>45936</v>
      </c>
      <c r="C192" s="2">
        <v>25077.65</v>
      </c>
      <c r="D192" s="3">
        <v>7.3671630999125881E-3</v>
      </c>
      <c r="F192" s="8">
        <v>45936</v>
      </c>
      <c r="G192">
        <v>54.11</v>
      </c>
      <c r="H192" s="3">
        <f t="shared" si="2"/>
        <v>-6.4267352185090054E-3</v>
      </c>
    </row>
    <row r="193" spans="2:8" x14ac:dyDescent="0.25">
      <c r="B193" s="8">
        <v>45937</v>
      </c>
      <c r="C193" s="2">
        <v>25108.3</v>
      </c>
      <c r="D193" s="3">
        <v>1.222203834888802E-3</v>
      </c>
      <c r="F193" s="8">
        <v>45937</v>
      </c>
      <c r="G193">
        <v>54.01</v>
      </c>
      <c r="H193" s="3">
        <f t="shared" si="2"/>
        <v>-1.848087229717299E-3</v>
      </c>
    </row>
    <row r="194" spans="2:8" x14ac:dyDescent="0.25">
      <c r="B194" s="8">
        <v>45938</v>
      </c>
      <c r="C194" s="2">
        <v>25046.15</v>
      </c>
      <c r="D194" s="3">
        <v>-2.4752770996043783E-3</v>
      </c>
      <c r="F194" s="8">
        <v>45938</v>
      </c>
      <c r="G194">
        <v>52.77</v>
      </c>
      <c r="H194" s="3">
        <f t="shared" si="2"/>
        <v>-2.2958711349749916E-2</v>
      </c>
    </row>
    <row r="195" spans="2:8" x14ac:dyDescent="0.25">
      <c r="B195" s="8">
        <v>45939</v>
      </c>
      <c r="C195" s="2">
        <v>25181.8</v>
      </c>
      <c r="D195" s="3">
        <v>5.4160020601967673E-3</v>
      </c>
      <c r="F195" s="8">
        <v>45939</v>
      </c>
      <c r="G195">
        <v>53.17</v>
      </c>
      <c r="H195" s="3">
        <f t="shared" si="2"/>
        <v>7.5800644305477061E-3</v>
      </c>
    </row>
    <row r="196" spans="2:8" x14ac:dyDescent="0.25">
      <c r="B196" s="8">
        <v>45940</v>
      </c>
      <c r="C196" s="2">
        <v>25285.35</v>
      </c>
      <c r="D196" s="3">
        <v>4.1120968318388851E-3</v>
      </c>
      <c r="F196" s="8">
        <v>45940</v>
      </c>
      <c r="G196">
        <v>54.31</v>
      </c>
      <c r="H196" s="3">
        <f t="shared" si="2"/>
        <v>2.1440662027459201E-2</v>
      </c>
    </row>
    <row r="197" spans="2:8" x14ac:dyDescent="0.25">
      <c r="B197" s="8">
        <v>45943</v>
      </c>
      <c r="C197" s="2">
        <v>25227.35</v>
      </c>
      <c r="D197" s="3">
        <v>-2.2938183572701609E-3</v>
      </c>
      <c r="F197" s="8">
        <v>45943</v>
      </c>
      <c r="G197">
        <v>54.35</v>
      </c>
      <c r="H197" s="3">
        <f t="shared" ref="H197:H260" si="3">G197/G196-1</f>
        <v>7.365126127785171E-4</v>
      </c>
    </row>
    <row r="198" spans="2:8" x14ac:dyDescent="0.25">
      <c r="B198" s="8">
        <v>45944</v>
      </c>
      <c r="C198" s="2">
        <v>25145.5</v>
      </c>
      <c r="D198" s="3">
        <v>-3.2444945664129587E-3</v>
      </c>
      <c r="F198" s="8">
        <v>45944</v>
      </c>
      <c r="G198">
        <v>53.95</v>
      </c>
      <c r="H198" s="3">
        <f t="shared" si="3"/>
        <v>-7.3597056117754578E-3</v>
      </c>
    </row>
    <row r="199" spans="2:8" x14ac:dyDescent="0.25">
      <c r="B199" s="8">
        <v>45945</v>
      </c>
      <c r="C199" s="2">
        <v>25323.55</v>
      </c>
      <c r="D199" s="3">
        <v>7.0807898033444783E-3</v>
      </c>
      <c r="F199" s="8">
        <v>45945</v>
      </c>
      <c r="G199">
        <v>53.73</v>
      </c>
      <c r="H199" s="3">
        <f t="shared" si="3"/>
        <v>-4.0778498609824743E-3</v>
      </c>
    </row>
    <row r="200" spans="2:8" x14ac:dyDescent="0.25">
      <c r="B200" s="8">
        <v>45946</v>
      </c>
      <c r="C200" s="2">
        <v>25585.3</v>
      </c>
      <c r="D200" s="3">
        <v>1.0336228530360092E-2</v>
      </c>
      <c r="F200" s="8">
        <v>45946</v>
      </c>
      <c r="G200">
        <v>53.61</v>
      </c>
      <c r="H200" s="3">
        <f t="shared" si="3"/>
        <v>-2.2333891680624829E-3</v>
      </c>
    </row>
    <row r="201" spans="2:8" x14ac:dyDescent="0.25">
      <c r="B201" s="8">
        <v>45947</v>
      </c>
      <c r="C201" s="2">
        <v>25709.85</v>
      </c>
      <c r="D201" s="3">
        <v>4.8680296889229702E-3</v>
      </c>
      <c r="F201" s="8">
        <v>45947</v>
      </c>
      <c r="G201">
        <v>52.92</v>
      </c>
      <c r="H201" s="3">
        <f t="shared" si="3"/>
        <v>-1.2870733072188001E-2</v>
      </c>
    </row>
    <row r="202" spans="2:8" x14ac:dyDescent="0.25">
      <c r="B202" s="8">
        <v>45950</v>
      </c>
      <c r="C202" s="2">
        <v>25843.15</v>
      </c>
      <c r="D202" s="3">
        <v>5.1847832640019575E-3</v>
      </c>
      <c r="F202" s="8">
        <v>45950</v>
      </c>
      <c r="G202">
        <v>53.09</v>
      </c>
      <c r="H202" s="3">
        <f t="shared" si="3"/>
        <v>3.2123960695389364E-3</v>
      </c>
    </row>
    <row r="203" spans="2:8" x14ac:dyDescent="0.25">
      <c r="B203" s="8">
        <v>45951</v>
      </c>
      <c r="C203" s="2">
        <v>25868.6</v>
      </c>
      <c r="D203" s="3">
        <v>9.8478707123539344E-4</v>
      </c>
      <c r="F203" s="8">
        <v>45951</v>
      </c>
      <c r="G203">
        <v>54.18</v>
      </c>
      <c r="H203" s="3">
        <f t="shared" si="3"/>
        <v>2.0531173478997911E-2</v>
      </c>
    </row>
    <row r="204" spans="2:8" x14ac:dyDescent="0.25">
      <c r="B204" s="8">
        <v>45953</v>
      </c>
      <c r="C204" s="2">
        <v>25891.4</v>
      </c>
      <c r="D204" s="3">
        <v>8.8137742282157205E-4</v>
      </c>
      <c r="F204" s="8">
        <v>45953</v>
      </c>
      <c r="G204">
        <v>54.53</v>
      </c>
      <c r="H204" s="3">
        <f t="shared" si="3"/>
        <v>6.4599483204135222E-3</v>
      </c>
    </row>
    <row r="205" spans="2:8" x14ac:dyDescent="0.25">
      <c r="B205" s="8">
        <v>45954</v>
      </c>
      <c r="C205" s="2">
        <v>25795.15</v>
      </c>
      <c r="D205" s="3">
        <v>-3.7174505820465331E-3</v>
      </c>
      <c r="F205" s="8">
        <v>45954</v>
      </c>
      <c r="G205">
        <v>53.82</v>
      </c>
      <c r="H205" s="3">
        <f t="shared" si="3"/>
        <v>-1.3020355767467517E-2</v>
      </c>
    </row>
    <row r="206" spans="2:8" x14ac:dyDescent="0.25">
      <c r="B206" s="8">
        <v>45957</v>
      </c>
      <c r="C206" s="2">
        <v>25966.05</v>
      </c>
      <c r="D206" s="3">
        <v>6.6252764570082778E-3</v>
      </c>
      <c r="F206" s="8">
        <v>45957</v>
      </c>
      <c r="G206">
        <v>53.71</v>
      </c>
      <c r="H206" s="3">
        <f t="shared" si="3"/>
        <v>-2.0438498699367758E-3</v>
      </c>
    </row>
    <row r="207" spans="2:8" x14ac:dyDescent="0.25">
      <c r="B207" s="8">
        <v>45958</v>
      </c>
      <c r="C207" s="2">
        <v>25936.2</v>
      </c>
      <c r="D207" s="3">
        <v>-1.1495780066663741E-3</v>
      </c>
      <c r="F207" s="8">
        <v>45958</v>
      </c>
      <c r="G207">
        <v>56.22</v>
      </c>
      <c r="H207" s="3">
        <f t="shared" si="3"/>
        <v>4.6732452057344886E-2</v>
      </c>
    </row>
    <row r="208" spans="2:8" x14ac:dyDescent="0.25">
      <c r="B208" s="8">
        <v>45959</v>
      </c>
      <c r="C208" s="2">
        <v>26053.9</v>
      </c>
      <c r="D208" s="3">
        <v>4.5380587749941359E-3</v>
      </c>
      <c r="F208" s="8">
        <v>45959</v>
      </c>
      <c r="G208">
        <v>58.19</v>
      </c>
      <c r="H208" s="3">
        <f t="shared" si="3"/>
        <v>3.5040910707933026E-2</v>
      </c>
    </row>
    <row r="209" spans="2:8" x14ac:dyDescent="0.25">
      <c r="B209" s="8">
        <v>45960</v>
      </c>
      <c r="C209" s="2">
        <v>25877.85</v>
      </c>
      <c r="D209" s="3">
        <v>-6.7571457632064069E-3</v>
      </c>
      <c r="F209" s="8">
        <v>45960</v>
      </c>
      <c r="G209">
        <v>58.51</v>
      </c>
      <c r="H209" s="3">
        <f t="shared" si="3"/>
        <v>5.4992266712494686E-3</v>
      </c>
    </row>
    <row r="210" spans="2:8" x14ac:dyDescent="0.25">
      <c r="B210" s="8">
        <v>45961</v>
      </c>
      <c r="C210" s="2">
        <v>25722.1</v>
      </c>
      <c r="D210" s="3">
        <v>-6.0186607465457787E-3</v>
      </c>
      <c r="F210" s="8">
        <v>45961</v>
      </c>
      <c r="G210">
        <v>59.3</v>
      </c>
      <c r="H210" s="3">
        <f t="shared" si="3"/>
        <v>1.3501965475986921E-2</v>
      </c>
    </row>
    <row r="211" spans="2:8" x14ac:dyDescent="0.25">
      <c r="B211" s="8">
        <v>45964</v>
      </c>
      <c r="C211" s="2">
        <v>25763.35</v>
      </c>
      <c r="D211" s="3">
        <v>1.6036793263380922E-3</v>
      </c>
      <c r="F211" s="8">
        <v>45964</v>
      </c>
      <c r="G211">
        <v>59.24</v>
      </c>
      <c r="H211" s="3">
        <f t="shared" si="3"/>
        <v>-1.0118043844855595E-3</v>
      </c>
    </row>
    <row r="212" spans="2:8" x14ac:dyDescent="0.25">
      <c r="B212" s="8">
        <v>45965</v>
      </c>
      <c r="C212" s="2">
        <v>25597.65</v>
      </c>
      <c r="D212" s="3">
        <v>-6.4316170063286604E-3</v>
      </c>
      <c r="F212" s="8">
        <v>45965</v>
      </c>
      <c r="G212">
        <v>59.99</v>
      </c>
      <c r="H212" s="3">
        <f t="shared" si="3"/>
        <v>1.2660364618501063E-2</v>
      </c>
    </row>
    <row r="213" spans="2:8" x14ac:dyDescent="0.25">
      <c r="B213" s="8">
        <v>45967</v>
      </c>
      <c r="C213" s="2">
        <v>25509.7</v>
      </c>
      <c r="D213" s="3">
        <v>-3.4358622764198987E-3</v>
      </c>
      <c r="F213" s="8">
        <v>45967</v>
      </c>
      <c r="G213">
        <v>59.61</v>
      </c>
      <c r="H213" s="3">
        <f t="shared" si="3"/>
        <v>-6.3343890648441814E-3</v>
      </c>
    </row>
    <row r="214" spans="2:8" x14ac:dyDescent="0.25">
      <c r="B214" s="8">
        <v>45968</v>
      </c>
      <c r="C214" s="2">
        <v>25492.3</v>
      </c>
      <c r="D214" s="3">
        <v>-6.8209347816716726E-4</v>
      </c>
      <c r="F214" s="8">
        <v>45968</v>
      </c>
      <c r="G214">
        <v>57.38</v>
      </c>
      <c r="H214" s="3">
        <f t="shared" si="3"/>
        <v>-3.7409830565341307E-2</v>
      </c>
    </row>
    <row r="215" spans="2:8" x14ac:dyDescent="0.25">
      <c r="B215" s="8">
        <v>45971</v>
      </c>
      <c r="C215" s="2">
        <v>25574.35</v>
      </c>
      <c r="D215" s="3">
        <v>3.2186189555276634E-3</v>
      </c>
      <c r="F215" s="8">
        <v>45971</v>
      </c>
      <c r="G215">
        <v>57.43</v>
      </c>
      <c r="H215" s="3">
        <f t="shared" si="3"/>
        <v>8.7138375740680729E-4</v>
      </c>
    </row>
    <row r="216" spans="2:8" x14ac:dyDescent="0.25">
      <c r="B216" s="8">
        <v>45972</v>
      </c>
      <c r="C216" s="2">
        <v>25694.95</v>
      </c>
      <c r="D216" s="3">
        <v>4.7156623726507529E-3</v>
      </c>
      <c r="F216" s="8">
        <v>45972</v>
      </c>
      <c r="G216">
        <v>57.82</v>
      </c>
      <c r="H216" s="3">
        <f t="shared" si="3"/>
        <v>6.7908758488595122E-3</v>
      </c>
    </row>
    <row r="217" spans="2:8" x14ac:dyDescent="0.25">
      <c r="B217" s="8">
        <v>45973</v>
      </c>
      <c r="C217" s="2">
        <v>25875.8</v>
      </c>
      <c r="D217" s="3">
        <v>7.0383480022337963E-3</v>
      </c>
      <c r="F217" s="8">
        <v>45973</v>
      </c>
      <c r="G217">
        <v>58.48</v>
      </c>
      <c r="H217" s="3">
        <f t="shared" si="3"/>
        <v>1.141473538567972E-2</v>
      </c>
    </row>
    <row r="218" spans="2:8" x14ac:dyDescent="0.25">
      <c r="B218" s="8">
        <v>45974</v>
      </c>
      <c r="C218" s="2">
        <v>25879.15</v>
      </c>
      <c r="D218" s="3">
        <v>1.2946459626372864E-4</v>
      </c>
      <c r="F218" s="8">
        <v>45974</v>
      </c>
      <c r="G218">
        <v>57.58</v>
      </c>
      <c r="H218" s="3">
        <f t="shared" si="3"/>
        <v>-1.5389876880984921E-2</v>
      </c>
    </row>
    <row r="219" spans="2:8" x14ac:dyDescent="0.25">
      <c r="B219" s="8">
        <v>45975</v>
      </c>
      <c r="C219" s="2">
        <v>25910.05</v>
      </c>
      <c r="D219" s="3">
        <v>1.194011395273753E-3</v>
      </c>
      <c r="F219" s="8">
        <v>45975</v>
      </c>
      <c r="G219">
        <v>57.68</v>
      </c>
      <c r="H219" s="3">
        <f t="shared" si="3"/>
        <v>1.736714136853168E-3</v>
      </c>
    </row>
    <row r="220" spans="2:8" x14ac:dyDescent="0.25">
      <c r="B220" s="8">
        <v>45978</v>
      </c>
      <c r="C220" s="2">
        <v>26013.45</v>
      </c>
      <c r="D220" s="3">
        <v>3.9907294659795589E-3</v>
      </c>
      <c r="F220" s="8">
        <v>45978</v>
      </c>
      <c r="G220">
        <v>57.7</v>
      </c>
      <c r="H220" s="3">
        <f t="shared" si="3"/>
        <v>3.4674063800288479E-4</v>
      </c>
    </row>
    <row r="221" spans="2:8" x14ac:dyDescent="0.25">
      <c r="B221" s="8">
        <v>45979</v>
      </c>
      <c r="C221" s="2">
        <v>25910.05</v>
      </c>
      <c r="D221" s="3">
        <v>-3.9748668477268545E-3</v>
      </c>
      <c r="F221" s="8">
        <v>45979</v>
      </c>
      <c r="G221">
        <v>56.9</v>
      </c>
      <c r="H221" s="3">
        <f t="shared" si="3"/>
        <v>-1.3864818024263537E-2</v>
      </c>
    </row>
    <row r="222" spans="2:8" x14ac:dyDescent="0.25">
      <c r="B222" s="8">
        <v>45980</v>
      </c>
      <c r="C222" s="2">
        <v>26052.65</v>
      </c>
      <c r="D222" s="3">
        <v>5.5036559172985111E-3</v>
      </c>
      <c r="F222" s="8">
        <v>45980</v>
      </c>
      <c r="G222">
        <v>56.53</v>
      </c>
      <c r="H222" s="3">
        <f t="shared" si="3"/>
        <v>-6.5026362038663743E-3</v>
      </c>
    </row>
    <row r="223" spans="2:8" x14ac:dyDescent="0.25">
      <c r="B223" s="8">
        <v>45981</v>
      </c>
      <c r="C223" s="2">
        <v>26192.15</v>
      </c>
      <c r="D223" s="3">
        <v>5.3545416685059077E-3</v>
      </c>
      <c r="F223" s="8">
        <v>45981</v>
      </c>
      <c r="G223">
        <v>56.7</v>
      </c>
      <c r="H223" s="3">
        <f t="shared" si="3"/>
        <v>3.0072527861313425E-3</v>
      </c>
    </row>
    <row r="224" spans="2:8" x14ac:dyDescent="0.25">
      <c r="B224" s="8">
        <v>45982</v>
      </c>
      <c r="C224" s="2">
        <v>26068.15</v>
      </c>
      <c r="D224" s="3">
        <v>-4.7342428933859759E-3</v>
      </c>
      <c r="F224" s="8">
        <v>45982</v>
      </c>
      <c r="G224">
        <v>55.1</v>
      </c>
      <c r="H224" s="3">
        <f t="shared" si="3"/>
        <v>-2.821869488536155E-2</v>
      </c>
    </row>
    <row r="225" spans="2:8" x14ac:dyDescent="0.25">
      <c r="B225" s="8">
        <v>45985</v>
      </c>
      <c r="C225" s="2">
        <v>25959.5</v>
      </c>
      <c r="D225" s="3">
        <v>-4.1679213906625767E-3</v>
      </c>
      <c r="F225" s="8">
        <v>45985</v>
      </c>
      <c r="G225">
        <v>54.61</v>
      </c>
      <c r="H225" s="3">
        <f t="shared" si="3"/>
        <v>-8.8929219600726306E-3</v>
      </c>
    </row>
    <row r="226" spans="2:8" x14ac:dyDescent="0.25">
      <c r="B226" s="8">
        <v>45986</v>
      </c>
      <c r="C226" s="2">
        <v>25884.799999999999</v>
      </c>
      <c r="D226" s="3">
        <v>-2.8775592750245327E-3</v>
      </c>
      <c r="F226" s="8">
        <v>45986</v>
      </c>
      <c r="G226">
        <v>54.19</v>
      </c>
      <c r="H226" s="3">
        <f t="shared" si="3"/>
        <v>-7.6908991027284657E-3</v>
      </c>
    </row>
    <row r="227" spans="2:8" x14ac:dyDescent="0.25">
      <c r="B227" s="8">
        <v>45987</v>
      </c>
      <c r="C227" s="2">
        <v>26205.3</v>
      </c>
      <c r="D227" s="3">
        <v>1.238178390406719E-2</v>
      </c>
      <c r="F227" s="8">
        <v>45987</v>
      </c>
      <c r="G227">
        <v>55.58</v>
      </c>
      <c r="H227" s="3">
        <f t="shared" si="3"/>
        <v>2.5650489020114353E-2</v>
      </c>
    </row>
    <row r="228" spans="2:8" x14ac:dyDescent="0.25">
      <c r="B228" s="8">
        <v>45988</v>
      </c>
      <c r="C228" s="2">
        <v>26215.55</v>
      </c>
      <c r="D228" s="3">
        <v>3.9114224985015156E-4</v>
      </c>
      <c r="F228" s="8">
        <v>45988</v>
      </c>
      <c r="G228">
        <v>54.93</v>
      </c>
      <c r="H228" s="3">
        <f t="shared" si="3"/>
        <v>-1.1694854264123755E-2</v>
      </c>
    </row>
    <row r="229" spans="2:8" x14ac:dyDescent="0.25">
      <c r="B229" s="8">
        <v>45989</v>
      </c>
      <c r="C229" s="2">
        <v>26202.95</v>
      </c>
      <c r="D229" s="3">
        <v>-4.806307706685109E-4</v>
      </c>
      <c r="F229" s="8">
        <v>45989</v>
      </c>
      <c r="G229">
        <v>54.01</v>
      </c>
      <c r="H229" s="3">
        <f t="shared" si="3"/>
        <v>-1.6748589113417145E-2</v>
      </c>
    </row>
    <row r="230" spans="2:8" x14ac:dyDescent="0.25">
      <c r="B230" s="8">
        <v>45992</v>
      </c>
      <c r="C230" s="2">
        <v>26175.75</v>
      </c>
      <c r="D230" s="3">
        <v>-1.0380510591364578E-3</v>
      </c>
      <c r="F230" s="8">
        <v>45992</v>
      </c>
      <c r="G230">
        <v>53.72</v>
      </c>
      <c r="H230" s="3">
        <f t="shared" si="3"/>
        <v>-5.3693760414738056E-3</v>
      </c>
    </row>
    <row r="231" spans="2:8" x14ac:dyDescent="0.25">
      <c r="B231" s="8">
        <v>45993</v>
      </c>
      <c r="C231" s="2">
        <v>26032.2</v>
      </c>
      <c r="D231" s="3">
        <v>-5.4840835506145824E-3</v>
      </c>
      <c r="F231" s="8">
        <v>45993</v>
      </c>
      <c r="G231">
        <v>53.42</v>
      </c>
      <c r="H231" s="3">
        <f t="shared" si="3"/>
        <v>-5.5845122859269347E-3</v>
      </c>
    </row>
    <row r="232" spans="2:8" x14ac:dyDescent="0.25">
      <c r="B232" s="8">
        <v>45994</v>
      </c>
      <c r="C232" s="2">
        <v>25986</v>
      </c>
      <c r="D232" s="3">
        <v>-1.7747251480858539E-3</v>
      </c>
      <c r="F232" s="8">
        <v>45994</v>
      </c>
      <c r="G232">
        <v>52.59</v>
      </c>
      <c r="H232" s="3">
        <f t="shared" si="3"/>
        <v>-1.5537251965555887E-2</v>
      </c>
    </row>
    <row r="233" spans="2:8" x14ac:dyDescent="0.25">
      <c r="B233" s="8">
        <v>45995</v>
      </c>
      <c r="C233" s="2">
        <v>26033.75</v>
      </c>
      <c r="D233" s="3">
        <v>1.8375278996383138E-3</v>
      </c>
      <c r="F233" s="8">
        <v>45995</v>
      </c>
      <c r="G233">
        <v>50.85</v>
      </c>
      <c r="H233" s="3">
        <f t="shared" si="3"/>
        <v>-3.30861380490588E-2</v>
      </c>
    </row>
    <row r="234" spans="2:8" x14ac:dyDescent="0.25">
      <c r="B234" s="8">
        <v>45996</v>
      </c>
      <c r="C234" s="2">
        <v>26186.45</v>
      </c>
      <c r="D234" s="3">
        <v>5.8654631007826197E-3</v>
      </c>
      <c r="F234" s="8">
        <v>45996</v>
      </c>
      <c r="G234">
        <v>51.74</v>
      </c>
      <c r="H234" s="3">
        <f t="shared" si="3"/>
        <v>1.7502458210422844E-2</v>
      </c>
    </row>
    <row r="235" spans="2:8" x14ac:dyDescent="0.25">
      <c r="B235" s="8">
        <v>45999</v>
      </c>
      <c r="C235" s="2">
        <v>25960.55</v>
      </c>
      <c r="D235" s="3">
        <v>-8.626598870790092E-3</v>
      </c>
      <c r="F235" s="8">
        <v>45999</v>
      </c>
      <c r="G235">
        <v>51.78</v>
      </c>
      <c r="H235" s="3">
        <f t="shared" si="3"/>
        <v>7.7309625048327391E-4</v>
      </c>
    </row>
    <row r="236" spans="2:8" x14ac:dyDescent="0.25">
      <c r="B236" s="8">
        <v>46000</v>
      </c>
      <c r="C236" s="2">
        <v>25839.65</v>
      </c>
      <c r="D236" s="3">
        <v>-4.6570662023723841E-3</v>
      </c>
      <c r="F236" s="8">
        <v>46000</v>
      </c>
      <c r="G236">
        <v>52.55</v>
      </c>
      <c r="H236" s="3">
        <f t="shared" si="3"/>
        <v>1.4870606411741871E-2</v>
      </c>
    </row>
    <row r="237" spans="2:8" x14ac:dyDescent="0.25">
      <c r="B237" s="8">
        <v>46001</v>
      </c>
      <c r="C237" s="2">
        <v>25758</v>
      </c>
      <c r="D237" s="3">
        <v>-3.15987252149319E-3</v>
      </c>
      <c r="F237" s="8">
        <v>46001</v>
      </c>
      <c r="G237">
        <v>51.54</v>
      </c>
      <c r="H237" s="3">
        <f t="shared" si="3"/>
        <v>-1.9219790675547022E-2</v>
      </c>
    </row>
    <row r="238" spans="2:8" x14ac:dyDescent="0.25">
      <c r="B238" s="8">
        <v>46002</v>
      </c>
      <c r="C238" s="2">
        <v>25898.55</v>
      </c>
      <c r="D238" s="3">
        <v>5.4565571861169282E-3</v>
      </c>
      <c r="F238" s="8">
        <v>46002</v>
      </c>
      <c r="G238">
        <v>52.04</v>
      </c>
      <c r="H238" s="3">
        <f t="shared" si="3"/>
        <v>9.7012029491656548E-3</v>
      </c>
    </row>
    <row r="239" spans="2:8" x14ac:dyDescent="0.25">
      <c r="B239" s="8">
        <v>46003</v>
      </c>
      <c r="C239" s="2">
        <v>26046.95</v>
      </c>
      <c r="D239" s="3">
        <v>5.7300505240640565E-3</v>
      </c>
      <c r="F239" s="8">
        <v>46003</v>
      </c>
      <c r="G239">
        <v>53.02</v>
      </c>
      <c r="H239" s="3">
        <f t="shared" si="3"/>
        <v>1.88316679477325E-2</v>
      </c>
    </row>
    <row r="240" spans="2:8" x14ac:dyDescent="0.25">
      <c r="B240" s="8">
        <v>46006</v>
      </c>
      <c r="C240" s="2">
        <v>26027.3</v>
      </c>
      <c r="D240" s="3">
        <v>-7.5440694591888402E-4</v>
      </c>
      <c r="F240" s="8">
        <v>46006</v>
      </c>
      <c r="G240">
        <v>53.14</v>
      </c>
      <c r="H240" s="3">
        <f t="shared" si="3"/>
        <v>2.2632968691058686E-3</v>
      </c>
    </row>
    <row r="241" spans="2:8" x14ac:dyDescent="0.25">
      <c r="B241" s="8">
        <v>46007</v>
      </c>
      <c r="C241" s="2">
        <v>25860.1</v>
      </c>
      <c r="D241" s="3">
        <v>-6.4240240055634112E-3</v>
      </c>
      <c r="F241" s="8">
        <v>46007</v>
      </c>
      <c r="G241">
        <v>52.67</v>
      </c>
      <c r="H241" s="3">
        <f t="shared" si="3"/>
        <v>-8.8445615355664531E-3</v>
      </c>
    </row>
    <row r="242" spans="2:8" x14ac:dyDescent="0.25">
      <c r="B242" s="8">
        <v>46008</v>
      </c>
      <c r="C242" s="2">
        <v>25818.55</v>
      </c>
      <c r="D242" s="3">
        <v>-1.6067223251263751E-3</v>
      </c>
      <c r="F242" s="8">
        <v>46008</v>
      </c>
      <c r="G242">
        <v>51.94</v>
      </c>
      <c r="H242" s="3">
        <f t="shared" si="3"/>
        <v>-1.385988228593138E-2</v>
      </c>
    </row>
    <row r="243" spans="2:8" x14ac:dyDescent="0.25">
      <c r="B243" s="8">
        <v>46009</v>
      </c>
      <c r="C243" s="2">
        <v>25815.55</v>
      </c>
      <c r="D243" s="3">
        <v>-1.1619552608488348E-4</v>
      </c>
      <c r="F243" s="8">
        <v>46009</v>
      </c>
      <c r="G243">
        <v>51.78</v>
      </c>
      <c r="H243" s="3">
        <f t="shared" si="3"/>
        <v>-3.080477474008414E-3</v>
      </c>
    </row>
    <row r="244" spans="2:8" x14ac:dyDescent="0.25">
      <c r="B244" s="8">
        <v>46010</v>
      </c>
      <c r="C244" s="2">
        <v>25966.400000000001</v>
      </c>
      <c r="D244" s="3">
        <v>5.8433773442752024E-3</v>
      </c>
      <c r="F244" s="8">
        <v>46010</v>
      </c>
      <c r="G244">
        <v>52.59</v>
      </c>
      <c r="H244" s="3">
        <f t="shared" si="3"/>
        <v>1.5643105446118133E-2</v>
      </c>
    </row>
    <row r="245" spans="2:8" x14ac:dyDescent="0.25">
      <c r="B245" s="8">
        <v>46013</v>
      </c>
      <c r="C245" s="2">
        <v>26172.400000000001</v>
      </c>
      <c r="D245" s="3">
        <v>7.9333292254606391E-3</v>
      </c>
      <c r="F245" s="8">
        <v>46013</v>
      </c>
      <c r="G245">
        <v>53.51</v>
      </c>
      <c r="H245" s="3">
        <f t="shared" si="3"/>
        <v>1.7493820117893133E-2</v>
      </c>
    </row>
    <row r="246" spans="2:8" x14ac:dyDescent="0.25">
      <c r="B246" s="8">
        <v>46014</v>
      </c>
      <c r="C246" s="2">
        <v>26177.15</v>
      </c>
      <c r="D246" s="3">
        <v>1.8148889670044355E-4</v>
      </c>
      <c r="F246" s="8">
        <v>46014</v>
      </c>
      <c r="G246">
        <v>53.62</v>
      </c>
      <c r="H246" s="3">
        <f t="shared" si="3"/>
        <v>2.055690525135434E-3</v>
      </c>
    </row>
    <row r="247" spans="2:8" x14ac:dyDescent="0.25">
      <c r="B247" s="8">
        <v>46015</v>
      </c>
      <c r="C247" s="2">
        <v>26142.1</v>
      </c>
      <c r="D247" s="3">
        <v>-1.3389540114184806E-3</v>
      </c>
      <c r="F247" s="8">
        <v>46015</v>
      </c>
      <c r="G247">
        <v>53.3</v>
      </c>
      <c r="H247" s="3">
        <f t="shared" si="3"/>
        <v>-5.9679224170086087E-3</v>
      </c>
    </row>
    <row r="248" spans="2:8" x14ac:dyDescent="0.25">
      <c r="B248" s="8">
        <v>46017</v>
      </c>
      <c r="C248" s="2">
        <v>26042.3</v>
      </c>
      <c r="D248" s="3">
        <v>-3.8175969030797008E-3</v>
      </c>
      <c r="F248" s="8">
        <v>46017</v>
      </c>
      <c r="G248">
        <v>53.2</v>
      </c>
      <c r="H248" s="3">
        <f t="shared" si="3"/>
        <v>-1.8761726078798668E-3</v>
      </c>
    </row>
    <row r="249" spans="2:8" x14ac:dyDescent="0.25">
      <c r="B249" s="8">
        <v>46020</v>
      </c>
      <c r="C249" s="2">
        <v>25942.1</v>
      </c>
      <c r="D249" s="3">
        <v>-3.8475864266981352E-3</v>
      </c>
      <c r="F249" s="8">
        <v>46020</v>
      </c>
      <c r="G249">
        <v>52.73</v>
      </c>
      <c r="H249" s="3">
        <f t="shared" si="3"/>
        <v>-8.8345864661655282E-3</v>
      </c>
    </row>
    <row r="250" spans="2:8" x14ac:dyDescent="0.25">
      <c r="B250" s="8">
        <v>46021</v>
      </c>
      <c r="C250" s="2">
        <v>25938.85</v>
      </c>
      <c r="D250" s="3">
        <v>-1.2527898666647719E-4</v>
      </c>
      <c r="F250" s="8">
        <v>46021</v>
      </c>
      <c r="G250">
        <v>52</v>
      </c>
      <c r="H250" s="3">
        <f t="shared" si="3"/>
        <v>-1.3844111511473467E-2</v>
      </c>
    </row>
    <row r="251" spans="2:8" x14ac:dyDescent="0.25">
      <c r="B251" s="8">
        <v>46022</v>
      </c>
      <c r="C251" s="2">
        <v>26129.599999999999</v>
      </c>
      <c r="D251" s="3">
        <v>7.3538341136942798E-3</v>
      </c>
      <c r="F251" s="8">
        <v>46022</v>
      </c>
      <c r="G251">
        <v>52.67</v>
      </c>
      <c r="H251" s="3">
        <f t="shared" si="3"/>
        <v>1.2884615384615383E-2</v>
      </c>
    </row>
    <row r="252" spans="2:8" x14ac:dyDescent="0.25">
      <c r="B252" s="8">
        <v>46023</v>
      </c>
      <c r="C252" s="2">
        <v>26146.55</v>
      </c>
      <c r="D252" s="3">
        <v>6.4868960871966586E-4</v>
      </c>
      <c r="F252" s="8">
        <v>46023</v>
      </c>
      <c r="G252">
        <v>52.47</v>
      </c>
      <c r="H252" s="3">
        <f t="shared" si="3"/>
        <v>-3.7972280235428757E-3</v>
      </c>
    </row>
    <row r="253" spans="2:8" x14ac:dyDescent="0.25">
      <c r="B253" s="8">
        <v>46024</v>
      </c>
      <c r="C253" s="2">
        <v>26328.55</v>
      </c>
      <c r="D253" s="3">
        <v>6.9607653782239876E-3</v>
      </c>
      <c r="F253" s="8">
        <v>46024</v>
      </c>
      <c r="G253">
        <v>54.28</v>
      </c>
      <c r="H253" s="3">
        <f t="shared" si="3"/>
        <v>3.4495902420430768E-2</v>
      </c>
    </row>
    <row r="254" spans="2:8" x14ac:dyDescent="0.25">
      <c r="B254" s="8">
        <v>46027</v>
      </c>
      <c r="C254" s="2">
        <v>26250.3</v>
      </c>
      <c r="D254" s="3">
        <v>-2.9720588486642496E-3</v>
      </c>
      <c r="F254" s="8">
        <v>46027</v>
      </c>
      <c r="G254">
        <v>53.67</v>
      </c>
      <c r="H254" s="3">
        <f t="shared" si="3"/>
        <v>-1.1238025055268941E-2</v>
      </c>
    </row>
    <row r="255" spans="2:8" x14ac:dyDescent="0.25">
      <c r="B255" s="8">
        <v>46028</v>
      </c>
      <c r="C255" s="2">
        <v>26178.7</v>
      </c>
      <c r="D255" s="3">
        <v>-2.7275878751861216E-3</v>
      </c>
      <c r="F255" s="8">
        <v>46028</v>
      </c>
      <c r="G255">
        <v>53.45</v>
      </c>
      <c r="H255" s="3">
        <f t="shared" si="3"/>
        <v>-4.0991242779950809E-3</v>
      </c>
    </row>
    <row r="256" spans="2:8" x14ac:dyDescent="0.25">
      <c r="B256" s="8">
        <v>46029</v>
      </c>
      <c r="C256" s="2">
        <v>26140.75</v>
      </c>
      <c r="D256" s="3">
        <v>-1.4496518161711824E-3</v>
      </c>
      <c r="F256" s="8">
        <v>46029</v>
      </c>
      <c r="G256">
        <v>52.9</v>
      </c>
      <c r="H256" s="3">
        <f t="shared" si="3"/>
        <v>-1.0289990645463098E-2</v>
      </c>
    </row>
    <row r="257" spans="2:8" x14ac:dyDescent="0.25">
      <c r="B257" s="8">
        <v>46030</v>
      </c>
      <c r="C257" s="2">
        <v>25876.85</v>
      </c>
      <c r="D257" s="3">
        <v>-1.0095349215305638E-2</v>
      </c>
      <c r="F257" s="8">
        <v>46030</v>
      </c>
      <c r="G257">
        <v>50.93</v>
      </c>
      <c r="H257" s="3">
        <f t="shared" si="3"/>
        <v>-3.7240075614366708E-2</v>
      </c>
    </row>
    <row r="258" spans="2:8" x14ac:dyDescent="0.25">
      <c r="B258" s="8">
        <v>46031</v>
      </c>
      <c r="C258" s="2">
        <v>25683.3</v>
      </c>
      <c r="D258" s="3">
        <v>-7.4796584592019544E-3</v>
      </c>
      <c r="F258" s="8">
        <v>46031</v>
      </c>
      <c r="G258">
        <v>49.2</v>
      </c>
      <c r="H258" s="3">
        <f t="shared" si="3"/>
        <v>-3.3968191635578182E-2</v>
      </c>
    </row>
    <row r="259" spans="2:8" x14ac:dyDescent="0.25">
      <c r="B259" s="8">
        <v>46034</v>
      </c>
      <c r="C259" s="2">
        <v>25790.25</v>
      </c>
      <c r="D259" s="3">
        <v>4.164184509000135E-3</v>
      </c>
      <c r="F259" s="8">
        <v>46034</v>
      </c>
      <c r="G259">
        <v>49.2</v>
      </c>
      <c r="H259" s="3">
        <f t="shared" si="3"/>
        <v>0</v>
      </c>
    </row>
    <row r="260" spans="2:8" x14ac:dyDescent="0.25">
      <c r="B260" s="8">
        <v>46035</v>
      </c>
      <c r="C260" s="2">
        <v>25732.3</v>
      </c>
      <c r="D260" s="3">
        <v>-2.2469731778482771E-3</v>
      </c>
      <c r="F260" s="8">
        <v>46035</v>
      </c>
      <c r="G260">
        <v>48.69</v>
      </c>
      <c r="H260" s="3">
        <f t="shared" si="3"/>
        <v>-1.0365853658536706E-2</v>
      </c>
    </row>
    <row r="261" spans="2:8" x14ac:dyDescent="0.25">
      <c r="B261" s="8">
        <v>46036</v>
      </c>
      <c r="C261" s="2">
        <v>25665.599999999999</v>
      </c>
      <c r="D261" s="3">
        <v>-2.5920729977498835E-3</v>
      </c>
      <c r="F261" s="8">
        <v>46036</v>
      </c>
      <c r="G261">
        <v>49.01</v>
      </c>
      <c r="H261" s="3">
        <f t="shared" ref="H261:H324" si="4">G261/G260-1</f>
        <v>6.5721914150749239E-3</v>
      </c>
    </row>
    <row r="262" spans="2:8" x14ac:dyDescent="0.25">
      <c r="B262" s="8">
        <v>46038</v>
      </c>
      <c r="C262" s="2">
        <v>25694.35</v>
      </c>
      <c r="D262" s="3">
        <v>1.1201764229162858E-3</v>
      </c>
      <c r="F262" s="8">
        <v>46038</v>
      </c>
      <c r="G262">
        <v>48.45</v>
      </c>
      <c r="H262" s="3">
        <f t="shared" si="4"/>
        <v>-1.1426239542950301E-2</v>
      </c>
    </row>
    <row r="263" spans="2:8" x14ac:dyDescent="0.25">
      <c r="B263" s="8">
        <v>46041</v>
      </c>
      <c r="C263" s="2">
        <v>25585.5</v>
      </c>
      <c r="D263" s="3">
        <v>-4.2363398957357967E-3</v>
      </c>
      <c r="F263" s="8">
        <v>46041</v>
      </c>
      <c r="G263">
        <v>47.98</v>
      </c>
      <c r="H263" s="3">
        <f t="shared" si="4"/>
        <v>-9.7007223942209286E-3</v>
      </c>
    </row>
    <row r="264" spans="2:8" x14ac:dyDescent="0.25">
      <c r="B264" s="8">
        <v>46042</v>
      </c>
      <c r="C264" s="2">
        <v>25232.5</v>
      </c>
      <c r="D264" s="3">
        <v>-1.3796877137441155E-2</v>
      </c>
      <c r="F264" s="8">
        <v>46042</v>
      </c>
      <c r="G264">
        <v>46.34</v>
      </c>
      <c r="H264" s="3">
        <f t="shared" si="4"/>
        <v>-3.418090871196322E-2</v>
      </c>
    </row>
    <row r="265" spans="2:8" x14ac:dyDescent="0.25">
      <c r="B265" s="8">
        <v>46043</v>
      </c>
      <c r="C265" s="2">
        <v>25157.5</v>
      </c>
      <c r="D265" s="3">
        <v>-2.9723570791637677E-3</v>
      </c>
      <c r="F265" s="8">
        <v>46043</v>
      </c>
      <c r="G265">
        <v>45.53</v>
      </c>
      <c r="H265" s="3">
        <f t="shared" si="4"/>
        <v>-1.7479499352611172E-2</v>
      </c>
    </row>
    <row r="266" spans="2:8" x14ac:dyDescent="0.25">
      <c r="B266" s="8">
        <v>46044</v>
      </c>
      <c r="C266" s="2">
        <v>25289.9</v>
      </c>
      <c r="D266" s="3">
        <v>5.2628440822817257E-3</v>
      </c>
      <c r="F266" s="8">
        <v>46044</v>
      </c>
      <c r="G266">
        <v>46.99</v>
      </c>
      <c r="H266" s="3">
        <f t="shared" si="4"/>
        <v>3.2066769163189068E-2</v>
      </c>
    </row>
    <row r="267" spans="2:8" x14ac:dyDescent="0.25">
      <c r="B267" s="8">
        <v>46045</v>
      </c>
      <c r="C267" s="2">
        <v>25048.65</v>
      </c>
      <c r="D267" s="3">
        <v>-9.5393813340503009E-3</v>
      </c>
      <c r="F267" s="8">
        <v>46045</v>
      </c>
      <c r="G267">
        <v>45.7</v>
      </c>
      <c r="H267" s="3">
        <f t="shared" si="4"/>
        <v>-2.7452649499893567E-2</v>
      </c>
    </row>
    <row r="268" spans="2:8" x14ac:dyDescent="0.25">
      <c r="B268" s="8">
        <v>46049</v>
      </c>
      <c r="C268" s="2">
        <v>25175.4</v>
      </c>
      <c r="D268" s="3">
        <v>5.0601529423741631E-3</v>
      </c>
      <c r="F268" s="8">
        <v>46049</v>
      </c>
      <c r="G268">
        <v>45.79</v>
      </c>
      <c r="H268" s="3">
        <f t="shared" si="4"/>
        <v>1.9693654266956795E-3</v>
      </c>
    </row>
    <row r="269" spans="2:8" x14ac:dyDescent="0.25">
      <c r="B269" s="8">
        <v>46050</v>
      </c>
      <c r="C269" s="2">
        <v>25342.75</v>
      </c>
      <c r="D269" s="3">
        <v>6.6473621074540912E-3</v>
      </c>
      <c r="F269" s="8">
        <v>46050</v>
      </c>
      <c r="G269">
        <v>47.8</v>
      </c>
      <c r="H269" s="3">
        <f t="shared" si="4"/>
        <v>4.3896047171871455E-2</v>
      </c>
    </row>
    <row r="270" spans="2:8" x14ac:dyDescent="0.25">
      <c r="B270" s="8">
        <v>46051</v>
      </c>
      <c r="C270" s="2">
        <v>25418.9</v>
      </c>
      <c r="D270" s="3">
        <v>3.004804135305017E-3</v>
      </c>
      <c r="F270" s="8">
        <v>46051</v>
      </c>
      <c r="G270">
        <v>47.44</v>
      </c>
      <c r="H270" s="3">
        <f t="shared" si="4"/>
        <v>-7.5313807531380839E-3</v>
      </c>
    </row>
    <row r="271" spans="2:8" x14ac:dyDescent="0.25">
      <c r="B271" s="8">
        <v>46052</v>
      </c>
      <c r="C271" s="2">
        <v>25320.65</v>
      </c>
      <c r="D271" s="3">
        <v>-3.8652341368037302E-3</v>
      </c>
      <c r="F271" s="8">
        <v>46052</v>
      </c>
      <c r="G271">
        <v>47.67</v>
      </c>
      <c r="H271" s="3">
        <f t="shared" si="4"/>
        <v>4.8482293423273148E-3</v>
      </c>
    </row>
    <row r="272" spans="2:8" x14ac:dyDescent="0.25">
      <c r="B272" s="8">
        <v>46054</v>
      </c>
      <c r="C272" s="2">
        <v>24825.45</v>
      </c>
      <c r="D272" s="3">
        <v>-1.955715986753892E-2</v>
      </c>
      <c r="F272" s="8">
        <v>46054</v>
      </c>
      <c r="G272">
        <v>46.17</v>
      </c>
      <c r="H272" s="3">
        <f t="shared" si="4"/>
        <v>-3.146633102580243E-2</v>
      </c>
    </row>
    <row r="273" spans="2:8" x14ac:dyDescent="0.25">
      <c r="B273" s="8">
        <v>46055</v>
      </c>
      <c r="C273" s="2">
        <v>25088.400000000001</v>
      </c>
      <c r="D273" s="3">
        <v>1.05919530159575E-2</v>
      </c>
      <c r="F273" s="8">
        <v>46055</v>
      </c>
      <c r="G273">
        <v>46.99</v>
      </c>
      <c r="H273" s="3">
        <f t="shared" si="4"/>
        <v>1.7760450508988557E-2</v>
      </c>
    </row>
    <row r="274" spans="2:8" x14ac:dyDescent="0.25">
      <c r="B274" s="8">
        <v>46056</v>
      </c>
      <c r="C274" s="2">
        <v>25727.55</v>
      </c>
      <c r="D274" s="3">
        <v>2.5475917156932981E-2</v>
      </c>
      <c r="F274" s="8">
        <v>46056</v>
      </c>
      <c r="G274">
        <v>49.16</v>
      </c>
      <c r="H274" s="3">
        <f t="shared" si="4"/>
        <v>4.6180038306022464E-2</v>
      </c>
    </row>
    <row r="275" spans="2:8" x14ac:dyDescent="0.25">
      <c r="B275" s="8">
        <v>46057</v>
      </c>
      <c r="C275" s="2">
        <v>25776</v>
      </c>
      <c r="D275" s="3">
        <v>1.8831952517825989E-3</v>
      </c>
      <c r="F275" s="8">
        <v>46057</v>
      </c>
      <c r="G275">
        <v>49.77</v>
      </c>
      <c r="H275" s="3">
        <f t="shared" si="4"/>
        <v>1.2408462164361422E-2</v>
      </c>
    </row>
    <row r="276" spans="2:8" x14ac:dyDescent="0.25">
      <c r="B276" s="8">
        <v>46058</v>
      </c>
      <c r="C276" s="2">
        <v>25642.799999999999</v>
      </c>
      <c r="D276" s="3">
        <v>-5.16759776536313E-3</v>
      </c>
      <c r="F276" s="8">
        <v>46058</v>
      </c>
      <c r="G276">
        <v>47.85</v>
      </c>
      <c r="H276" s="3">
        <f t="shared" si="4"/>
        <v>-3.8577456298975354E-2</v>
      </c>
    </row>
    <row r="277" spans="2:8" x14ac:dyDescent="0.25">
      <c r="B277" s="8">
        <v>46059</v>
      </c>
      <c r="C277" s="2">
        <v>25693.7</v>
      </c>
      <c r="D277" s="3">
        <v>1.9849626405852305E-3</v>
      </c>
      <c r="F277" s="8">
        <v>46059</v>
      </c>
      <c r="G277">
        <v>48.04</v>
      </c>
      <c r="H277" s="3">
        <f t="shared" si="4"/>
        <v>3.9707419017762646E-3</v>
      </c>
    </row>
    <row r="278" spans="2:8" x14ac:dyDescent="0.25">
      <c r="B278" s="8">
        <v>46062</v>
      </c>
      <c r="C278" s="2">
        <v>25867.3</v>
      </c>
      <c r="D278" s="3">
        <v>6.7565200807979675E-3</v>
      </c>
      <c r="F278" s="8">
        <v>46062</v>
      </c>
      <c r="G278">
        <v>48.19</v>
      </c>
      <c r="H278" s="3">
        <f t="shared" si="4"/>
        <v>3.1223980016652497E-3</v>
      </c>
    </row>
    <row r="279" spans="2:8" x14ac:dyDescent="0.25">
      <c r="B279" s="8">
        <v>46063</v>
      </c>
      <c r="C279" s="2">
        <v>25935.15</v>
      </c>
      <c r="D279" s="3">
        <v>2.6230027873028749E-3</v>
      </c>
      <c r="F279" s="8">
        <v>46063</v>
      </c>
      <c r="G279">
        <v>47.69</v>
      </c>
      <c r="H279" s="3">
        <f t="shared" si="4"/>
        <v>-1.0375596596804315E-2</v>
      </c>
    </row>
    <row r="280" spans="2:8" x14ac:dyDescent="0.25">
      <c r="B280" s="8">
        <v>46064</v>
      </c>
      <c r="C280" s="2">
        <v>25953.85</v>
      </c>
      <c r="D280" s="3">
        <v>7.2102918240291025E-4</v>
      </c>
      <c r="F280" s="8">
        <v>46064</v>
      </c>
      <c r="G280">
        <v>47.38</v>
      </c>
      <c r="H280" s="3">
        <f t="shared" si="4"/>
        <v>-6.5003145313481392E-3</v>
      </c>
    </row>
    <row r="281" spans="2:8" x14ac:dyDescent="0.25">
      <c r="B281" s="8">
        <v>46065</v>
      </c>
      <c r="C281" s="2">
        <v>25807.200000000001</v>
      </c>
      <c r="D281" s="3">
        <v>-5.6504141004127817E-3</v>
      </c>
      <c r="F281" s="8">
        <v>46065</v>
      </c>
      <c r="G281">
        <v>46.81</v>
      </c>
      <c r="H281" s="3">
        <f t="shared" si="4"/>
        <v>-1.2030392570704929E-2</v>
      </c>
    </row>
    <row r="282" spans="2:8" x14ac:dyDescent="0.25">
      <c r="B282" s="8">
        <v>46066</v>
      </c>
      <c r="C282" s="2">
        <v>25471.1</v>
      </c>
      <c r="D282" s="3">
        <v>-1.3023497318577881E-2</v>
      </c>
      <c r="F282" s="8">
        <v>46066</v>
      </c>
      <c r="G282">
        <v>45.67</v>
      </c>
      <c r="H282" s="3">
        <f t="shared" si="4"/>
        <v>-2.4353770561845733E-2</v>
      </c>
    </row>
    <row r="283" spans="2:8" x14ac:dyDescent="0.25">
      <c r="B283" s="8">
        <v>46069</v>
      </c>
      <c r="C283" s="2">
        <v>25682.75</v>
      </c>
      <c r="D283" s="3">
        <v>8.3094173396516258E-3</v>
      </c>
      <c r="F283" s="8">
        <v>46069</v>
      </c>
      <c r="G283">
        <v>46.21</v>
      </c>
      <c r="H283" s="3">
        <f t="shared" si="4"/>
        <v>1.1823954455879138E-2</v>
      </c>
    </row>
    <row r="284" spans="2:8" x14ac:dyDescent="0.25">
      <c r="B284" s="8">
        <v>46070</v>
      </c>
      <c r="C284" s="2">
        <v>25725.4</v>
      </c>
      <c r="D284" s="3">
        <v>1.6606477110123752E-3</v>
      </c>
      <c r="F284" s="8">
        <v>46070</v>
      </c>
      <c r="G284">
        <v>45.94</v>
      </c>
      <c r="H284" s="3">
        <f t="shared" si="4"/>
        <v>-5.8428911491019697E-3</v>
      </c>
    </row>
    <row r="285" spans="2:8" x14ac:dyDescent="0.25">
      <c r="B285" s="8">
        <v>46071</v>
      </c>
      <c r="C285" s="2">
        <v>25819.35</v>
      </c>
      <c r="D285" s="3">
        <v>3.6520326214557475E-3</v>
      </c>
      <c r="F285" s="8">
        <v>46071</v>
      </c>
      <c r="G285">
        <v>46.09</v>
      </c>
      <c r="H285" s="3">
        <f t="shared" si="4"/>
        <v>3.2651284283848891E-3</v>
      </c>
    </row>
    <row r="286" spans="2:8" x14ac:dyDescent="0.25">
      <c r="B286" s="8">
        <v>46072</v>
      </c>
      <c r="C286" s="2">
        <v>25454.35</v>
      </c>
      <c r="D286" s="3">
        <v>-1.4136684308474035E-2</v>
      </c>
      <c r="F286" s="8">
        <v>46072</v>
      </c>
      <c r="G286">
        <v>45.25</v>
      </c>
      <c r="H286" s="3">
        <f t="shared" si="4"/>
        <v>-1.8225211542634012E-2</v>
      </c>
    </row>
    <row r="287" spans="2:8" x14ac:dyDescent="0.25">
      <c r="B287" s="8">
        <v>46073</v>
      </c>
      <c r="C287" s="2">
        <v>25571.25</v>
      </c>
      <c r="D287" s="3">
        <v>4.5925352641100758E-3</v>
      </c>
      <c r="F287" s="8">
        <v>46073</v>
      </c>
      <c r="G287">
        <v>44.46</v>
      </c>
      <c r="H287" s="3">
        <f t="shared" si="4"/>
        <v>-1.7458563535911575E-2</v>
      </c>
    </row>
    <row r="288" spans="2:8" x14ac:dyDescent="0.25">
      <c r="B288" s="8">
        <v>46076</v>
      </c>
      <c r="C288" s="2">
        <v>25713</v>
      </c>
      <c r="D288" s="3">
        <v>5.5433347998239402E-3</v>
      </c>
      <c r="F288" s="8">
        <v>46076</v>
      </c>
      <c r="G288">
        <v>44.25</v>
      </c>
      <c r="H288" s="3">
        <f t="shared" si="4"/>
        <v>-4.7233468286099756E-3</v>
      </c>
    </row>
    <row r="289" spans="2:8" x14ac:dyDescent="0.25">
      <c r="B289" s="8">
        <v>46077</v>
      </c>
      <c r="C289" s="2">
        <v>25424.65</v>
      </c>
      <c r="D289" s="3">
        <v>-1.1214171819702079E-2</v>
      </c>
      <c r="F289" s="8">
        <v>46077</v>
      </c>
      <c r="G289">
        <v>44.13</v>
      </c>
      <c r="H289" s="3">
        <f t="shared" si="4"/>
        <v>-2.7118644067796183E-3</v>
      </c>
    </row>
    <row r="290" spans="2:8" x14ac:dyDescent="0.25">
      <c r="B290" s="8">
        <v>46078</v>
      </c>
      <c r="C290" s="2">
        <v>25482.5</v>
      </c>
      <c r="D290" s="3">
        <v>2.275350889786143E-3</v>
      </c>
      <c r="F290" s="8">
        <v>46078</v>
      </c>
      <c r="G290">
        <v>43.18</v>
      </c>
      <c r="H290" s="3">
        <f t="shared" si="4"/>
        <v>-2.1527305687740861E-2</v>
      </c>
    </row>
    <row r="291" spans="2:8" x14ac:dyDescent="0.25">
      <c r="B291" s="8">
        <v>46079</v>
      </c>
      <c r="C291" s="2">
        <v>25496.55</v>
      </c>
      <c r="D291" s="3">
        <v>5.5135877563028401E-4</v>
      </c>
      <c r="F291" s="8">
        <v>46079</v>
      </c>
      <c r="G291">
        <v>43.27</v>
      </c>
      <c r="H291" s="3">
        <f t="shared" si="4"/>
        <v>2.0842982862436799E-3</v>
      </c>
    </row>
    <row r="292" spans="2:8" x14ac:dyDescent="0.25">
      <c r="B292" s="8">
        <v>46080</v>
      </c>
      <c r="C292" s="2">
        <v>25178.65</v>
      </c>
      <c r="D292" s="3">
        <v>-1.2468353561560175E-2</v>
      </c>
      <c r="F292" s="8">
        <v>46080</v>
      </c>
      <c r="G292">
        <v>42.67</v>
      </c>
      <c r="H292" s="3">
        <f t="shared" si="4"/>
        <v>-1.3866420152530701E-2</v>
      </c>
    </row>
    <row r="293" spans="2:8" x14ac:dyDescent="0.25">
      <c r="B293" s="8">
        <v>46083</v>
      </c>
      <c r="C293" s="2">
        <v>24865.7</v>
      </c>
      <c r="D293" s="3">
        <v>-1.2429181072059148E-2</v>
      </c>
      <c r="F293" s="8">
        <v>46083</v>
      </c>
      <c r="G293">
        <v>40.950000000000003</v>
      </c>
      <c r="H293" s="3">
        <f t="shared" si="4"/>
        <v>-4.0309350831966184E-2</v>
      </c>
    </row>
    <row r="294" spans="2:8" x14ac:dyDescent="0.25">
      <c r="B294" s="8">
        <v>46085</v>
      </c>
      <c r="C294" s="2">
        <v>24480.5</v>
      </c>
      <c r="D294" s="3">
        <v>-1.5491218827541564E-2</v>
      </c>
      <c r="F294" s="8">
        <v>46085</v>
      </c>
      <c r="G294">
        <v>39.93</v>
      </c>
      <c r="H294" s="3">
        <f t="shared" si="4"/>
        <v>-2.4908424908424931E-2</v>
      </c>
    </row>
    <row r="295" spans="2:8" x14ac:dyDescent="0.25">
      <c r="B295" s="8">
        <v>46086</v>
      </c>
      <c r="C295" s="2">
        <v>24765.9</v>
      </c>
      <c r="D295" s="3">
        <v>1.1658258613999051E-2</v>
      </c>
      <c r="F295" s="8">
        <v>46086</v>
      </c>
      <c r="G295">
        <v>40.25</v>
      </c>
      <c r="H295" s="3">
        <f t="shared" si="4"/>
        <v>8.0140245429500823E-3</v>
      </c>
    </row>
    <row r="296" spans="2:8" x14ac:dyDescent="0.25">
      <c r="B296" s="8">
        <v>46087</v>
      </c>
      <c r="C296" s="2">
        <v>24450.45</v>
      </c>
      <c r="D296" s="3">
        <v>-1.2737271813259343E-2</v>
      </c>
      <c r="F296" s="8">
        <v>46087</v>
      </c>
      <c r="G296">
        <v>39.99</v>
      </c>
      <c r="H296" s="3">
        <f t="shared" si="4"/>
        <v>-6.4596273291924744E-3</v>
      </c>
    </row>
    <row r="297" spans="2:8" x14ac:dyDescent="0.25">
      <c r="B297" s="8">
        <v>46090</v>
      </c>
      <c r="C297" s="2">
        <v>24028.05</v>
      </c>
      <c r="D297" s="3">
        <v>-1.7275755660938863E-2</v>
      </c>
      <c r="F297" s="8">
        <v>46090</v>
      </c>
      <c r="G297">
        <v>39.619999999999997</v>
      </c>
      <c r="H297" s="3">
        <f t="shared" si="4"/>
        <v>-9.2523130782696805E-3</v>
      </c>
    </row>
    <row r="298" spans="2:8" x14ac:dyDescent="0.25">
      <c r="B298" s="8">
        <v>46091</v>
      </c>
      <c r="C298" s="2">
        <v>24261.599999999999</v>
      </c>
      <c r="D298" s="3">
        <v>9.7198898787043131E-3</v>
      </c>
      <c r="F298" s="8">
        <v>46091</v>
      </c>
      <c r="G298">
        <v>41.45</v>
      </c>
      <c r="H298" s="3">
        <f t="shared" si="4"/>
        <v>4.6188793538616935E-2</v>
      </c>
    </row>
    <row r="299" spans="2:8" x14ac:dyDescent="0.25">
      <c r="B299" s="8">
        <v>46092</v>
      </c>
      <c r="C299" s="2">
        <v>23866.85</v>
      </c>
      <c r="D299" s="3">
        <v>-1.6270567481122433E-2</v>
      </c>
      <c r="F299" s="8">
        <v>46092</v>
      </c>
      <c r="G299">
        <v>41.62</v>
      </c>
      <c r="H299" s="3">
        <f t="shared" si="4"/>
        <v>4.1013268998792984E-3</v>
      </c>
    </row>
    <row r="300" spans="2:8" x14ac:dyDescent="0.25">
      <c r="B300" s="8">
        <v>46093</v>
      </c>
      <c r="C300" s="2">
        <v>23639.15</v>
      </c>
      <c r="D300" s="3">
        <v>-9.5404295078738155E-3</v>
      </c>
      <c r="F300" s="8">
        <v>46093</v>
      </c>
      <c r="G300">
        <v>42.43</v>
      </c>
      <c r="H300" s="3">
        <f t="shared" si="4"/>
        <v>1.9461797212878551E-2</v>
      </c>
    </row>
    <row r="301" spans="2:8" x14ac:dyDescent="0.25">
      <c r="B301" s="8">
        <v>46094</v>
      </c>
      <c r="C301" s="2">
        <v>23151.1</v>
      </c>
      <c r="D301" s="3">
        <v>-2.0645835404403456E-2</v>
      </c>
      <c r="F301" s="8">
        <v>46094</v>
      </c>
      <c r="G301">
        <v>41.41</v>
      </c>
      <c r="H301" s="3">
        <f t="shared" si="4"/>
        <v>-2.4039594626443672E-2</v>
      </c>
    </row>
    <row r="302" spans="2:8" x14ac:dyDescent="0.25">
      <c r="B302" s="8">
        <v>46097</v>
      </c>
      <c r="C302" s="2">
        <v>23408.799999999999</v>
      </c>
      <c r="D302" s="3">
        <v>1.1131220546755971E-2</v>
      </c>
      <c r="F302" s="8">
        <v>46097</v>
      </c>
      <c r="G302">
        <v>41.01</v>
      </c>
      <c r="H302" s="3">
        <f t="shared" si="4"/>
        <v>-9.6595025356194242E-3</v>
      </c>
    </row>
    <row r="303" spans="2:8" x14ac:dyDescent="0.25">
      <c r="B303" s="8">
        <v>46098</v>
      </c>
      <c r="C303" s="2">
        <v>23581.15</v>
      </c>
      <c r="D303" s="3">
        <v>7.3626157684290039E-3</v>
      </c>
      <c r="F303" s="8">
        <v>46098</v>
      </c>
      <c r="G303">
        <v>41.27</v>
      </c>
      <c r="H303" s="3">
        <f t="shared" si="4"/>
        <v>6.3399170933919891E-3</v>
      </c>
    </row>
    <row r="304" spans="2:8" x14ac:dyDescent="0.25">
      <c r="B304" s="8">
        <v>46099</v>
      </c>
      <c r="C304" s="2">
        <v>23777.8</v>
      </c>
      <c r="D304" s="3">
        <v>8.3392879482127036E-3</v>
      </c>
      <c r="F304" s="8">
        <v>46099</v>
      </c>
      <c r="G304">
        <v>42.06</v>
      </c>
      <c r="H304" s="3">
        <f t="shared" si="4"/>
        <v>1.9142234068330488E-2</v>
      </c>
    </row>
    <row r="305" spans="2:8" x14ac:dyDescent="0.25">
      <c r="B305" s="8">
        <v>46100</v>
      </c>
      <c r="C305" s="2">
        <v>23002.15</v>
      </c>
      <c r="D305" s="3">
        <v>-3.2620763905828021E-2</v>
      </c>
      <c r="F305" s="8">
        <v>46100</v>
      </c>
      <c r="G305">
        <v>41.09</v>
      </c>
      <c r="H305" s="3">
        <f t="shared" si="4"/>
        <v>-2.3062291963861115E-2</v>
      </c>
    </row>
    <row r="306" spans="2:8" x14ac:dyDescent="0.25">
      <c r="B306" s="8">
        <v>46101</v>
      </c>
      <c r="C306" s="2">
        <v>23114.5</v>
      </c>
      <c r="D306" s="3">
        <v>4.8843260303927938E-3</v>
      </c>
      <c r="F306" s="8">
        <v>46101</v>
      </c>
      <c r="G306">
        <v>41.95</v>
      </c>
      <c r="H306" s="3">
        <f t="shared" si="4"/>
        <v>2.0929666585543849E-2</v>
      </c>
    </row>
    <row r="307" spans="2:8" x14ac:dyDescent="0.25">
      <c r="B307" s="8">
        <v>46104</v>
      </c>
      <c r="C307" s="2">
        <v>22512.65</v>
      </c>
      <c r="D307" s="3">
        <v>-2.6037768500291936E-2</v>
      </c>
      <c r="F307" s="8">
        <v>46104</v>
      </c>
      <c r="G307">
        <v>39.94</v>
      </c>
      <c r="H307" s="3">
        <f t="shared" si="4"/>
        <v>-4.7914183551847511E-2</v>
      </c>
    </row>
    <row r="308" spans="2:8" x14ac:dyDescent="0.25">
      <c r="B308" s="8">
        <v>46105</v>
      </c>
      <c r="C308" s="2">
        <v>22912.400000000001</v>
      </c>
      <c r="D308" s="3">
        <v>1.7756683464629885E-2</v>
      </c>
      <c r="F308" s="8">
        <v>46105</v>
      </c>
      <c r="G308">
        <v>41.04</v>
      </c>
      <c r="H308" s="3">
        <f t="shared" si="4"/>
        <v>2.7541311967951954E-2</v>
      </c>
    </row>
    <row r="309" spans="2:8" x14ac:dyDescent="0.25">
      <c r="B309" s="8">
        <v>46106</v>
      </c>
      <c r="C309" s="2">
        <v>23306.45</v>
      </c>
      <c r="D309" s="3">
        <v>1.7198111066496713E-2</v>
      </c>
      <c r="F309" s="8">
        <v>46106</v>
      </c>
      <c r="G309">
        <v>42.27</v>
      </c>
      <c r="H309" s="3">
        <f t="shared" si="4"/>
        <v>2.9970760233918314E-2</v>
      </c>
    </row>
    <row r="310" spans="2:8" x14ac:dyDescent="0.25">
      <c r="B310" s="8">
        <v>46108</v>
      </c>
      <c r="C310" s="2">
        <v>22819.599999999999</v>
      </c>
      <c r="D310" s="3">
        <v>-2.0889067189554966E-2</v>
      </c>
      <c r="F310" s="8">
        <v>46108</v>
      </c>
      <c r="G310">
        <v>40.82</v>
      </c>
      <c r="H310" s="3">
        <f t="shared" si="4"/>
        <v>-3.4303288384196939E-2</v>
      </c>
    </row>
    <row r="311" spans="2:8" x14ac:dyDescent="0.25">
      <c r="B311" s="8">
        <v>46111</v>
      </c>
      <c r="C311" s="2">
        <v>22331.4</v>
      </c>
      <c r="D311" s="3">
        <v>-2.1393889463443561E-2</v>
      </c>
      <c r="F311" s="8">
        <v>46111</v>
      </c>
      <c r="G311">
        <v>39.56</v>
      </c>
      <c r="H311" s="3">
        <f t="shared" si="4"/>
        <v>-3.0867221950024448E-2</v>
      </c>
    </row>
    <row r="312" spans="2:8" x14ac:dyDescent="0.25">
      <c r="B312" s="8">
        <v>46113</v>
      </c>
      <c r="C312" s="2">
        <v>22679.4</v>
      </c>
      <c r="D312" s="3">
        <v>1.5583438566323604E-2</v>
      </c>
      <c r="F312" s="8">
        <v>46113</v>
      </c>
      <c r="G312">
        <v>41.12</v>
      </c>
      <c r="H312" s="3">
        <f t="shared" si="4"/>
        <v>3.9433771486349745E-2</v>
      </c>
    </row>
    <row r="313" spans="2:8" x14ac:dyDescent="0.25">
      <c r="B313" s="8">
        <v>46114</v>
      </c>
      <c r="C313" s="2">
        <v>22713.1</v>
      </c>
      <c r="D313" s="3">
        <v>1.4859299628737777E-3</v>
      </c>
      <c r="F313" s="8">
        <v>46114</v>
      </c>
      <c r="G313">
        <v>40.78</v>
      </c>
      <c r="H313" s="3">
        <f t="shared" si="4"/>
        <v>-8.2684824902722331E-3</v>
      </c>
    </row>
    <row r="314" spans="2:8" x14ac:dyDescent="0.25">
      <c r="B314" s="8">
        <v>46118</v>
      </c>
      <c r="C314" s="2">
        <v>22968.25</v>
      </c>
      <c r="D314" s="3">
        <v>1.123360527625028E-2</v>
      </c>
      <c r="F314" s="8">
        <v>46118</v>
      </c>
      <c r="G314">
        <v>41.59</v>
      </c>
      <c r="H314" s="3">
        <f t="shared" si="4"/>
        <v>1.9862677783227145E-2</v>
      </c>
    </row>
    <row r="315" spans="2:8" x14ac:dyDescent="0.25">
      <c r="B315" s="8">
        <v>46119</v>
      </c>
      <c r="C315" s="2">
        <v>23123.65</v>
      </c>
      <c r="D315" s="3">
        <v>6.7658615697756552E-3</v>
      </c>
      <c r="F315" s="8">
        <v>46119</v>
      </c>
      <c r="G315">
        <v>41.55</v>
      </c>
      <c r="H315" s="3">
        <f t="shared" si="4"/>
        <v>-9.6176965616745491E-4</v>
      </c>
    </row>
    <row r="316" spans="2:8" x14ac:dyDescent="0.25">
      <c r="B316" s="8">
        <v>46120</v>
      </c>
      <c r="C316" s="2">
        <v>23997.35</v>
      </c>
      <c r="D316" s="3">
        <v>3.7783827380192925E-2</v>
      </c>
      <c r="F316" s="8">
        <v>46120</v>
      </c>
      <c r="G316">
        <v>44.23</v>
      </c>
      <c r="H316" s="3">
        <f t="shared" si="4"/>
        <v>6.4500601684717163E-2</v>
      </c>
    </row>
    <row r="317" spans="2:8" x14ac:dyDescent="0.25">
      <c r="B317" s="8">
        <v>46121</v>
      </c>
      <c r="C317" s="2">
        <v>23775.1</v>
      </c>
      <c r="D317" s="3">
        <v>-9.2614392839209803E-3</v>
      </c>
      <c r="F317" s="8">
        <v>46121</v>
      </c>
      <c r="G317">
        <v>44.23</v>
      </c>
      <c r="H317" s="3">
        <f t="shared" si="4"/>
        <v>0</v>
      </c>
    </row>
    <row r="318" spans="2:8" x14ac:dyDescent="0.25">
      <c r="B318" s="8">
        <v>46122</v>
      </c>
      <c r="C318" s="2">
        <v>24050.6</v>
      </c>
      <c r="D318" s="3">
        <v>1.1587753574117565E-2</v>
      </c>
      <c r="F318" s="8">
        <v>46122</v>
      </c>
      <c r="G318">
        <v>45.32</v>
      </c>
      <c r="H318" s="3">
        <f t="shared" si="4"/>
        <v>2.4643906850553954E-2</v>
      </c>
    </row>
    <row r="319" spans="2:8" x14ac:dyDescent="0.25">
      <c r="B319" s="8">
        <v>46125</v>
      </c>
      <c r="C319" s="2">
        <v>23842.65</v>
      </c>
      <c r="D319" s="3">
        <v>-8.6463539371157694E-3</v>
      </c>
      <c r="F319" s="8">
        <v>46125</v>
      </c>
      <c r="G319">
        <v>45.86</v>
      </c>
      <c r="H319" s="3">
        <f t="shared" si="4"/>
        <v>1.1915269196822509E-2</v>
      </c>
    </row>
    <row r="320" spans="2:8" x14ac:dyDescent="0.25">
      <c r="B320" s="8">
        <v>46127</v>
      </c>
      <c r="C320" s="2">
        <v>24231.3</v>
      </c>
      <c r="D320" s="3">
        <v>1.6300620946077649E-2</v>
      </c>
      <c r="F320" s="8">
        <v>46127</v>
      </c>
      <c r="G320">
        <v>49.13</v>
      </c>
      <c r="H320" s="3">
        <f t="shared" si="4"/>
        <v>7.1303968600087364E-2</v>
      </c>
    </row>
    <row r="321" spans="2:8" x14ac:dyDescent="0.25">
      <c r="B321" s="8">
        <v>46128</v>
      </c>
      <c r="C321" s="2">
        <v>24196.75</v>
      </c>
      <c r="D321" s="3">
        <v>-1.4258417831481962E-3</v>
      </c>
      <c r="F321" s="8">
        <v>46128</v>
      </c>
      <c r="G321">
        <v>50.25</v>
      </c>
      <c r="H321" s="3">
        <f t="shared" si="4"/>
        <v>2.2796661917362071E-2</v>
      </c>
    </row>
    <row r="322" spans="2:8" x14ac:dyDescent="0.25">
      <c r="B322" s="8">
        <v>46129</v>
      </c>
      <c r="C322" s="2">
        <v>24353.55</v>
      </c>
      <c r="D322" s="3">
        <v>6.4802091189932742E-3</v>
      </c>
      <c r="F322" s="8">
        <v>46129</v>
      </c>
      <c r="G322">
        <v>52.93</v>
      </c>
      <c r="H322" s="3">
        <f t="shared" si="4"/>
        <v>5.3333333333333233E-2</v>
      </c>
    </row>
    <row r="323" spans="2:8" x14ac:dyDescent="0.25">
      <c r="B323" s="8">
        <v>46132</v>
      </c>
      <c r="C323" s="2">
        <v>24364.85</v>
      </c>
      <c r="D323" s="3">
        <v>4.6399806188412995E-4</v>
      </c>
      <c r="F323" s="8">
        <v>46132</v>
      </c>
      <c r="G323">
        <v>52.5</v>
      </c>
      <c r="H323" s="3">
        <f t="shared" si="4"/>
        <v>-8.1239372756470862E-3</v>
      </c>
    </row>
    <row r="324" spans="2:8" x14ac:dyDescent="0.25">
      <c r="B324" s="8">
        <v>46133</v>
      </c>
      <c r="C324" s="2">
        <v>24576.6</v>
      </c>
      <c r="D324" s="3">
        <v>8.690798424779933E-3</v>
      </c>
      <c r="F324" s="8">
        <v>46133</v>
      </c>
      <c r="G324">
        <v>53.1</v>
      </c>
      <c r="H324" s="3">
        <f t="shared" si="4"/>
        <v>1.1428571428571566E-2</v>
      </c>
    </row>
    <row r="325" spans="2:8" x14ac:dyDescent="0.25">
      <c r="B325" s="8">
        <v>46134</v>
      </c>
      <c r="C325" s="2">
        <v>24378.1</v>
      </c>
      <c r="D325" s="3">
        <v>-8.0767884898643727E-3</v>
      </c>
      <c r="F325" s="8">
        <v>46134</v>
      </c>
      <c r="G325">
        <v>54.57</v>
      </c>
      <c r="H325" s="3">
        <f t="shared" ref="H325:H388" si="5">G325/G324-1</f>
        <v>2.7683615819209084E-2</v>
      </c>
    </row>
    <row r="326" spans="2:8" x14ac:dyDescent="0.25">
      <c r="B326" s="8">
        <v>46135</v>
      </c>
      <c r="C326" s="2">
        <v>24173.05</v>
      </c>
      <c r="D326" s="3">
        <v>-8.4112379553779038E-3</v>
      </c>
      <c r="F326" s="8">
        <v>46135</v>
      </c>
      <c r="G326">
        <v>53.73</v>
      </c>
      <c r="H326" s="3">
        <f t="shared" si="5"/>
        <v>-1.5393073117097367E-2</v>
      </c>
    </row>
    <row r="327" spans="2:8" x14ac:dyDescent="0.25">
      <c r="B327" s="8">
        <v>46136</v>
      </c>
      <c r="C327" s="2">
        <v>23897.95</v>
      </c>
      <c r="D327" s="3">
        <v>-1.1380442269386726E-2</v>
      </c>
      <c r="F327" s="8">
        <v>46136</v>
      </c>
      <c r="G327">
        <v>53.91</v>
      </c>
      <c r="H327" s="3">
        <f t="shared" si="5"/>
        <v>3.3500837520938909E-3</v>
      </c>
    </row>
    <row r="328" spans="2:8" x14ac:dyDescent="0.25">
      <c r="B328" s="8">
        <v>46139</v>
      </c>
      <c r="C328" s="2">
        <v>24092.7</v>
      </c>
      <c r="D328" s="3">
        <v>8.1492345577758307E-3</v>
      </c>
      <c r="F328" s="8">
        <v>46139</v>
      </c>
      <c r="G328">
        <v>56.93</v>
      </c>
      <c r="H328" s="3">
        <f t="shared" si="5"/>
        <v>5.6019291411611993E-2</v>
      </c>
    </row>
    <row r="329" spans="2:8" x14ac:dyDescent="0.25">
      <c r="B329" s="8">
        <v>46140</v>
      </c>
      <c r="C329" s="2">
        <v>23995.7</v>
      </c>
      <c r="D329" s="3">
        <v>-4.0261157944107007E-3</v>
      </c>
      <c r="F329" s="8">
        <v>46140</v>
      </c>
      <c r="G329">
        <v>57.32</v>
      </c>
      <c r="H329" s="3">
        <f t="shared" si="5"/>
        <v>6.850518180221421E-3</v>
      </c>
    </row>
    <row r="330" spans="2:8" x14ac:dyDescent="0.25">
      <c r="B330" s="8">
        <v>46141</v>
      </c>
      <c r="C330" s="2">
        <v>24177.65</v>
      </c>
      <c r="D330" s="3">
        <v>7.5826085506986995E-3</v>
      </c>
      <c r="F330" s="8">
        <v>46141</v>
      </c>
      <c r="G330">
        <v>56.81</v>
      </c>
      <c r="H330" s="3">
        <f t="shared" si="5"/>
        <v>-8.8974180041869744E-3</v>
      </c>
    </row>
    <row r="331" spans="2:8" x14ac:dyDescent="0.25">
      <c r="B331" s="8">
        <v>46142</v>
      </c>
      <c r="C331" s="2">
        <v>23997.55</v>
      </c>
      <c r="D331" s="3">
        <v>-7.4490283381554168E-3</v>
      </c>
      <c r="F331" s="8">
        <v>46142</v>
      </c>
      <c r="G331">
        <v>55.58</v>
      </c>
      <c r="H331" s="3">
        <f t="shared" si="5"/>
        <v>-2.1651117760957628E-2</v>
      </c>
    </row>
    <row r="332" spans="2:8" x14ac:dyDescent="0.25">
      <c r="B332" s="8">
        <v>46146</v>
      </c>
      <c r="C332" s="2">
        <v>24119.3</v>
      </c>
      <c r="D332" s="3">
        <v>5.0734345797800451E-3</v>
      </c>
      <c r="F332" s="8">
        <v>46146</v>
      </c>
      <c r="G332">
        <v>54.96</v>
      </c>
      <c r="H332" s="3">
        <f t="shared" si="5"/>
        <v>-1.1155091759625702E-2</v>
      </c>
    </row>
    <row r="333" spans="2:8" x14ac:dyDescent="0.25">
      <c r="B333" s="8">
        <v>46147</v>
      </c>
      <c r="C333" s="2">
        <v>24032.799999999999</v>
      </c>
      <c r="D333" s="3">
        <v>-3.5863395703855661E-3</v>
      </c>
      <c r="F333" s="8">
        <v>46147</v>
      </c>
      <c r="G333">
        <v>54.85</v>
      </c>
      <c r="H333" s="3">
        <f t="shared" si="5"/>
        <v>-2.0014556040757192E-3</v>
      </c>
    </row>
    <row r="334" spans="2:8" x14ac:dyDescent="0.25">
      <c r="B334" s="8">
        <v>46148</v>
      </c>
      <c r="C334" s="2">
        <v>24330.95</v>
      </c>
      <c r="D334" s="3">
        <v>1.2405961852135494E-2</v>
      </c>
      <c r="F334" s="8">
        <v>46148</v>
      </c>
      <c r="G334">
        <v>54.32</v>
      </c>
      <c r="H334" s="3">
        <f t="shared" si="5"/>
        <v>-9.6627164995441994E-3</v>
      </c>
    </row>
    <row r="335" spans="2:8" x14ac:dyDescent="0.25">
      <c r="B335" s="8">
        <v>46149</v>
      </c>
      <c r="C335" s="2">
        <v>24326.65</v>
      </c>
      <c r="D335" s="3">
        <v>-1.7672963858783586E-4</v>
      </c>
      <c r="F335" s="8">
        <v>46149</v>
      </c>
      <c r="G335">
        <v>55.65</v>
      </c>
      <c r="H335" s="3">
        <f t="shared" si="5"/>
        <v>2.448453608247414E-2</v>
      </c>
    </row>
    <row r="336" spans="2:8" x14ac:dyDescent="0.25">
      <c r="B336" s="8">
        <v>46150</v>
      </c>
      <c r="C336" s="2">
        <v>24176.15</v>
      </c>
      <c r="D336" s="3">
        <v>-6.1866307115858721E-3</v>
      </c>
      <c r="F336" s="8">
        <v>46150</v>
      </c>
      <c r="G336">
        <v>54.97</v>
      </c>
      <c r="H336" s="3">
        <f t="shared" si="5"/>
        <v>-1.2219227313566949E-2</v>
      </c>
    </row>
    <row r="337" spans="2:8" x14ac:dyDescent="0.25">
      <c r="B337" s="8">
        <v>46153</v>
      </c>
      <c r="C337" s="2">
        <v>23815.85</v>
      </c>
      <c r="D337" s="3">
        <v>-1.4903117328441629E-2</v>
      </c>
      <c r="F337" s="8">
        <v>46153</v>
      </c>
      <c r="G337">
        <v>53.3</v>
      </c>
      <c r="H337" s="3">
        <f t="shared" si="5"/>
        <v>-3.0380207385846902E-2</v>
      </c>
    </row>
    <row r="338" spans="2:8" x14ac:dyDescent="0.25">
      <c r="B338" s="8">
        <v>46154</v>
      </c>
      <c r="C338" s="2">
        <v>23379.55</v>
      </c>
      <c r="D338" s="3">
        <v>-1.8319732447088732E-2</v>
      </c>
      <c r="F338" s="8">
        <v>46154</v>
      </c>
      <c r="G338">
        <v>51.52</v>
      </c>
      <c r="H338" s="3">
        <f t="shared" si="5"/>
        <v>-3.339587242026254E-2</v>
      </c>
    </row>
    <row r="339" spans="2:8" x14ac:dyDescent="0.25">
      <c r="B339" s="8">
        <v>46155</v>
      </c>
      <c r="C339" s="2">
        <v>23412.6</v>
      </c>
      <c r="D339" s="3">
        <v>1.4136285771111368E-3</v>
      </c>
      <c r="F339" s="8">
        <v>46155</v>
      </c>
      <c r="G339">
        <v>53.1</v>
      </c>
      <c r="H339" s="3">
        <f t="shared" si="5"/>
        <v>3.0667701863354102E-2</v>
      </c>
    </row>
    <row r="340" spans="2:8" x14ac:dyDescent="0.25">
      <c r="B340" s="8">
        <v>46156</v>
      </c>
      <c r="C340" s="2">
        <v>23689.599999999999</v>
      </c>
      <c r="D340" s="3">
        <v>1.1831236171975679E-2</v>
      </c>
      <c r="F340" s="8">
        <v>46156</v>
      </c>
      <c r="G340">
        <v>53.47</v>
      </c>
      <c r="H340" s="3">
        <f t="shared" si="5"/>
        <v>6.9679849340866795E-3</v>
      </c>
    </row>
    <row r="341" spans="2:8" x14ac:dyDescent="0.25">
      <c r="B341" s="8">
        <v>46157</v>
      </c>
      <c r="C341" s="2">
        <v>23643.5</v>
      </c>
      <c r="D341" s="3">
        <v>-1.946001620964366E-3</v>
      </c>
      <c r="F341" s="8">
        <v>46157</v>
      </c>
      <c r="G341">
        <v>53.84</v>
      </c>
      <c r="H341" s="3">
        <f t="shared" si="5"/>
        <v>6.9197680942585382E-3</v>
      </c>
    </row>
    <row r="342" spans="2:8" x14ac:dyDescent="0.25">
      <c r="B342" s="8">
        <v>46160</v>
      </c>
      <c r="C342" s="2">
        <v>23649.95</v>
      </c>
      <c r="D342" s="3">
        <v>2.7280225008996517E-4</v>
      </c>
      <c r="F342" s="8">
        <v>46160</v>
      </c>
      <c r="G342">
        <v>53.25</v>
      </c>
      <c r="H342" s="3">
        <f t="shared" si="5"/>
        <v>-1.0958395245170949E-2</v>
      </c>
    </row>
    <row r="343" spans="2:8" x14ac:dyDescent="0.25">
      <c r="B343" s="8">
        <v>46161</v>
      </c>
      <c r="C343" s="2">
        <v>23618</v>
      </c>
      <c r="D343" s="3">
        <v>-1.3509542303472566E-3</v>
      </c>
      <c r="F343" s="8">
        <v>46161</v>
      </c>
      <c r="G343">
        <v>52.91</v>
      </c>
      <c r="H343" s="3">
        <f t="shared" si="5"/>
        <v>-6.3849765258217062E-3</v>
      </c>
    </row>
    <row r="344" spans="2:8" x14ac:dyDescent="0.25">
      <c r="B344" s="8">
        <v>46162</v>
      </c>
      <c r="C344" s="2">
        <v>23659</v>
      </c>
      <c r="D344" s="3">
        <v>1.7359640951817301E-3</v>
      </c>
      <c r="F344" s="8">
        <v>46162</v>
      </c>
      <c r="G344">
        <v>52.57</v>
      </c>
      <c r="H344" s="3">
        <f t="shared" si="5"/>
        <v>-6.4260064260063254E-3</v>
      </c>
    </row>
    <row r="345" spans="2:8" x14ac:dyDescent="0.25">
      <c r="B345" s="8">
        <v>46163</v>
      </c>
      <c r="C345" s="2">
        <v>23654.7</v>
      </c>
      <c r="D345" s="3">
        <v>-1.8174901728729154E-4</v>
      </c>
      <c r="F345" s="8">
        <v>46163</v>
      </c>
      <c r="G345">
        <v>52.87</v>
      </c>
      <c r="H345" s="3">
        <f t="shared" si="5"/>
        <v>5.7066768118698707E-3</v>
      </c>
    </row>
    <row r="346" spans="2:8" x14ac:dyDescent="0.25">
      <c r="B346" s="8">
        <v>46164</v>
      </c>
      <c r="C346" s="2">
        <v>23719.3</v>
      </c>
      <c r="D346" s="3">
        <v>2.7309583296342144E-3</v>
      </c>
      <c r="F346" s="8">
        <v>46164</v>
      </c>
      <c r="G346">
        <v>53.75</v>
      </c>
      <c r="H346" s="3">
        <f t="shared" si="5"/>
        <v>1.664459996217138E-2</v>
      </c>
    </row>
    <row r="347" spans="2:8" x14ac:dyDescent="0.25">
      <c r="B347" s="8">
        <v>46167</v>
      </c>
      <c r="C347" s="2">
        <v>24031.7</v>
      </c>
      <c r="D347" s="3">
        <v>1.3170709085006838E-2</v>
      </c>
      <c r="F347" s="8">
        <v>46167</v>
      </c>
      <c r="G347">
        <v>53.99</v>
      </c>
      <c r="H347" s="3">
        <f t="shared" si="5"/>
        <v>4.4651162790698695E-3</v>
      </c>
    </row>
    <row r="348" spans="2:8" x14ac:dyDescent="0.25">
      <c r="B348" s="8">
        <v>46168</v>
      </c>
      <c r="C348" s="2">
        <v>23913.7</v>
      </c>
      <c r="D348" s="3">
        <v>-4.9101811357498137E-3</v>
      </c>
      <c r="F348" s="8">
        <v>46168</v>
      </c>
      <c r="G348">
        <v>54.58</v>
      </c>
      <c r="H348" s="3">
        <f t="shared" si="5"/>
        <v>1.0927949620300081E-2</v>
      </c>
    </row>
    <row r="349" spans="2:8" x14ac:dyDescent="0.25">
      <c r="B349" s="8">
        <v>46169</v>
      </c>
      <c r="C349" s="2">
        <v>23907.15</v>
      </c>
      <c r="D349" s="3">
        <v>-2.7390157106588209E-4</v>
      </c>
      <c r="F349" s="8">
        <v>46169</v>
      </c>
      <c r="G349">
        <v>57.53</v>
      </c>
      <c r="H349" s="3">
        <f t="shared" si="5"/>
        <v>5.4049102235251167E-2</v>
      </c>
    </row>
    <row r="350" spans="2:8" x14ac:dyDescent="0.25">
      <c r="B350" s="8">
        <v>46171</v>
      </c>
      <c r="C350" s="2">
        <v>23547.75</v>
      </c>
      <c r="D350" s="3">
        <v>-1.5033159535954743E-2</v>
      </c>
      <c r="F350" s="8">
        <v>46171</v>
      </c>
      <c r="G350">
        <v>56.99</v>
      </c>
      <c r="H350" s="3">
        <f t="shared" si="5"/>
        <v>-9.3864070919520426E-3</v>
      </c>
    </row>
    <row r="351" spans="2:8" x14ac:dyDescent="0.25">
      <c r="B351" s="8">
        <v>46174</v>
      </c>
      <c r="C351" s="2">
        <v>23382.6</v>
      </c>
      <c r="D351" s="3">
        <v>-7.0134089244195952E-3</v>
      </c>
      <c r="F351" s="8">
        <v>46174</v>
      </c>
      <c r="G351">
        <v>53.93</v>
      </c>
      <c r="H351" s="3">
        <f t="shared" si="5"/>
        <v>-5.3693630461484454E-2</v>
      </c>
    </row>
    <row r="352" spans="2:8" x14ac:dyDescent="0.25">
      <c r="B352" s="8">
        <v>46175</v>
      </c>
      <c r="C352" s="2">
        <v>23483.55</v>
      </c>
      <c r="D352" s="3">
        <v>4.3173128736753164E-3</v>
      </c>
      <c r="F352" s="8">
        <v>46175</v>
      </c>
      <c r="G352">
        <v>54.52</v>
      </c>
      <c r="H352" s="3">
        <f t="shared" si="5"/>
        <v>1.0940107546820066E-2</v>
      </c>
    </row>
    <row r="353" spans="2:8" x14ac:dyDescent="0.25">
      <c r="B353" s="8">
        <v>46176</v>
      </c>
      <c r="C353" s="2">
        <v>23405.599999999999</v>
      </c>
      <c r="D353" s="3">
        <v>-3.3193448179683616E-3</v>
      </c>
      <c r="F353" s="8">
        <v>46176</v>
      </c>
      <c r="G353">
        <v>54.4</v>
      </c>
      <c r="H353" s="3">
        <f t="shared" si="5"/>
        <v>-2.2010271460015662E-3</v>
      </c>
    </row>
    <row r="354" spans="2:8" x14ac:dyDescent="0.25">
      <c r="B354" s="8">
        <v>46177</v>
      </c>
      <c r="C354" s="2">
        <v>23416.55</v>
      </c>
      <c r="D354" s="3">
        <v>4.6783675701544958E-4</v>
      </c>
      <c r="F354" s="8">
        <v>46177</v>
      </c>
      <c r="G354">
        <v>55.62</v>
      </c>
      <c r="H354" s="3">
        <f t="shared" si="5"/>
        <v>2.2426470588235325E-2</v>
      </c>
    </row>
    <row r="355" spans="2:8" x14ac:dyDescent="0.25">
      <c r="B355" s="8">
        <v>46178</v>
      </c>
      <c r="C355" s="2">
        <v>23366.7</v>
      </c>
      <c r="D355" s="3">
        <v>-2.1288362290772245E-3</v>
      </c>
      <c r="F355" s="8">
        <v>46178</v>
      </c>
      <c r="G355">
        <v>55.31</v>
      </c>
      <c r="H355" s="3">
        <f t="shared" si="5"/>
        <v>-5.5735346997481949E-3</v>
      </c>
    </row>
    <row r="356" spans="2:8" x14ac:dyDescent="0.25">
      <c r="B356" s="8">
        <v>46181</v>
      </c>
      <c r="C356" s="2">
        <v>23123</v>
      </c>
      <c r="D356" s="3">
        <v>-1.0429371712736502E-2</v>
      </c>
      <c r="F356" s="8">
        <v>46181</v>
      </c>
      <c r="G356">
        <v>54.43</v>
      </c>
      <c r="H356" s="3">
        <f t="shared" si="5"/>
        <v>-1.5910323630446643E-2</v>
      </c>
    </row>
    <row r="357" spans="2:8" x14ac:dyDescent="0.25">
      <c r="B357" s="8">
        <v>46182</v>
      </c>
      <c r="C357" s="2">
        <v>23242.1</v>
      </c>
      <c r="D357" s="3">
        <v>5.1507157375771939E-3</v>
      </c>
      <c r="F357" s="8">
        <v>46182</v>
      </c>
      <c r="G357">
        <v>55.23</v>
      </c>
      <c r="H357" s="3">
        <f t="shared" si="5"/>
        <v>1.4697776961234643E-2</v>
      </c>
    </row>
    <row r="358" spans="2:8" x14ac:dyDescent="0.25">
      <c r="B358" s="8">
        <v>46183</v>
      </c>
      <c r="C358" s="2">
        <v>23214.95</v>
      </c>
      <c r="D358" s="3">
        <v>-1.1681388514805935E-3</v>
      </c>
      <c r="F358" s="8">
        <v>46183</v>
      </c>
      <c r="G358">
        <v>54.08</v>
      </c>
      <c r="H358" s="3">
        <f t="shared" si="5"/>
        <v>-2.0822017019735628E-2</v>
      </c>
    </row>
    <row r="359" spans="2:8" x14ac:dyDescent="0.25">
      <c r="B359" s="8">
        <v>46184</v>
      </c>
      <c r="C359" s="2">
        <v>23161.599999999999</v>
      </c>
      <c r="D359" s="3">
        <v>-2.2980880854794883E-3</v>
      </c>
      <c r="F359" s="8">
        <v>46184</v>
      </c>
      <c r="G359">
        <v>53.29</v>
      </c>
      <c r="H359" s="3">
        <f t="shared" si="5"/>
        <v>-1.460798816568043E-2</v>
      </c>
    </row>
    <row r="360" spans="2:8" x14ac:dyDescent="0.25">
      <c r="B360" s="8">
        <v>46185</v>
      </c>
      <c r="C360" s="2">
        <v>23622.9</v>
      </c>
      <c r="D360" s="3">
        <v>1.9916586073501108E-2</v>
      </c>
      <c r="F360" s="8">
        <v>46185</v>
      </c>
      <c r="G360">
        <v>55.08</v>
      </c>
      <c r="H360" s="3">
        <f t="shared" si="5"/>
        <v>3.3589791705760819E-2</v>
      </c>
    </row>
    <row r="361" spans="2:8" x14ac:dyDescent="0.25">
      <c r="B361" s="8">
        <v>46188</v>
      </c>
      <c r="C361" s="2">
        <v>23853.9</v>
      </c>
      <c r="D361" s="3">
        <v>9.7786469908436313E-3</v>
      </c>
      <c r="F361" s="8">
        <v>46188</v>
      </c>
      <c r="G361">
        <v>55.57</v>
      </c>
      <c r="H361" s="3">
        <f t="shared" si="5"/>
        <v>8.8961510530138899E-3</v>
      </c>
    </row>
    <row r="362" spans="2:8" x14ac:dyDescent="0.25">
      <c r="B362" s="8">
        <v>46189</v>
      </c>
      <c r="C362" s="2">
        <v>23989.15</v>
      </c>
      <c r="D362" s="3">
        <v>5.6699323800299961E-3</v>
      </c>
      <c r="F362" s="8">
        <v>46189</v>
      </c>
      <c r="G362">
        <v>57.92</v>
      </c>
      <c r="H362" s="3">
        <f t="shared" si="5"/>
        <v>4.2289004858736767E-2</v>
      </c>
    </row>
    <row r="363" spans="2:8" x14ac:dyDescent="0.25">
      <c r="B363" s="8">
        <v>46190</v>
      </c>
      <c r="C363" s="2">
        <v>24085.7</v>
      </c>
      <c r="D363" s="3">
        <v>4.0247361828158468E-3</v>
      </c>
      <c r="F363" s="8">
        <v>46190</v>
      </c>
      <c r="G363">
        <v>59.27</v>
      </c>
      <c r="H363" s="3">
        <f t="shared" si="5"/>
        <v>2.3308011049723687E-2</v>
      </c>
    </row>
    <row r="364" spans="2:8" x14ac:dyDescent="0.25">
      <c r="B364" s="8">
        <v>46191</v>
      </c>
      <c r="C364" s="2">
        <v>24168</v>
      </c>
      <c r="D364" s="3">
        <v>3.4169652532414219E-3</v>
      </c>
      <c r="F364" s="8">
        <v>46191</v>
      </c>
      <c r="G364">
        <v>58.44</v>
      </c>
      <c r="H364" s="3">
        <f t="shared" si="5"/>
        <v>-1.4003711827231369E-2</v>
      </c>
    </row>
    <row r="365" spans="2:8" x14ac:dyDescent="0.25">
      <c r="B365" s="8">
        <v>46192</v>
      </c>
      <c r="C365" s="2">
        <v>24013.1</v>
      </c>
      <c r="D365" s="3">
        <v>-6.4093015557763477E-3</v>
      </c>
      <c r="F365" s="8">
        <v>46192</v>
      </c>
      <c r="G365">
        <v>59.2</v>
      </c>
      <c r="H365" s="3">
        <f t="shared" si="5"/>
        <v>1.3004791238877544E-2</v>
      </c>
    </row>
    <row r="366" spans="2:8" x14ac:dyDescent="0.25">
      <c r="B366" s="8">
        <v>46195</v>
      </c>
      <c r="C366" s="2">
        <v>24102.9</v>
      </c>
      <c r="D366" s="3">
        <v>3.7396254544395102E-3</v>
      </c>
      <c r="F366" s="8">
        <v>46195</v>
      </c>
      <c r="G366">
        <v>59.31</v>
      </c>
      <c r="H366" s="3">
        <f t="shared" si="5"/>
        <v>1.8581081081081585E-3</v>
      </c>
    </row>
    <row r="367" spans="2:8" x14ac:dyDescent="0.25">
      <c r="B367" s="8">
        <v>46196</v>
      </c>
      <c r="C367" s="2">
        <v>23824.1</v>
      </c>
      <c r="D367" s="3">
        <v>-1.1567072841857318E-2</v>
      </c>
      <c r="F367" s="8">
        <v>46196</v>
      </c>
      <c r="G367">
        <v>58.29</v>
      </c>
      <c r="H367" s="3">
        <f t="shared" si="5"/>
        <v>-1.7197774405665167E-2</v>
      </c>
    </row>
    <row r="368" spans="2:8" x14ac:dyDescent="0.25">
      <c r="B368" s="8">
        <v>46197</v>
      </c>
      <c r="C368" s="2">
        <v>24021.65</v>
      </c>
      <c r="D368" s="3">
        <v>8.2920236231380784E-3</v>
      </c>
      <c r="F368" s="8">
        <v>46197</v>
      </c>
      <c r="G368">
        <v>57.91</v>
      </c>
      <c r="H368" s="3">
        <f t="shared" si="5"/>
        <v>-6.5191284954537743E-3</v>
      </c>
    </row>
    <row r="369" spans="2:8" x14ac:dyDescent="0.25">
      <c r="B369" s="8">
        <v>46198</v>
      </c>
      <c r="C369" s="2">
        <v>24056</v>
      </c>
      <c r="D369" s="3">
        <v>1.4299600568652426E-3</v>
      </c>
      <c r="F369" s="8">
        <v>46198</v>
      </c>
      <c r="G369">
        <v>57.14</v>
      </c>
      <c r="H369" s="3">
        <f t="shared" si="5"/>
        <v>-1.3296494560524841E-2</v>
      </c>
    </row>
    <row r="370" spans="2:8" x14ac:dyDescent="0.25">
      <c r="B370" s="8">
        <v>46202</v>
      </c>
      <c r="C370" s="2">
        <v>23946.25</v>
      </c>
      <c r="D370" s="3">
        <v>-4.5622713668107551E-3</v>
      </c>
      <c r="F370" s="8">
        <v>46202</v>
      </c>
      <c r="G370">
        <v>57.21</v>
      </c>
      <c r="H370" s="3">
        <f t="shared" si="5"/>
        <v>1.2250612530626537E-3</v>
      </c>
    </row>
    <row r="371" spans="2:8" x14ac:dyDescent="0.25">
      <c r="B371" s="8">
        <v>46203</v>
      </c>
      <c r="C371" s="2">
        <v>23865.75</v>
      </c>
      <c r="D371" s="3">
        <v>-3.3616954637991636E-3</v>
      </c>
      <c r="F371" s="8">
        <v>46203</v>
      </c>
      <c r="G371">
        <v>58.9</v>
      </c>
      <c r="H371" s="3">
        <f t="shared" si="5"/>
        <v>2.9540290159063121E-2</v>
      </c>
    </row>
    <row r="372" spans="2:8" x14ac:dyDescent="0.25">
      <c r="B372" s="8">
        <v>46204</v>
      </c>
      <c r="C372" s="2">
        <v>24005.85</v>
      </c>
      <c r="D372" s="3">
        <v>5.8703371987052222E-3</v>
      </c>
      <c r="F372" s="8">
        <v>46204</v>
      </c>
      <c r="G372">
        <v>58.35</v>
      </c>
      <c r="H372" s="3">
        <f t="shared" si="5"/>
        <v>-9.3378607809846415E-3</v>
      </c>
    </row>
    <row r="373" spans="2:8" x14ac:dyDescent="0.25">
      <c r="B373" s="8">
        <v>46205</v>
      </c>
      <c r="C373" s="2">
        <v>24175.7</v>
      </c>
      <c r="D373" s="3">
        <v>7.0753587146468178E-3</v>
      </c>
      <c r="F373" s="8">
        <v>46205</v>
      </c>
      <c r="G373">
        <v>57.67</v>
      </c>
      <c r="H373" s="3">
        <f t="shared" si="5"/>
        <v>-1.1653813196229601E-2</v>
      </c>
    </row>
    <row r="374" spans="2:8" x14ac:dyDescent="0.25">
      <c r="B374" s="8">
        <v>46206</v>
      </c>
      <c r="C374" s="2">
        <v>24270.85</v>
      </c>
      <c r="D374" s="3">
        <v>3.9357702155469187E-3</v>
      </c>
      <c r="F374" s="8">
        <v>46206</v>
      </c>
      <c r="G374">
        <v>56.87</v>
      </c>
      <c r="H374" s="3">
        <f t="shared" si="5"/>
        <v>-1.3872030518467193E-2</v>
      </c>
    </row>
    <row r="375" spans="2:8" x14ac:dyDescent="0.25">
      <c r="B375" s="8">
        <v>46209</v>
      </c>
      <c r="C375" s="2">
        <v>24430.35</v>
      </c>
      <c r="D375" s="3">
        <v>6.5716693070081433E-3</v>
      </c>
      <c r="F375" s="8">
        <v>46209</v>
      </c>
      <c r="G375">
        <v>55.47</v>
      </c>
      <c r="H375" s="3">
        <f t="shared" si="5"/>
        <v>-2.461754879549849E-2</v>
      </c>
    </row>
    <row r="376" spans="2:8" x14ac:dyDescent="0.25">
      <c r="B376" s="8">
        <v>46210</v>
      </c>
      <c r="C376" s="2">
        <v>24398.7</v>
      </c>
      <c r="D376" s="3">
        <v>-1.2955197121612416E-3</v>
      </c>
      <c r="F376" s="8">
        <v>46210</v>
      </c>
      <c r="G376">
        <v>54.38</v>
      </c>
      <c r="H376" s="3">
        <f t="shared" si="5"/>
        <v>-1.9650261402559877E-2</v>
      </c>
    </row>
    <row r="377" spans="2:8" x14ac:dyDescent="0.25">
      <c r="B377" s="8">
        <v>46211</v>
      </c>
      <c r="C377" s="2">
        <v>23882.05</v>
      </c>
      <c r="D377" s="3">
        <v>-2.1175308520535951E-2</v>
      </c>
      <c r="F377" s="8">
        <v>46211</v>
      </c>
      <c r="G377">
        <v>53.13</v>
      </c>
      <c r="H377" s="3">
        <f t="shared" si="5"/>
        <v>-2.2986392055902916E-2</v>
      </c>
    </row>
    <row r="378" spans="2:8" x14ac:dyDescent="0.25">
      <c r="B378" s="8">
        <v>46212</v>
      </c>
      <c r="C378" s="2">
        <v>23962.799999999999</v>
      </c>
      <c r="D378" s="3">
        <v>3.3812005250806187E-3</v>
      </c>
      <c r="F378" s="8">
        <v>46212</v>
      </c>
      <c r="G378">
        <v>53.7</v>
      </c>
      <c r="H378" s="3">
        <f t="shared" si="5"/>
        <v>1.0728402032749829E-2</v>
      </c>
    </row>
    <row r="379" spans="2:8" x14ac:dyDescent="0.25">
      <c r="B379" s="8">
        <v>46213</v>
      </c>
      <c r="C379" s="2">
        <v>24206.9</v>
      </c>
      <c r="D379" s="3">
        <v>1.0186622598360895E-2</v>
      </c>
      <c r="F379" s="8">
        <v>46213</v>
      </c>
      <c r="G379">
        <v>53.92</v>
      </c>
      <c r="H379" s="3">
        <f t="shared" si="5"/>
        <v>4.096834264432081E-3</v>
      </c>
    </row>
    <row r="380" spans="2:8" x14ac:dyDescent="0.25">
      <c r="B380" s="8">
        <v>46216</v>
      </c>
      <c r="C380" s="2">
        <v>24211</v>
      </c>
      <c r="D380" s="3">
        <v>1.6937319524590322E-4</v>
      </c>
      <c r="F380" s="8">
        <v>46216</v>
      </c>
      <c r="G380">
        <v>53.17</v>
      </c>
      <c r="H380" s="3">
        <f t="shared" si="5"/>
        <v>-1.390949554896137E-2</v>
      </c>
    </row>
    <row r="381" spans="2:8" x14ac:dyDescent="0.25">
      <c r="B381" s="8">
        <v>46217</v>
      </c>
      <c r="C381" s="2">
        <v>24052.05</v>
      </c>
      <c r="D381" s="3">
        <v>-6.5651976374375698E-3</v>
      </c>
      <c r="F381" s="8">
        <v>46217</v>
      </c>
      <c r="G381">
        <v>52.47</v>
      </c>
      <c r="H381" s="3">
        <f t="shared" si="5"/>
        <v>-1.3165318788790681E-2</v>
      </c>
    </row>
    <row r="382" spans="2:8" x14ac:dyDescent="0.25">
      <c r="B382" s="8">
        <v>46218</v>
      </c>
      <c r="C382" s="2">
        <v>24078.5</v>
      </c>
      <c r="D382" s="3">
        <v>1.0996983625095602E-3</v>
      </c>
      <c r="F382" s="8">
        <v>46218</v>
      </c>
      <c r="G382">
        <v>52.42</v>
      </c>
      <c r="H382" s="3">
        <f t="shared" si="5"/>
        <v>-9.5292548122727361E-4</v>
      </c>
    </row>
    <row r="383" spans="2:8" x14ac:dyDescent="0.25">
      <c r="B383" s="8">
        <v>46219</v>
      </c>
      <c r="C383" s="2">
        <v>24072.75</v>
      </c>
      <c r="D383" s="3">
        <v>-2.3880225097083763E-4</v>
      </c>
      <c r="F383" s="8">
        <v>46219</v>
      </c>
      <c r="G383">
        <v>51.97</v>
      </c>
      <c r="H383" s="3">
        <f t="shared" si="5"/>
        <v>-8.5845097291110672E-3</v>
      </c>
    </row>
    <row r="384" spans="2:8" x14ac:dyDescent="0.25">
      <c r="B384" s="8">
        <v>46220</v>
      </c>
      <c r="C384" s="2">
        <v>24334.3</v>
      </c>
      <c r="D384" s="3">
        <v>1.0864982189404904E-2</v>
      </c>
      <c r="F384" s="8">
        <v>46220</v>
      </c>
      <c r="G384">
        <v>51.99</v>
      </c>
      <c r="H384" s="3">
        <f t="shared" si="5"/>
        <v>3.8483740619588147E-4</v>
      </c>
    </row>
    <row r="385" spans="2:8" x14ac:dyDescent="0.25">
      <c r="B385" s="8">
        <v>46223</v>
      </c>
      <c r="C385" s="2">
        <v>24238.5</v>
      </c>
      <c r="D385" s="3">
        <v>-3.9368299067571444E-3</v>
      </c>
      <c r="F385" s="8">
        <v>46223</v>
      </c>
      <c r="G385">
        <v>53.09</v>
      </c>
      <c r="H385" s="3">
        <f t="shared" si="5"/>
        <v>2.1157914983650716E-2</v>
      </c>
    </row>
    <row r="386" spans="2:8" x14ac:dyDescent="0.25">
      <c r="B386" s="8">
        <v>46224</v>
      </c>
      <c r="C386" s="2">
        <v>24187.7</v>
      </c>
      <c r="D386" s="3">
        <v>-2.0958392639808254E-3</v>
      </c>
      <c r="F386" s="8">
        <v>46224</v>
      </c>
      <c r="G386">
        <v>53.17</v>
      </c>
      <c r="H386" s="3">
        <f t="shared" si="5"/>
        <v>1.5068751177245154E-3</v>
      </c>
    </row>
    <row r="387" spans="2:8" x14ac:dyDescent="0.25">
      <c r="B387" s="8">
        <v>46225</v>
      </c>
      <c r="C387" s="2">
        <v>23996.25</v>
      </c>
      <c r="D387" s="3">
        <v>-7.9151800295191865E-3</v>
      </c>
      <c r="F387" s="8">
        <v>46225</v>
      </c>
      <c r="G387">
        <v>53.01</v>
      </c>
      <c r="H387" s="3">
        <f t="shared" si="5"/>
        <v>-3.0092157231522698E-3</v>
      </c>
    </row>
    <row r="388" spans="2:8" x14ac:dyDescent="0.25">
      <c r="B388" s="8">
        <v>46226</v>
      </c>
      <c r="C388" s="2">
        <v>23869.599999999999</v>
      </c>
      <c r="D388" s="3">
        <v>-5.2779080064594419E-3</v>
      </c>
      <c r="F388" s="8">
        <v>46226</v>
      </c>
      <c r="G388">
        <v>52.39</v>
      </c>
      <c r="H388" s="3">
        <f t="shared" si="5"/>
        <v>-1.1695906432748537E-2</v>
      </c>
    </row>
    <row r="389" spans="2:8" x14ac:dyDescent="0.25">
      <c r="B389" s="8">
        <v>46227</v>
      </c>
      <c r="C389" s="2">
        <v>23767.45</v>
      </c>
      <c r="D389" s="3">
        <v>-4.2795019606527429E-3</v>
      </c>
      <c r="F389" s="8">
        <v>46227</v>
      </c>
      <c r="G389">
        <v>52.28</v>
      </c>
      <c r="H389" s="3">
        <f t="shared" ref="H389:H415" si="6">G389/G388-1</f>
        <v>-2.0996373353693309E-3</v>
      </c>
    </row>
    <row r="390" spans="2:8" x14ac:dyDescent="0.25">
      <c r="B390" s="8">
        <v>46230</v>
      </c>
      <c r="C390" s="2">
        <v>23995.95</v>
      </c>
      <c r="D390" s="3">
        <v>9.6139888797495132E-3</v>
      </c>
      <c r="F390" s="8">
        <v>46230</v>
      </c>
      <c r="G390">
        <v>53.15</v>
      </c>
      <c r="H390" s="3">
        <f t="shared" si="6"/>
        <v>1.6641162968630496E-2</v>
      </c>
    </row>
    <row r="391" spans="2:8" x14ac:dyDescent="0.25">
      <c r="B391" s="8">
        <v>46231</v>
      </c>
      <c r="C391" s="2">
        <v>23985.35</v>
      </c>
      <c r="D391" s="3">
        <v>-4.4174121049600501E-4</v>
      </c>
      <c r="F391" s="8">
        <v>46231</v>
      </c>
      <c r="G391">
        <v>48.02</v>
      </c>
      <c r="H391" s="3">
        <f t="shared" si="6"/>
        <v>-9.6519285042332981E-2</v>
      </c>
    </row>
    <row r="392" spans="2:8" x14ac:dyDescent="0.25">
      <c r="B392" s="8">
        <v>46232</v>
      </c>
      <c r="C392" s="2">
        <v>24250.2</v>
      </c>
      <c r="D392" s="3">
        <v>1.1042156983325224E-2</v>
      </c>
      <c r="F392" s="8">
        <v>46232</v>
      </c>
      <c r="G392">
        <v>47.45</v>
      </c>
      <c r="H392" s="3">
        <f t="shared" si="6"/>
        <v>-1.1870054144106579E-2</v>
      </c>
    </row>
    <row r="393" spans="2:8" x14ac:dyDescent="0.25">
      <c r="B393" s="8">
        <v>46233</v>
      </c>
      <c r="C393" s="2">
        <v>24317.15</v>
      </c>
      <c r="D393" s="3">
        <v>2.7608019727671795E-3</v>
      </c>
      <c r="F393" s="8">
        <v>46233</v>
      </c>
      <c r="G393">
        <v>47.4</v>
      </c>
      <c r="H393" s="3">
        <f t="shared" si="6"/>
        <v>-1.0537407797682752E-3</v>
      </c>
    </row>
    <row r="394" spans="2:8" x14ac:dyDescent="0.25">
      <c r="B394" s="8">
        <v>46234</v>
      </c>
      <c r="C394" s="2">
        <v>24383.599999999999</v>
      </c>
      <c r="D394" s="3">
        <v>2.7326393101163582E-3</v>
      </c>
      <c r="F394" s="8">
        <v>46234</v>
      </c>
      <c r="G394">
        <v>48.01</v>
      </c>
      <c r="H394" s="3">
        <f t="shared" si="6"/>
        <v>1.2869198312236207E-2</v>
      </c>
    </row>
    <row r="395" spans="2:8" x14ac:dyDescent="0.25">
      <c r="B395" s="8">
        <v>46237</v>
      </c>
      <c r="C395" s="2">
        <v>24774.3</v>
      </c>
      <c r="D395" s="3">
        <v>1.6023064682819665E-2</v>
      </c>
      <c r="F395" s="8">
        <v>46237</v>
      </c>
      <c r="G395">
        <v>48.1</v>
      </c>
      <c r="H395" s="3">
        <f t="shared" si="6"/>
        <v>1.8746094563633076E-3</v>
      </c>
    </row>
    <row r="396" spans="2:8" x14ac:dyDescent="0.25">
      <c r="B396" s="8">
        <v>46238</v>
      </c>
      <c r="C396" s="2">
        <v>24614.9</v>
      </c>
      <c r="D396" s="3">
        <v>-6.4340869368659792E-3</v>
      </c>
      <c r="F396" s="8">
        <v>46238</v>
      </c>
      <c r="G396">
        <v>48.01</v>
      </c>
      <c r="H396" s="3">
        <f t="shared" si="6"/>
        <v>-1.8711018711019545E-3</v>
      </c>
    </row>
    <row r="397" spans="2:8" x14ac:dyDescent="0.25">
      <c r="B397" s="8">
        <v>46239</v>
      </c>
      <c r="C397" s="2">
        <v>24624.65</v>
      </c>
      <c r="D397" s="3">
        <v>3.9610154824920585E-4</v>
      </c>
      <c r="F397" s="8">
        <v>46239</v>
      </c>
      <c r="G397">
        <v>48.15</v>
      </c>
      <c r="H397" s="3">
        <f t="shared" si="6"/>
        <v>2.9160591543428982E-3</v>
      </c>
    </row>
    <row r="398" spans="2:8" x14ac:dyDescent="0.25">
      <c r="B398" s="8">
        <v>46240</v>
      </c>
      <c r="C398" s="2">
        <v>24636</v>
      </c>
      <c r="D398" s="3">
        <v>4.6092025673449832E-4</v>
      </c>
      <c r="F398" s="8">
        <v>46240</v>
      </c>
      <c r="G398">
        <v>48.1</v>
      </c>
      <c r="H398" s="3">
        <f t="shared" si="6"/>
        <v>-1.0384215991692258E-3</v>
      </c>
    </row>
    <row r="399" spans="2:8" x14ac:dyDescent="0.25">
      <c r="B399" s="8">
        <v>46241</v>
      </c>
      <c r="C399" s="2">
        <v>24570.65</v>
      </c>
      <c r="D399" s="3">
        <v>-2.6526221789251458E-3</v>
      </c>
      <c r="F399" s="8">
        <v>46241</v>
      </c>
      <c r="G399">
        <v>48.15</v>
      </c>
      <c r="H399" s="3">
        <f t="shared" si="6"/>
        <v>1.0395010395010118E-3</v>
      </c>
    </row>
    <row r="400" spans="2:8" x14ac:dyDescent="0.25">
      <c r="B400" s="8">
        <v>46244</v>
      </c>
      <c r="C400" s="2">
        <v>24583.8</v>
      </c>
      <c r="D400" s="3">
        <v>5.3519137670332562E-4</v>
      </c>
      <c r="F400" s="8">
        <v>46244</v>
      </c>
      <c r="G400">
        <v>47.5</v>
      </c>
      <c r="H400" s="3">
        <f t="shared" si="6"/>
        <v>-1.349948078920038E-2</v>
      </c>
    </row>
    <row r="401" spans="2:8" x14ac:dyDescent="0.25">
      <c r="B401" s="8">
        <v>46245</v>
      </c>
      <c r="C401" s="2">
        <v>24471.7</v>
      </c>
      <c r="D401" s="3">
        <v>-4.5599134389312512E-3</v>
      </c>
      <c r="F401" s="8">
        <v>46245</v>
      </c>
      <c r="G401">
        <v>47.5</v>
      </c>
      <c r="H401" s="3">
        <f t="shared" si="6"/>
        <v>0</v>
      </c>
    </row>
    <row r="402" spans="2:8" x14ac:dyDescent="0.25">
      <c r="B402" s="8">
        <v>46246</v>
      </c>
      <c r="C402" s="2">
        <v>24435.95</v>
      </c>
      <c r="D402" s="3">
        <v>-1.4608711286915321E-3</v>
      </c>
      <c r="F402" s="8">
        <v>46246</v>
      </c>
      <c r="G402">
        <v>47.35</v>
      </c>
      <c r="H402" s="3">
        <f t="shared" si="6"/>
        <v>-3.1578947368420263E-3</v>
      </c>
    </row>
    <row r="403" spans="2:8" x14ac:dyDescent="0.25">
      <c r="B403" s="8">
        <v>46247</v>
      </c>
      <c r="C403" s="2">
        <v>24395.85</v>
      </c>
      <c r="D403" s="3">
        <v>-1.6410248015731321E-3</v>
      </c>
      <c r="F403" s="8">
        <v>46247</v>
      </c>
      <c r="G403">
        <v>47.61</v>
      </c>
      <c r="H403" s="3">
        <f t="shared" si="6"/>
        <v>5.4910242872228121E-3</v>
      </c>
    </row>
    <row r="404" spans="2:8" x14ac:dyDescent="0.25">
      <c r="B404" s="8">
        <v>46248</v>
      </c>
      <c r="C404" s="2">
        <v>24366</v>
      </c>
      <c r="D404" s="3">
        <v>-1.2235687627197844E-3</v>
      </c>
      <c r="F404" s="8">
        <v>46248</v>
      </c>
      <c r="G404">
        <v>47.1</v>
      </c>
      <c r="H404" s="3">
        <f t="shared" si="6"/>
        <v>-1.0712035286704391E-2</v>
      </c>
    </row>
    <row r="405" spans="2:8" x14ac:dyDescent="0.25">
      <c r="B405" s="8">
        <v>46251</v>
      </c>
      <c r="C405" s="2">
        <v>24287.65</v>
      </c>
      <c r="D405" s="3">
        <v>-3.2155462529753764E-3</v>
      </c>
      <c r="F405" s="8">
        <v>46251</v>
      </c>
      <c r="G405">
        <v>49</v>
      </c>
      <c r="H405" s="3">
        <f t="shared" si="6"/>
        <v>4.0339702760084917E-2</v>
      </c>
    </row>
    <row r="406" spans="2:8" x14ac:dyDescent="0.25">
      <c r="B406" s="8">
        <v>46252</v>
      </c>
      <c r="C406" s="2">
        <v>24154.9</v>
      </c>
      <c r="D406" s="3">
        <v>-5.4657408188935053E-3</v>
      </c>
      <c r="F406" s="8">
        <v>46252</v>
      </c>
      <c r="G406">
        <v>47.78</v>
      </c>
      <c r="H406" s="3">
        <f t="shared" si="6"/>
        <v>-2.4897959183673435E-2</v>
      </c>
    </row>
    <row r="407" spans="2:8" x14ac:dyDescent="0.25">
      <c r="B407" s="8">
        <v>46253</v>
      </c>
      <c r="C407" s="2">
        <v>24078.3</v>
      </c>
      <c r="D407" s="3">
        <v>-3.1711992183781623E-3</v>
      </c>
      <c r="F407" s="8">
        <v>46253</v>
      </c>
      <c r="G407">
        <v>46.77</v>
      </c>
      <c r="H407" s="3">
        <f t="shared" si="6"/>
        <v>-2.1138551695269903E-2</v>
      </c>
    </row>
    <row r="408" spans="2:8" x14ac:dyDescent="0.25">
      <c r="B408" s="8">
        <v>46254</v>
      </c>
      <c r="C408" s="2">
        <v>24231.85</v>
      </c>
      <c r="D408" s="3">
        <v>6.3771113409167857E-3</v>
      </c>
      <c r="F408" s="8">
        <v>46254</v>
      </c>
      <c r="G408">
        <v>47</v>
      </c>
      <c r="H408" s="3">
        <f t="shared" si="6"/>
        <v>4.917682274962587E-3</v>
      </c>
    </row>
    <row r="409" spans="2:8" x14ac:dyDescent="0.25">
      <c r="B409" s="8">
        <v>46255</v>
      </c>
      <c r="C409" s="2">
        <v>24252</v>
      </c>
      <c r="D409" s="3">
        <v>8.3155021180814082E-4</v>
      </c>
      <c r="F409" s="8">
        <v>46255</v>
      </c>
      <c r="G409">
        <v>46.71</v>
      </c>
      <c r="H409" s="3">
        <f t="shared" si="6"/>
        <v>-6.1702127659574169E-3</v>
      </c>
    </row>
    <row r="410" spans="2:8" x14ac:dyDescent="0.25">
      <c r="B410" s="8">
        <v>46258</v>
      </c>
      <c r="C410" s="2">
        <v>24219.05</v>
      </c>
      <c r="D410" s="3">
        <v>-1.3586508329209712E-3</v>
      </c>
      <c r="F410" s="8">
        <v>46258</v>
      </c>
      <c r="G410">
        <v>47.05</v>
      </c>
      <c r="H410" s="3">
        <f t="shared" si="6"/>
        <v>7.2789552558338855E-3</v>
      </c>
    </row>
    <row r="411" spans="2:8" x14ac:dyDescent="0.25">
      <c r="B411" s="8">
        <v>46259</v>
      </c>
      <c r="C411" s="2">
        <v>24334.55</v>
      </c>
      <c r="D411" s="3">
        <v>4.7689731843321148E-3</v>
      </c>
      <c r="F411" s="8">
        <v>46259</v>
      </c>
      <c r="G411">
        <v>46.75</v>
      </c>
      <c r="H411" s="3">
        <f t="shared" si="6"/>
        <v>-6.3761955366630207E-3</v>
      </c>
    </row>
    <row r="412" spans="2:8" x14ac:dyDescent="0.25">
      <c r="B412" s="8">
        <v>46260</v>
      </c>
      <c r="C412" s="2">
        <v>24207.75</v>
      </c>
      <c r="D412" s="3">
        <v>-5.2106983691910802E-3</v>
      </c>
      <c r="F412" s="8">
        <v>46260</v>
      </c>
      <c r="G412">
        <v>46.94</v>
      </c>
      <c r="H412" s="3">
        <f t="shared" si="6"/>
        <v>4.0641711229945088E-3</v>
      </c>
    </row>
    <row r="413" spans="2:8" x14ac:dyDescent="0.25">
      <c r="B413" s="8">
        <v>46261</v>
      </c>
      <c r="C413" s="2">
        <v>24090.85</v>
      </c>
      <c r="D413" s="3">
        <v>-4.829032024868174E-3</v>
      </c>
      <c r="F413" s="8">
        <v>46261</v>
      </c>
      <c r="G413">
        <v>46.81</v>
      </c>
      <c r="H413" s="3">
        <f t="shared" si="6"/>
        <v>-2.7694929697484882E-3</v>
      </c>
    </row>
    <row r="414" spans="2:8" x14ac:dyDescent="0.25">
      <c r="B414" s="8">
        <v>46262</v>
      </c>
      <c r="C414" s="2">
        <v>24175.65</v>
      </c>
      <c r="D414" s="3">
        <v>3.5200086339834957E-3</v>
      </c>
      <c r="F414" s="8">
        <v>46262</v>
      </c>
      <c r="G414">
        <v>46.79</v>
      </c>
      <c r="H414" s="3">
        <f t="shared" si="6"/>
        <v>-4.2725913266405957E-4</v>
      </c>
    </row>
    <row r="415" spans="2:8" x14ac:dyDescent="0.25">
      <c r="B415" s="8">
        <v>46265</v>
      </c>
      <c r="C415" s="2">
        <v>24080.400000000001</v>
      </c>
      <c r="D415" s="3">
        <v>-3.9399147489312947E-3</v>
      </c>
      <c r="F415" s="8">
        <v>46265</v>
      </c>
      <c r="G415">
        <v>47.52</v>
      </c>
      <c r="H415" s="3">
        <f t="shared" si="6"/>
        <v>1.560162427869205E-2</v>
      </c>
    </row>
  </sheetData>
  <mergeCells count="2">
    <mergeCell ref="J3:Q3"/>
    <mergeCell ref="J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Harsh Mittal</cp:lastModifiedBy>
  <dcterms:created xsi:type="dcterms:W3CDTF">2015-06-05T18:17:20Z</dcterms:created>
  <dcterms:modified xsi:type="dcterms:W3CDTF">2026-10-16T09:49:27Z</dcterms:modified>
</cp:coreProperties>
</file>