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C2B8C1C-6CBF-4AA9-85C5-0A6329678012}" xr6:coauthVersionLast="47" xr6:coauthVersionMax="47" xr10:uidLastSave="{00000000-0000-0000-0000-000000000000}"/>
  <bookViews>
    <workbookView xWindow="-120" yWindow="-120" windowWidth="20730" windowHeight="11760" activeTab="1" xr2:uid="{335229A4-45EC-47A0-984B-EEEAEF58DAAF}"/>
  </bookViews>
  <sheets>
    <sheet name="Cement Co." sheetId="1" r:id="rId1"/>
    <sheet name="Assessing CF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2" i="2" l="1"/>
  <c r="L42" i="2"/>
  <c r="K42" i="2"/>
  <c r="J42" i="2"/>
  <c r="I42" i="2"/>
  <c r="H42" i="2"/>
  <c r="G42" i="2"/>
  <c r="F42" i="2"/>
  <c r="E42" i="2"/>
  <c r="D42" i="2"/>
  <c r="C42" i="2"/>
  <c r="B42" i="2"/>
  <c r="B34" i="2"/>
  <c r="N34" i="2" s="1"/>
  <c r="M34" i="2"/>
  <c r="L34" i="2"/>
  <c r="K34" i="2"/>
  <c r="J34" i="2"/>
  <c r="I34" i="2"/>
  <c r="H34" i="2"/>
  <c r="G34" i="2"/>
  <c r="F34" i="2"/>
  <c r="E34" i="2"/>
  <c r="D34" i="2"/>
  <c r="C34" i="2"/>
  <c r="B26" i="2"/>
  <c r="M26" i="2"/>
  <c r="L26" i="2"/>
  <c r="K26" i="2"/>
  <c r="J26" i="2"/>
  <c r="I26" i="2"/>
  <c r="H26" i="2"/>
  <c r="G26" i="2"/>
  <c r="F26" i="2"/>
  <c r="E26" i="2"/>
  <c r="D26" i="2"/>
  <c r="C26" i="2"/>
  <c r="B18" i="2"/>
  <c r="M18" i="2"/>
  <c r="L18" i="2"/>
  <c r="K18" i="2"/>
  <c r="J18" i="2"/>
  <c r="I18" i="2"/>
  <c r="H18" i="2"/>
  <c r="G18" i="2"/>
  <c r="F18" i="2"/>
  <c r="E18" i="2"/>
  <c r="D18" i="2"/>
  <c r="C18" i="2"/>
  <c r="M10" i="2"/>
  <c r="L10" i="2"/>
  <c r="K10" i="2"/>
  <c r="J10" i="2"/>
  <c r="I10" i="2"/>
  <c r="H10" i="2"/>
  <c r="G10" i="2"/>
  <c r="F10" i="2"/>
  <c r="E10" i="2"/>
  <c r="D10" i="2"/>
  <c r="C10" i="2"/>
  <c r="B10" i="2"/>
  <c r="O26" i="2" l="1"/>
  <c r="N26" i="2"/>
  <c r="O18" i="2"/>
  <c r="N18" i="2"/>
  <c r="O10" i="2"/>
  <c r="N10" i="2"/>
  <c r="N42" i="2"/>
  <c r="O42" i="2"/>
  <c r="O34" i="2"/>
</calcChain>
</file>

<file path=xl/sharedStrings.xml><?xml version="1.0" encoding="utf-8"?>
<sst xmlns="http://schemas.openxmlformats.org/spreadsheetml/2006/main" count="50" uniqueCount="30">
  <si>
    <t>S.No.</t>
  </si>
  <si>
    <t>Name</t>
  </si>
  <si>
    <t>P/E</t>
  </si>
  <si>
    <t>UltraTech Cem.</t>
  </si>
  <si>
    <t>Grasim Inds</t>
  </si>
  <si>
    <t>Ambuja Cements</t>
  </si>
  <si>
    <t>Shree Cement</t>
  </si>
  <si>
    <t>J K Cements</t>
  </si>
  <si>
    <t>CMP Rs.</t>
  </si>
  <si>
    <t xml:space="preserve">Mar Cap Rs.Cr. </t>
  </si>
  <si>
    <t>Div Yld %</t>
  </si>
  <si>
    <t>NP Qtr Rs.Cr.</t>
  </si>
  <si>
    <t>Qtr Profit Var %</t>
  </si>
  <si>
    <t>Sales Qtr Rs.Cr.</t>
  </si>
  <si>
    <t>Qtr Sales Var %</t>
  </si>
  <si>
    <t>ROCE %</t>
  </si>
  <si>
    <t>Assessing the income quality basis on net profit and cash flow operating activities</t>
  </si>
  <si>
    <t xml:space="preserve">Cement Companies </t>
  </si>
  <si>
    <t>UltraTech Cement Ltd</t>
  </si>
  <si>
    <t xml:space="preserve">Average </t>
  </si>
  <si>
    <t>Median</t>
  </si>
  <si>
    <t>NP/CFO</t>
  </si>
  <si>
    <t xml:space="preserve">Net Profit </t>
  </si>
  <si>
    <t xml:space="preserve">Cash from Operating Activity </t>
  </si>
  <si>
    <t>Grasim Industries Ltd</t>
  </si>
  <si>
    <t>Ambuja Cements Ltd</t>
  </si>
  <si>
    <t>Shree Cement Ltd</t>
  </si>
  <si>
    <t>J K Cements Ltd</t>
  </si>
  <si>
    <t xml:space="preserve">Concern </t>
  </si>
  <si>
    <t xml:space="preserve">Consistent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</si>
</sst>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2060"/>
      <name val="Calibri"/>
      <family val="2"/>
    </font>
    <font>
      <sz val="11"/>
      <color rgb="FF0070C0"/>
      <name val="Calibri"/>
      <family val="2"/>
    </font>
    <font>
      <u/>
      <sz val="18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3" fontId="0" fillId="0" borderId="0" xfId="0" applyNumberFormat="1"/>
    <xf numFmtId="0" fontId="0" fillId="0" borderId="0" xfId="0" applyAlignment="1">
      <alignment vertical="center"/>
    </xf>
    <xf numFmtId="1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/>
    <xf numFmtId="2" fontId="1" fillId="0" borderId="3" xfId="0" applyNumberFormat="1" applyFont="1" applyBorder="1"/>
    <xf numFmtId="2" fontId="1" fillId="2" borderId="3" xfId="0" applyNumberFormat="1" applyFont="1" applyFill="1" applyBorder="1"/>
    <xf numFmtId="0" fontId="5" fillId="3" borderId="0" xfId="0" applyFont="1" applyFill="1"/>
    <xf numFmtId="0" fontId="6" fillId="0" borderId="0" xfId="0" applyFont="1"/>
    <xf numFmtId="2" fontId="1" fillId="0" borderId="0" xfId="0" applyNumberFormat="1" applyFont="1"/>
    <xf numFmtId="2" fontId="1" fillId="4" borderId="0" xfId="0" applyNumberFormat="1" applyFont="1" applyFill="1"/>
    <xf numFmtId="2" fontId="1" fillId="5" borderId="3" xfId="0" applyNumberFormat="1" applyFont="1" applyFill="1" applyBorder="1"/>
    <xf numFmtId="0" fontId="0" fillId="5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9306-BE9A-4F98-A59C-FFC9024F146C}">
  <dimension ref="B2:L9"/>
  <sheetViews>
    <sheetView showGridLines="0" workbookViewId="0">
      <selection activeCell="C23" sqref="C23"/>
    </sheetView>
  </sheetViews>
  <sheetFormatPr defaultRowHeight="15" x14ac:dyDescent="0.25"/>
  <cols>
    <col min="2" max="2" width="5.7109375" bestFit="1" customWidth="1"/>
    <col min="3" max="3" width="16.28515625" bestFit="1" customWidth="1"/>
    <col min="4" max="4" width="9" bestFit="1" customWidth="1"/>
    <col min="5" max="5" width="6" bestFit="1" customWidth="1"/>
    <col min="6" max="6" width="14.28515625" bestFit="1" customWidth="1"/>
    <col min="8" max="8" width="12.28515625" bestFit="1" customWidth="1"/>
    <col min="9" max="9" width="14.85546875" bestFit="1" customWidth="1"/>
    <col min="10" max="11" width="14.42578125" bestFit="1" customWidth="1"/>
    <col min="12" max="12" width="7.7109375" bestFit="1" customWidth="1"/>
  </cols>
  <sheetData>
    <row r="2" spans="2:12" ht="23.25" x14ac:dyDescent="0.35">
      <c r="F2" s="5" t="s">
        <v>17</v>
      </c>
    </row>
    <row r="3" spans="2:12" ht="15.75" thickBot="1" x14ac:dyDescent="0.3"/>
    <row r="4" spans="2:12" ht="15.75" thickBot="1" x14ac:dyDescent="0.3">
      <c r="B4" s="2" t="s">
        <v>0</v>
      </c>
      <c r="C4" s="2" t="s">
        <v>1</v>
      </c>
      <c r="D4" s="2" t="s">
        <v>8</v>
      </c>
      <c r="E4" s="2" t="s">
        <v>2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</row>
    <row r="5" spans="2:12" x14ac:dyDescent="0.25">
      <c r="B5" s="3">
        <v>1</v>
      </c>
      <c r="C5" s="3" t="s">
        <v>3</v>
      </c>
      <c r="D5" s="3">
        <v>11473.55</v>
      </c>
      <c r="E5" s="3">
        <v>40.880000000000003</v>
      </c>
      <c r="F5" s="3">
        <v>338101.62</v>
      </c>
      <c r="G5" s="3">
        <v>0.69</v>
      </c>
      <c r="H5" s="3">
        <v>3000.02</v>
      </c>
      <c r="I5" s="3">
        <v>20.14</v>
      </c>
      <c r="J5" s="3">
        <v>25799.47</v>
      </c>
      <c r="K5" s="3">
        <v>11.86</v>
      </c>
      <c r="L5" s="3">
        <v>12.78</v>
      </c>
    </row>
    <row r="6" spans="2:12" x14ac:dyDescent="0.25">
      <c r="B6" s="4">
        <v>2</v>
      </c>
      <c r="C6" s="4" t="s">
        <v>4</v>
      </c>
      <c r="D6" s="4">
        <v>3140</v>
      </c>
      <c r="E6" s="4">
        <v>42.09</v>
      </c>
      <c r="F6" s="4">
        <v>213684.16</v>
      </c>
      <c r="G6" s="4">
        <v>0.32</v>
      </c>
      <c r="H6" s="4">
        <v>3802.23</v>
      </c>
      <c r="I6" s="4">
        <v>30.85</v>
      </c>
      <c r="J6" s="4">
        <v>51101.11</v>
      </c>
      <c r="K6" s="4">
        <v>15.44</v>
      </c>
      <c r="L6" s="4">
        <v>8.07</v>
      </c>
    </row>
    <row r="7" spans="2:12" x14ac:dyDescent="0.25">
      <c r="B7" s="4">
        <v>3</v>
      </c>
      <c r="C7" s="4" t="s">
        <v>5</v>
      </c>
      <c r="D7" s="4">
        <v>419.2</v>
      </c>
      <c r="E7" s="4">
        <v>20.86</v>
      </c>
      <c r="F7" s="4">
        <v>104200.59</v>
      </c>
      <c r="G7" s="4">
        <v>0.48</v>
      </c>
      <c r="H7" s="4">
        <v>1857.43</v>
      </c>
      <c r="I7" s="4">
        <v>102.92</v>
      </c>
      <c r="J7" s="4">
        <v>10915.47</v>
      </c>
      <c r="K7" s="4">
        <v>9.3699999999999992</v>
      </c>
      <c r="L7" s="4">
        <v>5.61</v>
      </c>
    </row>
    <row r="8" spans="2:12" x14ac:dyDescent="0.25">
      <c r="B8" s="4">
        <v>4</v>
      </c>
      <c r="C8" s="4" t="s">
        <v>6</v>
      </c>
      <c r="D8" s="4">
        <v>25949</v>
      </c>
      <c r="E8" s="4">
        <v>53.71</v>
      </c>
      <c r="F8" s="4">
        <v>93625.98</v>
      </c>
      <c r="G8" s="4">
        <v>0.44</v>
      </c>
      <c r="H8" s="4">
        <v>527.53</v>
      </c>
      <c r="I8" s="4">
        <v>-8.4700000000000006</v>
      </c>
      <c r="J8" s="4">
        <v>6101</v>
      </c>
      <c r="K8" s="4">
        <v>10.29</v>
      </c>
      <c r="L8" s="4">
        <v>10.48</v>
      </c>
    </row>
    <row r="9" spans="2:12" x14ac:dyDescent="0.25">
      <c r="B9" s="4">
        <v>5</v>
      </c>
      <c r="C9" s="4" t="s">
        <v>7</v>
      </c>
      <c r="D9" s="4">
        <v>5427.2</v>
      </c>
      <c r="E9" s="4">
        <v>40.94</v>
      </c>
      <c r="F9" s="4">
        <v>41934.980000000003</v>
      </c>
      <c r="G9" s="4">
        <v>0.37</v>
      </c>
      <c r="H9" s="4">
        <v>330.88</v>
      </c>
      <c r="I9" s="4">
        <v>-7.62</v>
      </c>
      <c r="J9" s="4">
        <v>3887.5</v>
      </c>
      <c r="K9" s="4">
        <v>8.5500000000000007</v>
      </c>
      <c r="L9" s="4">
        <v>15.1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4916-57F2-4F92-A2AD-3EF9396F26FC}">
  <dimension ref="A2:O42"/>
  <sheetViews>
    <sheetView showGridLines="0" tabSelected="1" workbookViewId="0">
      <selection activeCell="E10" sqref="E10"/>
    </sheetView>
  </sheetViews>
  <sheetFormatPr defaultRowHeight="15" x14ac:dyDescent="0.25"/>
  <cols>
    <col min="1" max="1" width="28.28515625" bestFit="1" customWidth="1"/>
    <col min="2" max="13" width="9.5703125" bestFit="1" customWidth="1"/>
  </cols>
  <sheetData>
    <row r="2" spans="1:15" ht="18.75" x14ac:dyDescent="0.3">
      <c r="B2" s="16" t="s">
        <v>16</v>
      </c>
    </row>
    <row r="3" spans="1:15" x14ac:dyDescent="0.25">
      <c r="N3" s="21"/>
      <c r="O3" s="1" t="s">
        <v>29</v>
      </c>
    </row>
    <row r="4" spans="1:15" ht="15.75" x14ac:dyDescent="0.25">
      <c r="A4" s="15" t="s">
        <v>18</v>
      </c>
      <c r="N4" s="20"/>
      <c r="O4" s="1" t="s">
        <v>28</v>
      </c>
    </row>
    <row r="6" spans="1:15" x14ac:dyDescent="0.25">
      <c r="A6" s="7"/>
      <c r="B6" s="8">
        <v>42064</v>
      </c>
      <c r="C6" s="8">
        <v>42430</v>
      </c>
      <c r="D6" s="8">
        <v>42795</v>
      </c>
      <c r="E6" s="8">
        <v>43160</v>
      </c>
      <c r="F6" s="8">
        <v>43525</v>
      </c>
      <c r="G6" s="8">
        <v>43891</v>
      </c>
      <c r="H6" s="8">
        <v>44256</v>
      </c>
      <c r="I6" s="8">
        <v>44621</v>
      </c>
      <c r="J6" s="8">
        <v>44986</v>
      </c>
      <c r="K6" s="8">
        <v>45352</v>
      </c>
      <c r="L6" s="8">
        <v>45717</v>
      </c>
      <c r="M6" s="8">
        <v>46082</v>
      </c>
      <c r="N6" s="11" t="s">
        <v>19</v>
      </c>
      <c r="O6" s="11" t="s">
        <v>20</v>
      </c>
    </row>
    <row r="7" spans="1:15" x14ac:dyDescent="0.25">
      <c r="A7" s="9" t="s">
        <v>22</v>
      </c>
      <c r="B7" s="10">
        <v>2102</v>
      </c>
      <c r="C7" s="10">
        <v>2480</v>
      </c>
      <c r="D7" s="10">
        <v>2714</v>
      </c>
      <c r="E7" s="10">
        <v>2224</v>
      </c>
      <c r="F7" s="10">
        <v>2400</v>
      </c>
      <c r="G7" s="10">
        <v>5751</v>
      </c>
      <c r="H7" s="10">
        <v>5462</v>
      </c>
      <c r="I7" s="10">
        <v>7334</v>
      </c>
      <c r="J7" s="10">
        <v>5073</v>
      </c>
      <c r="K7" s="10">
        <v>7004</v>
      </c>
      <c r="L7" s="10">
        <v>6040</v>
      </c>
      <c r="M7" s="10">
        <v>8188</v>
      </c>
      <c r="N7" s="7"/>
      <c r="O7" s="7"/>
    </row>
    <row r="8" spans="1:15" x14ac:dyDescent="0.25">
      <c r="A8" s="9" t="s">
        <v>23</v>
      </c>
      <c r="B8" s="10">
        <v>4190</v>
      </c>
      <c r="C8" s="10">
        <v>4526</v>
      </c>
      <c r="D8" s="10">
        <v>5005</v>
      </c>
      <c r="E8" s="10">
        <v>3888</v>
      </c>
      <c r="F8" s="10">
        <v>5956</v>
      </c>
      <c r="G8" s="10">
        <v>8972</v>
      </c>
      <c r="H8" s="10">
        <v>12500</v>
      </c>
      <c r="I8" s="10">
        <v>9283</v>
      </c>
      <c r="J8" s="10">
        <v>9069</v>
      </c>
      <c r="K8" s="10">
        <v>10898</v>
      </c>
      <c r="L8" s="10">
        <v>10673</v>
      </c>
      <c r="M8" s="10">
        <v>15316</v>
      </c>
      <c r="N8" s="7"/>
      <c r="O8" s="7"/>
    </row>
    <row r="9" spans="1:15" ht="15.75" thickBot="1" x14ac:dyDescent="0.3"/>
    <row r="10" spans="1:15" x14ac:dyDescent="0.25">
      <c r="A10" s="12" t="s">
        <v>21</v>
      </c>
      <c r="B10" s="13">
        <f>B7/B8</f>
        <v>0.50167064439140807</v>
      </c>
      <c r="C10" s="13">
        <f t="shared" ref="C10:M10" si="0">C7/C8</f>
        <v>0.54794520547945202</v>
      </c>
      <c r="D10" s="13">
        <f t="shared" si="0"/>
        <v>0.54225774225774226</v>
      </c>
      <c r="E10" s="13">
        <f t="shared" si="0"/>
        <v>0.57201646090534974</v>
      </c>
      <c r="F10" s="13">
        <f t="shared" si="0"/>
        <v>0.40295500335795836</v>
      </c>
      <c r="G10" s="13">
        <f t="shared" si="0"/>
        <v>0.64099420419081587</v>
      </c>
      <c r="H10" s="13">
        <f t="shared" si="0"/>
        <v>0.43696000000000002</v>
      </c>
      <c r="I10" s="13">
        <f t="shared" si="0"/>
        <v>0.79004632123236018</v>
      </c>
      <c r="J10" s="13">
        <f t="shared" si="0"/>
        <v>0.55937810122394971</v>
      </c>
      <c r="K10" s="13">
        <f t="shared" si="0"/>
        <v>0.64268673151036892</v>
      </c>
      <c r="L10" s="13">
        <f t="shared" si="0"/>
        <v>0.56591398856928699</v>
      </c>
      <c r="M10" s="13">
        <f t="shared" si="0"/>
        <v>0.53460433533559681</v>
      </c>
      <c r="N10" s="14">
        <f>AVERAGE(B10:M10)</f>
        <v>0.5614523948711907</v>
      </c>
      <c r="O10" s="14">
        <f>MEDIAN(B10:M10)</f>
        <v>0.55366165335170092</v>
      </c>
    </row>
    <row r="13" spans="1:15" ht="15.75" x14ac:dyDescent="0.25">
      <c r="A13" s="15" t="s">
        <v>24</v>
      </c>
    </row>
    <row r="14" spans="1:15" x14ac:dyDescent="0.25">
      <c r="B14" s="8">
        <v>42064</v>
      </c>
      <c r="C14" s="8">
        <v>42430</v>
      </c>
      <c r="D14" s="8">
        <v>42795</v>
      </c>
      <c r="E14" s="8">
        <v>43160</v>
      </c>
      <c r="F14" s="8">
        <v>43525</v>
      </c>
      <c r="G14" s="8">
        <v>43891</v>
      </c>
      <c r="H14" s="8">
        <v>44256</v>
      </c>
      <c r="I14" s="8">
        <v>44621</v>
      </c>
      <c r="J14" s="8">
        <v>44986</v>
      </c>
      <c r="K14" s="8">
        <v>45352</v>
      </c>
      <c r="L14" s="8">
        <v>45717</v>
      </c>
      <c r="M14" s="8">
        <v>46082</v>
      </c>
      <c r="N14" s="11" t="s">
        <v>19</v>
      </c>
      <c r="O14" s="11" t="s">
        <v>20</v>
      </c>
    </row>
    <row r="15" spans="1:15" x14ac:dyDescent="0.25">
      <c r="A15" s="9" t="s">
        <v>22</v>
      </c>
      <c r="B15" s="6">
        <v>2582</v>
      </c>
      <c r="C15" s="6">
        <v>3455</v>
      </c>
      <c r="D15" s="6">
        <v>4246</v>
      </c>
      <c r="E15" s="6">
        <v>3688</v>
      </c>
      <c r="F15" s="6">
        <v>2745</v>
      </c>
      <c r="G15" s="6">
        <v>6639</v>
      </c>
      <c r="H15" s="6">
        <v>6987</v>
      </c>
      <c r="I15" s="6">
        <v>11206</v>
      </c>
      <c r="J15" s="6">
        <v>11078</v>
      </c>
      <c r="K15" s="6">
        <v>9926</v>
      </c>
      <c r="L15" s="6">
        <v>7756</v>
      </c>
      <c r="M15" s="6">
        <v>10300</v>
      </c>
    </row>
    <row r="16" spans="1:15" x14ac:dyDescent="0.25">
      <c r="A16" s="9" t="s">
        <v>23</v>
      </c>
      <c r="B16" s="6">
        <v>4594</v>
      </c>
      <c r="C16" s="6">
        <v>5868</v>
      </c>
      <c r="D16" s="6">
        <v>7288</v>
      </c>
      <c r="E16" s="6">
        <v>-4140</v>
      </c>
      <c r="F16" s="6">
        <v>-1659</v>
      </c>
      <c r="G16" s="6">
        <v>16620</v>
      </c>
      <c r="H16" s="6">
        <v>15075</v>
      </c>
      <c r="I16" s="6">
        <v>7038</v>
      </c>
      <c r="J16" s="6">
        <v>-12685</v>
      </c>
      <c r="K16" s="6">
        <v>-10719</v>
      </c>
      <c r="L16" s="6">
        <v>-17170</v>
      </c>
      <c r="M16" s="6">
        <v>-17810</v>
      </c>
    </row>
    <row r="17" spans="1:15" ht="15.75" thickBot="1" x14ac:dyDescent="0.3"/>
    <row r="18" spans="1:15" x14ac:dyDescent="0.25">
      <c r="A18" s="12" t="s">
        <v>21</v>
      </c>
      <c r="B18" s="13">
        <f>B15/B16</f>
        <v>0.56203744013931212</v>
      </c>
      <c r="C18" s="13">
        <f t="shared" ref="C18:M18" si="1">C15/C16</f>
        <v>0.58878663940013631</v>
      </c>
      <c r="D18" s="13">
        <f t="shared" si="1"/>
        <v>0.58260153677277715</v>
      </c>
      <c r="E18" s="13">
        <f t="shared" si="1"/>
        <v>-0.89082125603864737</v>
      </c>
      <c r="F18" s="13">
        <f t="shared" si="1"/>
        <v>-1.654611211573237</v>
      </c>
      <c r="G18" s="13">
        <f t="shared" si="1"/>
        <v>0.39945848375451265</v>
      </c>
      <c r="H18" s="13">
        <f t="shared" si="1"/>
        <v>0.4634825870646766</v>
      </c>
      <c r="I18" s="13">
        <f t="shared" si="1"/>
        <v>1.5922136970730321</v>
      </c>
      <c r="J18" s="13">
        <f t="shared" si="1"/>
        <v>-0.87331493890421763</v>
      </c>
      <c r="K18" s="13">
        <f t="shared" si="1"/>
        <v>-0.92601921821065403</v>
      </c>
      <c r="L18" s="13">
        <f t="shared" si="1"/>
        <v>-0.45171811298776937</v>
      </c>
      <c r="M18" s="13">
        <f t="shared" si="1"/>
        <v>-0.57832678270634474</v>
      </c>
      <c r="N18" s="19">
        <f>AVERAGE(B18:M18)</f>
        <v>-9.8852594684701922E-2</v>
      </c>
      <c r="O18" s="19">
        <f>MEDIAN(B18:M18)</f>
        <v>-2.6129814616628388E-2</v>
      </c>
    </row>
    <row r="19" spans="1:15" x14ac:dyDescent="0.25">
      <c r="A19" s="1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8"/>
    </row>
    <row r="21" spans="1:15" ht="15.75" x14ac:dyDescent="0.25">
      <c r="A21" s="15" t="s">
        <v>25</v>
      </c>
    </row>
    <row r="22" spans="1:15" x14ac:dyDescent="0.25">
      <c r="B22" s="8">
        <v>42064</v>
      </c>
      <c r="C22" s="8">
        <v>42430</v>
      </c>
      <c r="D22" s="8">
        <v>42795</v>
      </c>
      <c r="E22" s="8">
        <v>43160</v>
      </c>
      <c r="F22" s="8">
        <v>43525</v>
      </c>
      <c r="G22" s="8">
        <v>43891</v>
      </c>
      <c r="H22" s="8">
        <v>44256</v>
      </c>
      <c r="I22" s="8">
        <v>44621</v>
      </c>
      <c r="J22" s="8">
        <v>44986</v>
      </c>
      <c r="K22" s="8">
        <v>45352</v>
      </c>
      <c r="L22" s="8">
        <v>45717</v>
      </c>
      <c r="M22" s="8">
        <v>46082</v>
      </c>
      <c r="N22" s="11" t="s">
        <v>19</v>
      </c>
      <c r="O22" s="11" t="s">
        <v>20</v>
      </c>
    </row>
    <row r="23" spans="1:15" x14ac:dyDescent="0.25">
      <c r="A23" s="9" t="s">
        <v>22</v>
      </c>
      <c r="B23" s="6">
        <v>1487</v>
      </c>
      <c r="C23">
        <v>808</v>
      </c>
      <c r="D23" s="6">
        <v>1434</v>
      </c>
      <c r="E23" s="6">
        <v>1945</v>
      </c>
      <c r="F23" s="6">
        <v>2973</v>
      </c>
      <c r="G23" s="6">
        <v>2783</v>
      </c>
      <c r="H23" s="6">
        <v>3107</v>
      </c>
      <c r="I23" s="6">
        <v>3711</v>
      </c>
      <c r="J23" s="6">
        <v>3024</v>
      </c>
      <c r="K23" s="6">
        <v>4735</v>
      </c>
      <c r="L23" s="6">
        <v>5294</v>
      </c>
      <c r="M23" s="6">
        <v>5637</v>
      </c>
    </row>
    <row r="24" spans="1:15" x14ac:dyDescent="0.25">
      <c r="A24" s="9" t="s">
        <v>23</v>
      </c>
      <c r="B24" s="6">
        <v>1675</v>
      </c>
      <c r="C24" s="6">
        <v>1557</v>
      </c>
      <c r="D24" s="6">
        <v>2810</v>
      </c>
      <c r="E24" s="6">
        <v>3416</v>
      </c>
      <c r="F24" s="6">
        <v>1703</v>
      </c>
      <c r="G24" s="6">
        <v>4739</v>
      </c>
      <c r="H24" s="6">
        <v>4832</v>
      </c>
      <c r="I24" s="6">
        <v>5309</v>
      </c>
      <c r="J24">
        <v>735</v>
      </c>
      <c r="K24" s="6">
        <v>5646</v>
      </c>
      <c r="L24" s="6">
        <v>2237</v>
      </c>
      <c r="M24" s="6">
        <v>5362</v>
      </c>
    </row>
    <row r="25" spans="1:15" ht="15.75" thickBot="1" x14ac:dyDescent="0.3"/>
    <row r="26" spans="1:15" x14ac:dyDescent="0.25">
      <c r="A26" s="12" t="s">
        <v>21</v>
      </c>
      <c r="B26" s="13">
        <f>B23/B24</f>
        <v>0.88776119402985076</v>
      </c>
      <c r="C26" s="13">
        <f t="shared" ref="C26:M26" si="2">C23/C24</f>
        <v>0.51894669235709701</v>
      </c>
      <c r="D26" s="13">
        <f t="shared" si="2"/>
        <v>0.5103202846975089</v>
      </c>
      <c r="E26" s="13">
        <f t="shared" si="2"/>
        <v>0.56937939110070257</v>
      </c>
      <c r="F26" s="13">
        <f t="shared" si="2"/>
        <v>1.7457428068115091</v>
      </c>
      <c r="G26" s="13">
        <f t="shared" si="2"/>
        <v>0.58725469508335093</v>
      </c>
      <c r="H26" s="13">
        <f t="shared" si="2"/>
        <v>0.64300496688741726</v>
      </c>
      <c r="I26" s="13">
        <f t="shared" si="2"/>
        <v>0.69900169523450739</v>
      </c>
      <c r="J26" s="13">
        <f t="shared" si="2"/>
        <v>4.1142857142857139</v>
      </c>
      <c r="K26" s="13">
        <f t="shared" si="2"/>
        <v>0.83864682961388592</v>
      </c>
      <c r="L26" s="13">
        <f t="shared" si="2"/>
        <v>2.3665623603039787</v>
      </c>
      <c r="M26" s="13">
        <f t="shared" si="2"/>
        <v>1.0512868332711676</v>
      </c>
      <c r="N26" s="19">
        <f>AVERAGE(B26:M26)</f>
        <v>1.2110161219730575</v>
      </c>
      <c r="O26" s="19">
        <f>MEDIAN(B26:M26)</f>
        <v>0.76882426242419666</v>
      </c>
    </row>
    <row r="27" spans="1:15" x14ac:dyDescent="0.25">
      <c r="A27" s="1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18"/>
    </row>
    <row r="29" spans="1:15" ht="15.75" x14ac:dyDescent="0.25">
      <c r="A29" s="15" t="s">
        <v>26</v>
      </c>
    </row>
    <row r="30" spans="1:15" x14ac:dyDescent="0.25">
      <c r="B30" s="8">
        <v>42064</v>
      </c>
      <c r="C30" s="8">
        <v>42430</v>
      </c>
      <c r="D30" s="8">
        <v>42795</v>
      </c>
      <c r="E30" s="8">
        <v>43160</v>
      </c>
      <c r="F30" s="8">
        <v>43525</v>
      </c>
      <c r="G30" s="8">
        <v>43891</v>
      </c>
      <c r="H30" s="8">
        <v>44256</v>
      </c>
      <c r="I30" s="8">
        <v>44621</v>
      </c>
      <c r="J30" s="8">
        <v>44986</v>
      </c>
      <c r="K30" s="8">
        <v>45352</v>
      </c>
      <c r="L30" s="8">
        <v>45717</v>
      </c>
      <c r="M30" s="8">
        <v>46082</v>
      </c>
      <c r="N30" s="11" t="s">
        <v>19</v>
      </c>
      <c r="O30" s="11" t="s">
        <v>20</v>
      </c>
    </row>
    <row r="31" spans="1:15" x14ac:dyDescent="0.25">
      <c r="A31" s="9" t="s">
        <v>22</v>
      </c>
      <c r="B31">
        <v>426</v>
      </c>
      <c r="C31" s="6">
        <v>1143</v>
      </c>
      <c r="D31" s="6">
        <v>1339</v>
      </c>
      <c r="E31" s="6">
        <v>1384</v>
      </c>
      <c r="F31" s="6">
        <v>1015</v>
      </c>
      <c r="G31" s="6">
        <v>1544</v>
      </c>
      <c r="H31" s="6">
        <v>2290</v>
      </c>
      <c r="I31" s="6">
        <v>2337</v>
      </c>
      <c r="J31" s="6">
        <v>1269</v>
      </c>
      <c r="K31" s="6">
        <v>2396</v>
      </c>
      <c r="L31" s="6">
        <v>1124</v>
      </c>
      <c r="M31" s="6">
        <v>1749</v>
      </c>
    </row>
    <row r="32" spans="1:15" x14ac:dyDescent="0.25">
      <c r="A32" s="9" t="s">
        <v>23</v>
      </c>
      <c r="B32" s="6">
        <v>1239</v>
      </c>
      <c r="C32" s="6">
        <v>1566</v>
      </c>
      <c r="D32" s="6">
        <v>2202</v>
      </c>
      <c r="E32" s="6">
        <v>1879</v>
      </c>
      <c r="F32" s="6">
        <v>2080</v>
      </c>
      <c r="G32" s="6">
        <v>3973</v>
      </c>
      <c r="H32" s="6">
        <v>4254</v>
      </c>
      <c r="I32" s="6">
        <v>2668</v>
      </c>
      <c r="J32" s="6">
        <v>2569</v>
      </c>
      <c r="K32" s="6">
        <v>3347</v>
      </c>
      <c r="L32" s="6">
        <v>4920</v>
      </c>
      <c r="M32" s="6">
        <v>3794</v>
      </c>
    </row>
    <row r="33" spans="1:15" ht="15.75" thickBot="1" x14ac:dyDescent="0.3"/>
    <row r="34" spans="1:15" x14ac:dyDescent="0.25">
      <c r="A34" s="12" t="s">
        <v>21</v>
      </c>
      <c r="B34" s="13">
        <f>B31/B32</f>
        <v>0.34382566585956414</v>
      </c>
      <c r="C34" s="13">
        <f t="shared" ref="C34:M34" si="3">C31/C32</f>
        <v>0.72988505747126442</v>
      </c>
      <c r="D34" s="13">
        <f t="shared" si="3"/>
        <v>0.60808356039963674</v>
      </c>
      <c r="E34" s="13">
        <f t="shared" si="3"/>
        <v>0.73656200106439595</v>
      </c>
      <c r="F34" s="13">
        <f t="shared" si="3"/>
        <v>0.48798076923076922</v>
      </c>
      <c r="G34" s="13">
        <f t="shared" si="3"/>
        <v>0.38862320664485278</v>
      </c>
      <c r="H34" s="13">
        <f t="shared" si="3"/>
        <v>0.53831687823225205</v>
      </c>
      <c r="I34" s="13">
        <f t="shared" si="3"/>
        <v>0.87593703148425783</v>
      </c>
      <c r="J34" s="13">
        <f t="shared" si="3"/>
        <v>0.49396652393927598</v>
      </c>
      <c r="K34" s="13">
        <f t="shared" si="3"/>
        <v>0.71586495368987157</v>
      </c>
      <c r="L34" s="13">
        <f t="shared" si="3"/>
        <v>0.22845528455284553</v>
      </c>
      <c r="M34" s="13">
        <f t="shared" si="3"/>
        <v>0.46099103848181339</v>
      </c>
      <c r="N34" s="14">
        <f>AVERAGE(B34:M34)</f>
        <v>0.55070766425423334</v>
      </c>
      <c r="O34" s="14">
        <f>MEDIAN(B34:M34)</f>
        <v>0.51614170108576407</v>
      </c>
    </row>
    <row r="37" spans="1:15" ht="15.75" x14ac:dyDescent="0.25">
      <c r="A37" s="15" t="s">
        <v>27</v>
      </c>
    </row>
    <row r="38" spans="1:15" x14ac:dyDescent="0.25">
      <c r="B38" s="8">
        <v>42064</v>
      </c>
      <c r="C38" s="8">
        <v>42430</v>
      </c>
      <c r="D38" s="8">
        <v>42795</v>
      </c>
      <c r="E38" s="8">
        <v>43160</v>
      </c>
      <c r="F38" s="8">
        <v>43525</v>
      </c>
      <c r="G38" s="8">
        <v>43891</v>
      </c>
      <c r="H38" s="8">
        <v>44256</v>
      </c>
      <c r="I38" s="8">
        <v>44621</v>
      </c>
      <c r="J38" s="8">
        <v>44986</v>
      </c>
      <c r="K38" s="8">
        <v>45352</v>
      </c>
      <c r="L38" s="8">
        <v>45717</v>
      </c>
      <c r="M38" s="8">
        <v>46082</v>
      </c>
      <c r="N38" s="11" t="s">
        <v>19</v>
      </c>
      <c r="O38" s="11" t="s">
        <v>20</v>
      </c>
    </row>
    <row r="39" spans="1:15" x14ac:dyDescent="0.25">
      <c r="A39" s="9" t="s">
        <v>22</v>
      </c>
      <c r="B39">
        <v>142</v>
      </c>
      <c r="C39">
        <v>55</v>
      </c>
      <c r="D39">
        <v>172</v>
      </c>
      <c r="E39">
        <v>286</v>
      </c>
      <c r="F39">
        <v>264</v>
      </c>
      <c r="G39">
        <v>483</v>
      </c>
      <c r="H39">
        <v>703</v>
      </c>
      <c r="I39">
        <v>679</v>
      </c>
      <c r="J39">
        <v>416</v>
      </c>
      <c r="K39">
        <v>790</v>
      </c>
      <c r="L39">
        <v>872</v>
      </c>
      <c r="M39">
        <v>988</v>
      </c>
    </row>
    <row r="40" spans="1:15" x14ac:dyDescent="0.25">
      <c r="A40" s="9" t="s">
        <v>23</v>
      </c>
      <c r="B40">
        <v>256</v>
      </c>
      <c r="C40">
        <v>580</v>
      </c>
      <c r="D40">
        <v>772</v>
      </c>
      <c r="E40">
        <v>883</v>
      </c>
      <c r="F40">
        <v>704</v>
      </c>
      <c r="G40" s="6">
        <v>1367</v>
      </c>
      <c r="H40" s="6">
        <v>1593</v>
      </c>
      <c r="I40">
        <v>878</v>
      </c>
      <c r="J40" s="6">
        <v>1377</v>
      </c>
      <c r="K40" s="6">
        <v>1959</v>
      </c>
      <c r="L40" s="6">
        <v>1939</v>
      </c>
      <c r="M40" s="6">
        <v>1873</v>
      </c>
    </row>
    <row r="41" spans="1:15" ht="15.75" thickBot="1" x14ac:dyDescent="0.3"/>
    <row r="42" spans="1:15" x14ac:dyDescent="0.25">
      <c r="A42" s="12" t="s">
        <v>21</v>
      </c>
      <c r="B42" s="13">
        <f>B39/B40</f>
        <v>0.5546875</v>
      </c>
      <c r="C42" s="13">
        <f t="shared" ref="C42:M42" si="4">C39/C40</f>
        <v>9.4827586206896547E-2</v>
      </c>
      <c r="D42" s="13">
        <f t="shared" si="4"/>
        <v>0.22279792746113988</v>
      </c>
      <c r="E42" s="13">
        <f t="shared" si="4"/>
        <v>0.32389580973952437</v>
      </c>
      <c r="F42" s="13">
        <f t="shared" si="4"/>
        <v>0.375</v>
      </c>
      <c r="G42" s="13">
        <f t="shared" si="4"/>
        <v>0.35332845647403072</v>
      </c>
      <c r="H42" s="13">
        <f t="shared" si="4"/>
        <v>0.44130571249215317</v>
      </c>
      <c r="I42" s="13">
        <f t="shared" si="4"/>
        <v>0.77334851936218674</v>
      </c>
      <c r="J42" s="13">
        <f t="shared" si="4"/>
        <v>0.30210602759622368</v>
      </c>
      <c r="K42" s="13">
        <f t="shared" si="4"/>
        <v>0.40326697294538028</v>
      </c>
      <c r="L42" s="13">
        <f t="shared" si="4"/>
        <v>0.44971634863331617</v>
      </c>
      <c r="M42" s="13">
        <f t="shared" si="4"/>
        <v>0.52749599572877737</v>
      </c>
      <c r="N42" s="14">
        <f>AVERAGE(B42:M42)</f>
        <v>0.40181473805330242</v>
      </c>
      <c r="O42" s="14">
        <f>MEDIAN(B42:M42)</f>
        <v>0.38913348647269014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Cement Co.</vt:lpstr>
      <vt:lpstr>Assessing CFO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Mittal</dc:creator>
  <cp:lastModifiedBy>Harsh Mittal</cp:lastModifiedBy>
  <dcterms:created xsi:type="dcterms:W3CDTF">2026-07-01T11:04:51Z</dcterms:created>
  <dcterms:modified xsi:type="dcterms:W3CDTF">2026-07-01T12:05:15Z</dcterms:modified>
</cp:coreProperties>
</file>